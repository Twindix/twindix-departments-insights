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90a09cf92245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مدخلات" sheetId="1" r:id="R0ccfcebd56174962"/>
    <x:sheet xmlns:r="http://schemas.openxmlformats.org/officeDocument/2006/relationships" name="توزيع الفيلات" sheetId="2" r:id="Rb74f5dea25274cd5"/>
    <x:sheet xmlns:r="http://schemas.openxmlformats.org/officeDocument/2006/relationships" name="هيكل التكاليف" sheetId="3" r:id="Rcdacd7ae851b456f"/>
    <x:sheet xmlns:r="http://schemas.openxmlformats.org/officeDocument/2006/relationships" name="التدفق النقدي" sheetId="4" r:id="R3694c89105b74f24"/>
    <x:sheet xmlns:r="http://schemas.openxmlformats.org/officeDocument/2006/relationships" name="الإيرادات والربحية" sheetId="5" r:id="R6b4b2a92e1474061"/>
    <x:sheet xmlns:r="http://schemas.openxmlformats.org/officeDocument/2006/relationships" name="الهدر والفاقد" sheetId="6" r:id="R20f8802f79d54edd"/>
    <x:sheet xmlns:r="http://schemas.openxmlformats.org/officeDocument/2006/relationships" name="أداء المقاولين" sheetId="7" r:id="R2583c3d3d95147aa"/>
    <x:sheet xmlns:r="http://schemas.openxmlformats.org/officeDocument/2006/relationships" name="أوامر التغيير" sheetId="8" r:id="R27637c93021c4b8d"/>
    <x:sheet xmlns:r="http://schemas.openxmlformats.org/officeDocument/2006/relationships" name="المخاطر المالية" sheetId="9" r:id="R23eb7ef2a44d4db3"/>
    <x:sheet xmlns:r="http://schemas.openxmlformats.org/officeDocument/2006/relationships" name="الملخص التنفيذي" sheetId="10" r:id="R9e285cc1dd304614"/>
    <x:sheet xmlns:r="http://schemas.openxmlformats.org/officeDocument/2006/relationships" name="لوحة القيادة" sheetId="11" r:id="R86d650c0f3b748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0%"/>
    <x:numFmt numFmtId="202" formatCode="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b/>
      <x:sz val="11"/>
      <x:color rgb="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243E"/>
      </x:patternFill>
    </x:fill>
    <x:fill>
      <x:patternFill patternType="solid">
        <x:fgColor rgb="1F4E78"/>
      </x:patternFill>
    </x:fill>
    <x:fill>
      <x:patternFill patternType="solid">
        <x:fgColor rgb="B8CCE4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right"/>
    </x:xf>
    <x:xf numFmtId="0" fontId="3" fillId="4" borderId="0" xfId="0" applyNumberFormat="1" applyFont="1" applyFill="1" applyBorder="1" applyAlignment="1">
      <x:alignment horizontal="right" vertical="center"/>
    </x:xf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6">
    <x:dxf/>
    <x:dxf>
      <x:fill>
        <x:patternFill patternType="solid">
          <x:bgColor rgb="D9EAD3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62b30d07604351" /><Relationship Type="http://schemas.openxmlformats.org/officeDocument/2006/relationships/theme" Target="/xl/theme/theme1.xml" Id="Rdcb7cc6a316140d3" /><Relationship Type="http://schemas.openxmlformats.org/officeDocument/2006/relationships/sharedStrings" Target="/xl/sharedStrings.xml" Id="R64a94fa614a547f7" /><Relationship Type="http://schemas.openxmlformats.org/officeDocument/2006/relationships/worksheet" Target="/xl/worksheets/sheet1.xml" Id="R0ccfcebd56174962" /><Relationship Type="http://schemas.openxmlformats.org/officeDocument/2006/relationships/worksheet" Target="/xl/worksheets/sheet2.xml" Id="Rb74f5dea25274cd5" /><Relationship Type="http://schemas.openxmlformats.org/officeDocument/2006/relationships/worksheet" Target="/xl/worksheets/sheet3.xml" Id="Rcdacd7ae851b456f" /><Relationship Type="http://schemas.openxmlformats.org/officeDocument/2006/relationships/worksheet" Target="/xl/worksheets/sheet4.xml" Id="R3694c89105b74f24" /><Relationship Type="http://schemas.openxmlformats.org/officeDocument/2006/relationships/worksheet" Target="/xl/worksheets/sheet5.xml" Id="R6b4b2a92e1474061" /><Relationship Type="http://schemas.openxmlformats.org/officeDocument/2006/relationships/worksheet" Target="/xl/worksheets/sheet6.xml" Id="R20f8802f79d54edd" /><Relationship Type="http://schemas.openxmlformats.org/officeDocument/2006/relationships/worksheet" Target="/xl/worksheets/sheet7.xml" Id="R2583c3d3d95147aa" /><Relationship Type="http://schemas.openxmlformats.org/officeDocument/2006/relationships/worksheet" Target="/xl/worksheets/sheet8.xml" Id="R27637c93021c4b8d" /><Relationship Type="http://schemas.openxmlformats.org/officeDocument/2006/relationships/worksheet" Target="/xl/worksheets/sheet9.xml" Id="R23eb7ef2a44d4db3" /><Relationship Type="http://schemas.openxmlformats.org/officeDocument/2006/relationships/worksheet" Target="/xl/worksheets/sheet10.xml" Id="R9e285cc1dd304614" /><Relationship Type="http://schemas.openxmlformats.org/officeDocument/2006/relationships/worksheet" Target="/xl/worksheets/sheet11.xml" Id="R86d650c0f3b7481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0ae2813d9ae419d" /><Relationship Type="http://schemas.openxmlformats.org/officeDocument/2006/relationships/chart" Target="/xl/drawings/charts/chart2.xml" Id="Rc0e96e56479041db" /><Relationship Type="http://schemas.openxmlformats.org/officeDocument/2006/relationships/chart" Target="/xl/drawings/charts/chart3.xml" Id="R8f567c5ea26442a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توزيع الإيراد والتكلفة حسب حالة الفيلات</a:t>
            </a:r>
          </a:p>
        </c:rich>
      </c:tx>
      <c:overlay val="0"/>
    </c:title>
    <c:autoTitleDeleted val="0"/>
    <c:view3D/>
    <c:plotArea>
      <c:layout/>
      <c:barChart>
        <c:barDir val="col"/>
        <c:varyColors val="0"/>
        <c:ser>
          <c:idx val="0"/>
          <c:order val="0"/>
          <c:tx>
            <c:v>العدد</c:v>
          </c:tx>
          <c:cat>
            <c:strRef>
              <c:f>'لوحة القيادة'!$D$4:$D$6</c:f>
              <c:strCache>
                <c:ptCount val="0"/>
              </c:strCache>
            </c:strRef>
          </c:cat>
          <c:val>
            <c:numRef>
              <c:f>'لوحة القيادة'!$E$4:$E$6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التكلفة المتوقعة</c:v>
          </c:tx>
          <c:cat>
            <c:strRef>
              <c:f>'لوحة القيادة'!$D$4:$D$6</c:f>
              <c:strCache>
                <c:ptCount val="0"/>
              </c:strCache>
            </c:strRef>
          </c:cat>
          <c:val>
            <c:numRef>
              <c:f>'لوحة القيادة'!$F$4:$F$6</c:f>
              <c:numCache>
                <c:formatCode>#,##0.00</c:formatCode>
                <c:ptCount val="0"/>
              </c:numCache>
            </c:numRef>
          </c:val>
        </c:ser>
        <c:ser>
          <c:idx val="2"/>
          <c:order val="2"/>
          <c:tx>
            <c:v>الإيراد المتوقع</c:v>
          </c:tx>
          <c:cat>
            <c:strRef>
              <c:f>'لوحة القيادة'!$D$4:$D$6</c:f>
              <c:strCache>
                <c:ptCount val="0"/>
              </c:strCache>
            </c:strRef>
          </c:cat>
          <c:val>
            <c:numRef>
              <c:f>'لوحة القيادة'!$G$4:$G$6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حركة التدفق النقدي التراكمي</a:t>
            </a:r>
          </a:p>
        </c:rich>
      </c:tx>
      <c:overlay val="0"/>
    </c:title>
    <c:autoTitleDeleted val="0"/>
    <c:view3D/>
    <c:plotArea>
      <c:layout/>
      <c:lineChart>
        <c:ser>
          <c:idx val="0"/>
          <c:order val="0"/>
          <c:tx>
            <c:v>الصرف المخطط</c:v>
          </c:tx>
          <c:marker/>
          <c:cat>
            <c:strRef>
              <c:f>'التدفق النقدي'!$A$4:$A$17</c:f>
              <c:strCache>
                <c:ptCount val="0"/>
              </c:strCache>
            </c:strRef>
          </c:cat>
          <c:val>
            <c:numRef>
              <c:f>'التدفق النقدي'!$B$4:$B$17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الصرف الفعلي</c:v>
          </c:tx>
          <c:marker/>
          <c:cat>
            <c:strRef>
              <c:f>'التدفق النقدي'!$A$4:$A$17</c:f>
              <c:strCache>
                <c:ptCount val="0"/>
              </c:strCache>
            </c:strRef>
          </c:cat>
          <c:val>
            <c:numRef>
              <c:f>'التدفق النقدي'!$C$4:$C$17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إيراد المبيعات المحصل</c:v>
          </c:tx>
          <c:marker/>
          <c:cat>
            <c:strRef>
              <c:f>'التدفق النقدي'!$A$4:$A$17</c:f>
              <c:strCache>
                <c:ptCount val="0"/>
              </c:strCache>
            </c:strRef>
          </c:cat>
          <c:val>
            <c:numRef>
              <c:f>'التدفق النقدي'!$D$4:$D$17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3"/>
          <c:order val="3"/>
          <c:tx>
            <c:v>صافي التدفق الشهري</c:v>
          </c:tx>
          <c:marker/>
          <c:cat>
            <c:strRef>
              <c:f>'التدفق النقدي'!$A$4:$A$17</c:f>
              <c:strCache>
                <c:ptCount val="0"/>
              </c:strCache>
            </c:strRef>
          </c:cat>
          <c:val>
            <c:numRef>
              <c:f>'التدفق النقدي'!$E$4:$E$17</c:f>
              <c:numCache>
                <c:formatCode>#,##0.00</c:formatCode>
                <c:ptCount val="0"/>
              </c:numCache>
            </c:numRef>
          </c:val>
          <c:smooth val="0"/>
        </c:ser>
        <c:ser>
          <c:idx val="4"/>
          <c:order val="4"/>
          <c:tx>
            <c:v>صافي التدفق التراكمي</c:v>
          </c:tx>
          <c:marker/>
          <c:cat>
            <c:strRef>
              <c:f>'التدفق النقدي'!$A$4:$A$17</c:f>
              <c:strCache>
                <c:ptCount val="0"/>
              </c:strCache>
            </c:strRef>
          </c:cat>
          <c:val>
            <c:numRef>
              <c:f>'التدفق النقدي'!$F$4:$F$17</c:f>
              <c:numCache>
                <c:formatCode>#,##0.00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تكلفة الهدر حسب المورد</a:t>
            </a:r>
          </a:p>
        </c:rich>
      </c:tx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الوحدة</c:v>
          </c:tx>
          <c:cat>
            <c:strRef>
              <c:f>'الهدر والفاقد'!$A$4:$A$15</c:f>
              <c:strCache>
                <c:ptCount val="0"/>
              </c:strCache>
            </c:strRef>
          </c:cat>
          <c:val>
            <c:numRef>
              <c:f>'الهدر والفاقد'!$B$4:$B$15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الكمية المخططة</c:v>
          </c:tx>
          <c:cat>
            <c:strRef>
              <c:f>'الهدر والفاقد'!$A$4:$A$15</c:f>
              <c:strCache>
                <c:ptCount val="0"/>
              </c:strCache>
            </c:strRef>
          </c:cat>
          <c:val>
            <c:numRef>
              <c:f>'الهدر والفاقد'!$C$4:$C$15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الكمية المستهلكة</c:v>
          </c:tx>
          <c:cat>
            <c:strRef>
              <c:f>'الهدر والفاقد'!$A$4:$A$15</c:f>
              <c:strCache>
                <c:ptCount val="0"/>
              </c:strCache>
            </c:strRef>
          </c:cat>
          <c:val>
            <c:numRef>
              <c:f>'الهدر والفاقد'!$D$4:$D$15</c:f>
              <c:numCache>
                <c:formatCode/>
                <c:ptCount val="0"/>
              </c:numCache>
            </c:numRef>
          </c:val>
        </c:ser>
        <c:ser>
          <c:idx val="3"/>
          <c:order val="3"/>
          <c:tx>
            <c:v>الكمية المهدرة</c:v>
          </c:tx>
          <c:cat>
            <c:strRef>
              <c:f>'الهدر والفاقد'!$A$4:$A$15</c:f>
              <c:strCache>
                <c:ptCount val="0"/>
              </c:strCache>
            </c:strRef>
          </c:cat>
          <c:val>
            <c:numRef>
              <c:f>'الهدر والفاقد'!$E$4:$E$15</c:f>
              <c:numCache>
                <c:formatCode/>
                <c:ptCount val="0"/>
              </c:numCache>
            </c:numRef>
          </c:val>
        </c:ser>
        <c:ser>
          <c:idx val="4"/>
          <c:order val="4"/>
          <c:tx>
            <c:v>نسبة الهدر</c:v>
          </c:tx>
          <c:cat>
            <c:strRef>
              <c:f>'الهدر والفاقد'!$A$4:$A$15</c:f>
              <c:strCache>
                <c:ptCount val="0"/>
              </c:strCache>
            </c:strRef>
          </c:cat>
          <c:val>
            <c:numRef>
              <c:f>'الهدر والفاقد'!$F$4:$F$15</c:f>
              <c:numCache>
                <c:formatCode>0.00%</c:formatCode>
                <c:ptCount val="0"/>
              </c:numCache>
            </c:numRef>
          </c:val>
        </c:ser>
        <c:ser>
          <c:idx val="5"/>
          <c:order val="5"/>
          <c:tx>
            <c:v>سعر الوحدة</c:v>
          </c:tx>
          <c:cat>
            <c:strRef>
              <c:f>'الهدر والفاقد'!$A$4:$A$15</c:f>
              <c:strCache>
                <c:ptCount val="0"/>
              </c:strCache>
            </c:strRef>
          </c:cat>
          <c:val>
            <c:numRef>
              <c:f>'الهدر والفاقد'!$G$4:$G$15</c:f>
              <c:numCache>
                <c:formatCode>#,##0.00</c:formatCode>
                <c:ptCount val="0"/>
              </c:numCache>
            </c:numRef>
          </c:val>
        </c:ser>
        <c:ser>
          <c:idx val="6"/>
          <c:order val="6"/>
          <c:tx>
            <c:v>تكلفة الهدر</c:v>
          </c:tx>
          <c:cat>
            <c:strRef>
              <c:f>'الهدر والفاقد'!$A$4:$A$15</c:f>
              <c:strCache>
                <c:ptCount val="0"/>
              </c:strCache>
            </c:strRef>
          </c:cat>
          <c:val>
            <c:numRef>
              <c:f>'الهدر والفاقد'!$H$4:$H$15</c:f>
              <c:numCache>
                <c:formatCode>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0ae2813d9ae419d"/>
        </a:graphicData>
      </a:graphic>
    </xdr:graphicFrame>
    <xdr:clientData/>
  </xdr:twoCellAnchor>
  <xdr:twoCellAnchor>
    <xdr:from>
      <xdr:col>3</xdr:col>
      <xdr:colOff>0</xdr:colOff>
      <xdr:row>9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e96e56479041db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f567c5ea26442a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VillasTable" displayName="VillasTable" ref="A3:N123" headerRowCount="1">
  <x:tableColumns count="14">
    <x:tableColumn id="1" name="رقم الفيلا"/>
    <x:tableColumn id="2" name="النموذج"/>
    <x:tableColumn id="3" name="المساحة م2"/>
    <x:tableColumn id="4" name="الحالة"/>
    <x:tableColumn id="5" name="نسبة الإنجاز"/>
    <x:tableColumn id="6" name="الميزانية المخططة"/>
    <x:tableColumn id="7" name="التكلفة الفعلية حتى تاريخه"/>
    <x:tableColumn id="8" name="التكلفة المتوقعة عند الإنجاز"/>
    <x:tableColumn id="9" name="سعر البيع"/>
    <x:tableColumn id="10" name="الإيراد المعترف به حتى تاريخه"/>
    <x:tableColumn id="11" name="الربح المتوقع"/>
    <x:tableColumn id="12" name="عدد الملاحظات المفتوحة"/>
    <x:tableColumn id="13" name="تكلفة إعادة العمل"/>
    <x:tableColumn id="14" name="تكلفة الهدر التقديرية"/>
  </x:tableColumns>
  <x:tableStyleInfo name="TableStyleMedium2" showRowStripes="1"/>
</x:table>
</file>

<file path=xl/tables/table2.xml><?xml version="1.0" encoding="utf-8"?>
<x:table xmlns:x="http://schemas.openxmlformats.org/spreadsheetml/2006/main" id="1" name="CostBreakdownTable" displayName="CostBreakdownTable" ref="A3:J24" headerRowCount="1">
  <x:tableColumns count="10">
    <x:tableColumn id="1" name="المستوى الأول"/>
    <x:tableColumn id="2" name="المستوى الثاني"/>
    <x:tableColumn id="3" name="الميزانية الأصلية"/>
    <x:tableColumn id="4" name="التكلفة المعاد تقديرها"/>
    <x:tableColumn id="5" name="المنفذ حتى تاريخه"/>
    <x:tableColumn id="6" name="الانحراف عن الميزانية"/>
    <x:tableColumn id="7" name="نسبة الانحراف"/>
    <x:tableColumn id="8" name="نسبة الصرف من المعاد تقديره"/>
    <x:tableColumn id="9" name="حصة البند من إجمالي المشروع"/>
    <x:tableColumn id="10" name="ملاحظات تنفيذية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cc7752a3a343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1e72f0d9f6421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e609f8fdd8654dad" /></Relationships>
</file>

<file path=xl/worksheets/sheet1.xml><?xml version="1.0" encoding="utf-8"?>
<x:worksheet xmlns:x="http://schemas.openxmlformats.org/spreadsheetml/2006/main">
  <x:sheetFormatPr defaultRowHeight="15"/>
  <x:cols>
    <x:col min="1" max="1" width="73.56999969482422" hidden="0" customWidth="1"/>
    <x:col min="2" max="2" width="32.86000061035156" hidden="0" customWidth="1"/>
    <x:col min="3" max="3" width="18.709999084472656" hidden="0" customWidth="1"/>
    <x:col min="4" max="4" width="7.289999961853027" hidden="0" customWidth="1"/>
    <x:col min="5" max="5" width="33.290000915527344" hidden="0" customWidth="1"/>
    <x:col min="6" max="6" width="17.290000915527344" hidden="0" customWidth="1"/>
    <x:col min="7" max="7" width="12.140000343322754" hidden="0" customWidth="1"/>
  </x:cols>
  <x:sheetData>
    <x:row r="1">
      <x:c r="A1" s="11" t="str">
        <x:v>تقرير التكاليف والربحية المتكامل - مشروع مجمع سكني يضم 120 فيلا</x:v>
      </x:c>
      <x:c r="B1" s="12"/>
      <x:c r="C1" s="12"/>
      <x:c r="D1" s="12"/>
      <x:c r="E1" s="12"/>
      <x:c r="F1" s="12"/>
      <x:c r="G1" s="12"/>
    </x:row>
    <x:row r="2">
      <x:c r="A2" s="12"/>
      <x:c r="B2" s="12"/>
      <x:c r="C2" s="12"/>
      <x:c r="D2" s="12"/>
      <x:c r="E2" s="12"/>
      <x:c r="F2" s="12"/>
      <x:c r="G2" s="12"/>
    </x:row>
    <x:row r="3">
      <x:c r="A3" s="13" t="str">
        <x:v>البند الرئيسي</x:v>
      </x:c>
      <x:c r="B3" s="13" t="str">
        <x:v>البند الفرعي</x:v>
      </x:c>
      <x:c r="C3" s="13" t="str">
        <x:v>القيمة</x:v>
      </x:c>
      <x:c r="D3" s="13" t="str">
        <x:v>الوحدة</x:v>
      </x:c>
      <x:c r="E3" s="13" t="str">
        <x:v>ملاحظة</x:v>
      </x:c>
      <x:c r="F3" s="13" t="str">
        <x:v>مصدر الحساب</x:v>
      </x:c>
      <x:c r="G3" s="13" t="str">
        <x:v>نوع الإدخال</x:v>
      </x:c>
    </x:row>
    <x:row r="4">
      <x:c r="A4" s="12" t="str">
        <x:v>بيانات المشروع</x:v>
      </x:c>
      <x:c r="B4" s="12" t="str">
        <x:v>عدد الفيلات</x:v>
      </x:c>
      <x:c r="C4" s="14" t="n">
        <x:v>120</x:v>
      </x:c>
      <x:c r="D4" s="12" t="str">
        <x:v>فيلا</x:v>
      </x:c>
      <x:c r="E4" s="12" t="str">
        <x:v>ثابت ومطابق لملف الجودة</x:v>
      </x:c>
      <x:c r="F4" s="12" t="str">
        <x:v>قرار المشروع</x:v>
      </x:c>
      <x:c r="G4" s="12" t="str">
        <x:v>مدخل</x:v>
      </x:c>
    </x:row>
    <x:row r="5">
      <x:c r="A5" s="12" t="str">
        <x:v>بيانات المشروع</x:v>
      </x:c>
      <x:c r="B5" s="12" t="str">
        <x:v>نسبة الإنجاز الحالية</x:v>
      </x:c>
      <x:c r="C5" s="15" t="n">
        <x:v>0.65</x:v>
      </x:c>
      <x:c r="D5" s="12" t="str">
        <x:v>نسبة</x:v>
      </x:c>
      <x:c r="E5" s="12" t="str">
        <x:v>مطابقة للوضع التنفيذي</x:v>
      </x:c>
      <x:c r="F5" s="12" t="str">
        <x:v>تقدم التنفيذ</x:v>
      </x:c>
      <x:c r="G5" s="12" t="str">
        <x:v>مدخل</x:v>
      </x:c>
    </x:row>
    <x:row r="6">
      <x:c r="A6" s="12" t="str">
        <x:v>بيانات المشروع</x:v>
      </x:c>
      <x:c r="B6" s="12" t="str">
        <x:v>عدد الفيلات المكتملة</x:v>
      </x:c>
      <x:c r="C6" s="14" t="n">
        <x:v>30</x:v>
      </x:c>
      <x:c r="D6" s="12" t="str">
        <x:v>فيلا</x:v>
      </x:c>
      <x:c r="E6" s="12" t="str">
        <x:v>مطابق للتوزيع التنفيذي</x:v>
      </x:c>
      <x:c r="F6" s="12" t="str">
        <x:v>تقدم التنفيذ</x:v>
      </x:c>
      <x:c r="G6" s="12" t="str">
        <x:v>مدخل</x:v>
      </x:c>
    </x:row>
    <x:row r="7">
      <x:c r="A7" s="12" t="str">
        <x:v>بيانات المشروع</x:v>
      </x:c>
      <x:c r="B7" s="12" t="str">
        <x:v>عدد الفيلات تحت التنفيذ</x:v>
      </x:c>
      <x:c r="C7" s="14" t="n">
        <x:v>50</x:v>
      </x:c>
      <x:c r="D7" s="12" t="str">
        <x:v>فيلا</x:v>
      </x:c>
      <x:c r="E7" s="12" t="str">
        <x:v>مطابق للتوزيع التنفيذي</x:v>
      </x:c>
      <x:c r="F7" s="12" t="str">
        <x:v>تقدم التنفيذ</x:v>
      </x:c>
      <x:c r="G7" s="12" t="str">
        <x:v>مدخل</x:v>
      </x:c>
    </x:row>
    <x:row r="8">
      <x:c r="A8" s="12" t="str">
        <x:v>بيانات المشروع</x:v>
      </x:c>
      <x:c r="B8" s="12" t="str">
        <x:v>عدد الفيلات في مرحلة مبكرة</x:v>
      </x:c>
      <x:c r="C8" s="14" t="n">
        <x:v>40</x:v>
      </x:c>
      <x:c r="D8" s="12" t="str">
        <x:v>فيلا</x:v>
      </x:c>
      <x:c r="E8" s="12" t="str">
        <x:v>مطابق للتوزيع التنفيذي</x:v>
      </x:c>
      <x:c r="F8" s="12" t="str">
        <x:v>تقدم التنفيذ</x:v>
      </x:c>
      <x:c r="G8" s="12" t="str">
        <x:v>مدخل</x:v>
      </x:c>
    </x:row>
    <x:row r="9">
      <x:c r="A9" s="12" t="str">
        <x:v>البيع</x:v>
      </x:c>
      <x:c r="B9" s="12" t="str">
        <x:v>متوسط سعر بيع الفيلا</x:v>
      </x:c>
      <x:c r="C9" s="14" t="n">
        <x:v>300000</x:v>
      </x:c>
      <x:c r="D9" s="12" t="str">
        <x:v>دولار</x:v>
      </x:c>
      <x:c r="E9" s="12" t="str">
        <x:v>متوسط سعري للمشروع</x:v>
      </x:c>
      <x:c r="F9" s="12" t="str">
        <x:v>تسعير المشروع</x:v>
      </x:c>
      <x:c r="G9" s="12" t="str">
        <x:v>مدخل</x:v>
      </x:c>
    </x:row>
    <x:row r="10">
      <x:c r="A10" s="12" t="str">
        <x:v>البيع</x:v>
      </x:c>
      <x:c r="B10" s="12" t="str">
        <x:v>إجمالي الإيرادات التعاقدية</x:v>
      </x:c>
      <x:c r="C10" s="15" t="n">
        <x:v>36000000</x:v>
      </x:c>
      <x:c r="D10" s="12" t="str">
        <x:v>دولار</x:v>
      </x:c>
      <x:c r="E10" s="12" t="str">
        <x:v>120 × 300,000</x:v>
      </x:c>
      <x:c r="F10" s="12" t="str">
        <x:v>حساب مباشر</x:v>
      </x:c>
      <x:c r="G10" s="12" t="str">
        <x:v>ناتج</x:v>
      </x:c>
    </x:row>
    <x:row r="11">
      <x:c r="A11" s="12" t="str">
        <x:v>البيع</x:v>
      </x:c>
      <x:c r="B11" s="12" t="str">
        <x:v>نسبة البيع المحققة حتى تاريخه</x:v>
      </x:c>
      <x:c r="C11" s="14" t="n">
        <x:v>0.58</x:v>
      </x:c>
      <x:c r="D11" s="12" t="str">
        <x:v>نسبة</x:v>
      </x:c>
      <x:c r="E11" s="12" t="str">
        <x:v>تحصيلات تعاقدية وتوقيعات</x:v>
      </x:c>
      <x:c r="F11" s="12" t="str">
        <x:v>إدارة المبيعات</x:v>
      </x:c>
      <x:c r="G11" s="12" t="str">
        <x:v>مدخل</x:v>
      </x:c>
    </x:row>
    <x:row r="12">
      <x:c r="A12" s="12" t="str">
        <x:v>المساحات</x:v>
      </x:c>
      <x:c r="B12" s="12" t="str">
        <x:v>متوسط مساحة البناء للفيلا</x:v>
      </x:c>
      <x:c r="C12" s="14" t="n">
        <x:v>420</x:v>
      </x:c>
      <x:c r="D12" s="12" t="str">
        <x:v>م2</x:v>
      </x:c>
      <x:c r="E12" s="12" t="str">
        <x:v>متوسط عبر النماذج</x:v>
      </x:c>
      <x:c r="F12" s="12" t="str">
        <x:v>التصميم</x:v>
      </x:c>
      <x:c r="G12" s="12" t="str">
        <x:v>مدخل</x:v>
      </x:c>
    </x:row>
    <x:row r="13">
      <x:c r="A13" s="12" t="str">
        <x:v>المساحات</x:v>
      </x:c>
      <x:c r="B13" s="12" t="str">
        <x:v>إجمالي المساحة المبنية</x:v>
      </x:c>
      <x:c r="C13" s="14" t="n">
        <x:v>50400</x:v>
      </x:c>
      <x:c r="D13" s="12" t="str">
        <x:v>م2</x:v>
      </x:c>
      <x:c r="E13" s="12" t="str">
        <x:v>120 × 420</x:v>
      </x:c>
      <x:c r="F13" s="12" t="str">
        <x:v>حساب مباشر</x:v>
      </x:c>
      <x:c r="G13" s="12" t="str">
        <x:v>ناتج</x:v>
      </x:c>
    </x:row>
    <x:row r="14">
      <x:c r="A14" s="12" t="str">
        <x:v>التكلفة</x:v>
      </x:c>
      <x:c r="B14" s="12" t="str">
        <x:v>الميزانية الأصلية المعتمدة</x:v>
      </x:c>
      <x:c r="C14" s="14" t="n">
        <x:v>26400000</x:v>
      </x:c>
      <x:c r="D14" s="12" t="str">
        <x:v>دولار</x:v>
      </x:c>
      <x:c r="E14" s="12" t="str">
        <x:v>مرجع المشروع</x:v>
      </x:c>
      <x:c r="F14" s="12" t="str">
        <x:v>الاعتماد المالي</x:v>
      </x:c>
      <x:c r="G14" s="12" t="str">
        <x:v>مدخل</x:v>
      </x:c>
    </x:row>
    <x:row r="15">
      <x:c r="A15" s="12" t="str">
        <x:v>التكلفة</x:v>
      </x:c>
      <x:c r="B15" s="12" t="str">
        <x:v>احتياطي المخاطر</x:v>
      </x:c>
      <x:c r="C15" s="14" t="n">
        <x:v>1200000</x:v>
      </x:c>
      <x:c r="D15" s="12" t="str">
        <x:v>دولار</x:v>
      </x:c>
      <x:c r="E15" s="12" t="str">
        <x:v>ضمن الميزانية</x:v>
      </x:c>
      <x:c r="F15" s="12" t="str">
        <x:v>الإدارة المالية</x:v>
      </x:c>
      <x:c r="G15" s="12" t="str">
        <x:v>مدخل</x:v>
      </x:c>
    </x:row>
    <x:row r="16">
      <x:c r="A16" s="12" t="str">
        <x:v>التكلفة</x:v>
      </x:c>
      <x:c r="B16" s="12" t="str">
        <x:v>احتياطي التضخم</x:v>
      </x:c>
      <x:c r="C16" s="15" t="n">
        <x:v>600000</x:v>
      </x:c>
      <x:c r="D16" s="12" t="str">
        <x:v>دولار</x:v>
      </x:c>
      <x:c r="E16" s="12" t="str">
        <x:v>ضمن الميزانية</x:v>
      </x:c>
      <x:c r="F16" s="12" t="str">
        <x:v>الإدارة المالية</x:v>
      </x:c>
      <x:c r="G16" s="12" t="str">
        <x:v>مدخل</x:v>
      </x:c>
    </x:row>
    <x:row r="17">
      <x:c r="A17" s="12" t="str">
        <x:v>الجودة</x:v>
      </x:c>
      <x:c r="B17" s="12" t="str">
        <x:v>نسبة هدر المواد المستهدفة</x:v>
      </x:c>
      <x:c r="C17" s="15" t="n">
        <x:v>0.025</x:v>
      </x:c>
      <x:c r="D17" s="12" t="str">
        <x:v>نسبة</x:v>
      </x:c>
      <x:c r="E17" s="12" t="str">
        <x:v>هدف الإدارة</x:v>
      </x:c>
      <x:c r="F17" s="12" t="str">
        <x:v>سياسة الجودة</x:v>
      </x:c>
      <x:c r="G17" s="12" t="str">
        <x:v>مدخل</x:v>
      </x:c>
    </x:row>
    <x:row r="18">
      <x:c r="A18" s="12" t="str">
        <x:v>الجودة</x:v>
      </x:c>
      <x:c r="B18" s="12" t="str">
        <x:v>نسبة هدر المواد الفعلية</x:v>
      </x:c>
      <x:c r="C18" s="14" t="n">
        <x:v>0.031</x:v>
      </x:c>
      <x:c r="D18" s="12" t="str">
        <x:v>نسبة</x:v>
      </x:c>
      <x:c r="E18" s="12" t="str">
        <x:v>مرتبطة بملف الجودة</x:v>
      </x:c>
      <x:c r="F18" s="12" t="str">
        <x:v>تقارير الهدر</x:v>
      </x:c>
      <x:c r="G18" s="12" t="str">
        <x:v>مدخل</x:v>
      </x:c>
    </x:row>
    <x:row r="19">
      <x:c r="A19" s="12" t="str">
        <x:v>الجودة</x:v>
      </x:c>
      <x:c r="B19" s="12" t="str">
        <x:v>تكلفة إعادة العمل المستهدفة</x:v>
      </x:c>
      <x:c r="C19" s="14" t="n">
        <x:v>240000</x:v>
      </x:c>
      <x:c r="D19" s="12" t="str">
        <x:v>دولار</x:v>
      </x:c>
      <x:c r="E19" s="12" t="str">
        <x:v>أقل من 1% من الأعمال المنفذة</x:v>
      </x:c>
      <x:c r="F19" s="12" t="str">
        <x:v>خطة الجودة</x:v>
      </x:c>
      <x:c r="G19" s="12" t="str">
        <x:v>مدخل</x:v>
      </x:c>
    </x:row>
    <x:row r="20">
      <x:c r="A20" s="12" t="str">
        <x:v>الجودة</x:v>
      </x:c>
      <x:c r="B20" s="12" t="str">
        <x:v>تكلفة إعادة العمل الفعلية</x:v>
      </x:c>
      <x:c r="C20" s="14" t="n">
        <x:v>460000</x:v>
      </x:c>
      <x:c r="D20" s="12" t="str">
        <x:v>دولار</x:v>
      </x:c>
      <x:c r="E20" s="12" t="str">
        <x:v>مرتبطة بالعيوب والفحوصات</x:v>
      </x:c>
      <x:c r="F20" s="12" t="str">
        <x:v>تقارير الموقع</x:v>
      </x:c>
      <x:c r="G20" s="12" t="str">
        <x:v>مدخل</x:v>
      </x:c>
    </x:row>
    <x:row r="21">
      <x:c r="A21" s="12" t="str">
        <x:v>الزمن</x:v>
      </x:c>
      <x:c r="B21" s="12" t="str">
        <x:v>مدة المشروع الأصلية</x:v>
      </x:c>
      <x:c r="C21" s="14" t="n">
        <x:v>24</x:v>
      </x:c>
      <x:c r="D21" s="12" t="str">
        <x:v>شهر</x:v>
      </x:c>
      <x:c r="E21" s="12" t="str">
        <x:v>خطة المشروع</x:v>
      </x:c>
      <x:c r="F21" s="12" t="str">
        <x:v>البرنامج الزمني</x:v>
      </x:c>
      <x:c r="G21" s="12" t="str">
        <x:v>مدخل</x:v>
      </x:c>
    </x:row>
    <x:row r="22">
      <x:c r="A22" s="12" t="str">
        <x:v>الزمن</x:v>
      </x:c>
      <x:c r="B22" s="12" t="str">
        <x:v>مدة المشروع المنقضية</x:v>
      </x:c>
      <x:c r="C22" s="14" t="n">
        <x:v>14</x:v>
      </x:c>
      <x:c r="D22" s="12" t="str">
        <x:v>شهر</x:v>
      </x:c>
      <x:c r="E22" s="12" t="str">
        <x:v>حتى تاريخ التقرير</x:v>
      </x:c>
      <x:c r="F22" s="12" t="str">
        <x:v>البرنامج الزمني</x:v>
      </x:c>
      <x:c r="G22" s="12" t="str">
        <x:v>مدخل</x:v>
      </x:c>
    </x:row>
    <x:row r="23">
      <x:c r="A23" s="12" t="str">
        <x:v>الزمن</x:v>
      </x:c>
      <x:c r="B23" s="12" t="str">
        <x:v>التكلفة الشهرية غير المباشرة</x:v>
      </x:c>
      <x:c r="C23" s="14" t="n">
        <x:v>115000</x:v>
      </x:c>
      <x:c r="D23" s="12" t="str">
        <x:v>دولار</x:v>
      </x:c>
      <x:c r="E23" s="12" t="str">
        <x:v>إدارة وإشراف وموقع</x:v>
      </x:c>
      <x:c r="F23" s="12" t="str">
        <x:v>الإدارة المالية</x:v>
      </x:c>
      <x:c r="G23" s="12" t="str">
        <x:v>مدخل</x:v>
      </x:c>
    </x:row>
    <x:row r="24">
      <x:c r="A24" s="12" t="str">
        <x:v>المقاولين</x:v>
      </x:c>
      <x:c r="B24" s="12" t="str">
        <x:v>عدد المقاولين الرئيسيين</x:v>
      </x:c>
      <x:c r="C24" s="14" t="n">
        <x:v>4</x:v>
      </x:c>
      <x:c r="D24" s="12" t="str">
        <x:v>مقاول</x:v>
      </x:c>
      <x:c r="E24" s="12" t="str">
        <x:v>مطابق للتنفيذ</x:v>
      </x:c>
      <x:c r="F24" s="12" t="str">
        <x:v>الإدارة التعاقدية</x:v>
      </x:c>
      <x:c r="G24" s="12" t="str">
        <x:v>مدخل</x:v>
      </x:c>
    </x:row>
  </x:sheetData>
  <x:mergeCells>
    <x:mergeCell ref="A1:G1"/>
  </x:mergeCells>
  <x:conditionalFormatting sqref="C4:C24">
    <x:cfRule type="expression" dxfId="0" priority="1">
      <x:formula>OR(B4="نسبة الإنجاز الحالية",B4="نسبة البيع المحققة حتى تاريخه",B4="نسبة هدر المواد المستهدفة",B4="نسبة هدر المواد الفعلية")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.140000343322754" hidden="0" customWidth="1"/>
    <x:col min="2" max="2" width="9.569999694824219" hidden="0" customWidth="1"/>
    <x:col min="3" max="3" width="12.859999656677246" hidden="0" customWidth="1"/>
    <x:col min="4" max="4" width="13.859999656677246" hidden="0" customWidth="1"/>
    <x:col min="5" max="5" width="12.710000038146973" hidden="0" customWidth="1"/>
    <x:col min="6" max="6" width="20.290000915527344" hidden="0" customWidth="1"/>
    <x:col min="7" max="7" width="27.860000610351562" hidden="0" customWidth="1"/>
    <x:col min="8" max="8" width="29" hidden="0" customWidth="1"/>
    <x:col min="9" max="9" width="12" hidden="0" customWidth="1"/>
    <x:col min="10" max="10" width="31.860000610351562" hidden="0" customWidth="1"/>
    <x:col min="11" max="11" width="14" hidden="0" customWidth="1"/>
    <x:col min="12" max="12" width="26.860000610351562" hidden="0" customWidth="1"/>
    <x:col min="13" max="13" width="19" hidden="0" customWidth="1"/>
    <x:col min="14" max="14" width="22.139999389648438" hidden="0" customWidth="1"/>
  </x:cols>
  <x:sheetData>
    <x:row r="1">
      <x:c r="A1" s="11" t="str">
        <x:v>توزيع الفيلات والتكلفة الحالية حسب حالة التنفيذ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3">
      <x:c r="A3" s="13" t="str">
        <x:v>رقم الفيلا</x:v>
      </x:c>
      <x:c r="B3" s="13" t="str">
        <x:v>النموذج</x:v>
      </x:c>
      <x:c r="C3" s="13" t="str">
        <x:v>المساحة م2</x:v>
      </x:c>
      <x:c r="D3" s="13" t="str">
        <x:v>الحالة</x:v>
      </x:c>
      <x:c r="E3" s="13" t="str">
        <x:v>نسبة الإنجاز</x:v>
      </x:c>
      <x:c r="F3" s="13" t="str">
        <x:v>الميزانية المخططة</x:v>
      </x:c>
      <x:c r="G3" s="13" t="str">
        <x:v>التكلفة الفعلية حتى تاريخه</x:v>
      </x:c>
      <x:c r="H3" s="13" t="str">
        <x:v>التكلفة المتوقعة عند الإنجاز</x:v>
      </x:c>
      <x:c r="I3" s="13" t="str">
        <x:v>سعر البيع</x:v>
      </x:c>
      <x:c r="J3" s="13" t="str">
        <x:v>الإيراد المعترف به حتى تاريخه</x:v>
      </x:c>
      <x:c r="K3" s="13" t="str">
        <x:v>الربح المتوقع</x:v>
      </x:c>
      <x:c r="L3" s="13" t="str">
        <x:v>عدد الملاحظات المفتوحة</x:v>
      </x:c>
      <x:c r="M3" s="13" t="str">
        <x:v>تكلفة إعادة العمل</x:v>
      </x:c>
      <x:c r="N3" s="13" t="str">
        <x:v>تكلفة الهدر التقديرية</x:v>
      </x:c>
    </x:row>
    <x:row r="4">
      <x:c r="A4" s="12" t="n">
        <x:v>1</x:v>
      </x:c>
      <x:c r="B4" s="12" t="str">
        <x:v>نموذج أ</x:v>
      </x:c>
      <x:c r="C4" s="12" t="n">
        <x:v>380</x:v>
      </x:c>
      <x:c r="D4" s="12" t="str">
        <x:v>مكتملة</x:v>
      </x:c>
      <x:c r="E4" s="15" t="n">
        <x:v>1</x:v>
      </x:c>
      <x:c r="F4" s="14" t="n">
        <x:v>205000</x:v>
      </x:c>
      <x:c r="G4" s="14" t="n">
        <x:v>208690</x:v>
      </x:c>
      <x:c r="H4" s="14" t="n">
        <x:v>206640</x:v>
      </x:c>
      <x:c r="I4" s="14" t="n">
        <x:v>275000</x:v>
      </x:c>
      <x:c r="J4" s="14" t="n">
        <x:v>275000</x:v>
      </x:c>
      <x:c r="K4" s="14" t="n">
        <x:v>68360</x:v>
      </x:c>
      <x:c r="L4" s="12" t="n">
        <x:v>2</x:v>
      </x:c>
      <x:c r="M4" s="14" t="n">
        <x:v>3075</x:v>
      </x:c>
      <x:c r="N4" s="14" t="n">
        <x:v>4100</x:v>
      </x:c>
    </x:row>
    <x:row r="5">
      <x:c r="A5" s="12" t="n">
        <x:v>2</x:v>
      </x:c>
      <x:c r="B5" s="12" t="str">
        <x:v>نموذج أ</x:v>
      </x:c>
      <x:c r="C5" s="12" t="n">
        <x:v>380</x:v>
      </x:c>
      <x:c r="D5" s="12" t="str">
        <x:v>مكتملة</x:v>
      </x:c>
      <x:c r="E5" s="15" t="n">
        <x:v>1</x:v>
      </x:c>
      <x:c r="F5" s="14" t="n">
        <x:v>205000</x:v>
      </x:c>
      <x:c r="G5" s="14" t="n">
        <x:v>208690</x:v>
      </x:c>
      <x:c r="H5" s="14" t="n">
        <x:v>206640</x:v>
      </x:c>
      <x:c r="I5" s="14" t="n">
        <x:v>275000</x:v>
      </x:c>
      <x:c r="J5" s="14" t="n">
        <x:v>275000</x:v>
      </x:c>
      <x:c r="K5" s="14" t="n">
        <x:v>68360</x:v>
      </x:c>
      <x:c r="L5" s="12" t="n">
        <x:v>3</x:v>
      </x:c>
      <x:c r="M5" s="14" t="n">
        <x:v>3075</x:v>
      </x:c>
      <x:c r="N5" s="14" t="n">
        <x:v>4100</x:v>
      </x:c>
    </x:row>
    <x:row r="6">
      <x:c r="A6" s="12" t="n">
        <x:v>3</x:v>
      </x:c>
      <x:c r="B6" s="12" t="str">
        <x:v>نموذج أ</x:v>
      </x:c>
      <x:c r="C6" s="12" t="n">
        <x:v>380</x:v>
      </x:c>
      <x:c r="D6" s="12" t="str">
        <x:v>مكتملة</x:v>
      </x:c>
      <x:c r="E6" s="15" t="n">
        <x:v>1</x:v>
      </x:c>
      <x:c r="F6" s="14" t="n">
        <x:v>205000</x:v>
      </x:c>
      <x:c r="G6" s="14" t="n">
        <x:v>203360</x:v>
      </x:c>
      <x:c r="H6" s="14" t="n">
        <x:v>206640</x:v>
      </x:c>
      <x:c r="I6" s="14" t="n">
        <x:v>275000</x:v>
      </x:c>
      <x:c r="J6" s="14" t="n">
        <x:v>275000</x:v>
      </x:c>
      <x:c r="K6" s="14" t="n">
        <x:v>68360</x:v>
      </x:c>
      <x:c r="L6" s="12" t="n">
        <x:v>1</x:v>
      </x:c>
      <x:c r="M6" s="14" t="n">
        <x:v>3075</x:v>
      </x:c>
      <x:c r="N6" s="14" t="n">
        <x:v>4100</x:v>
      </x:c>
    </x:row>
    <x:row r="7">
      <x:c r="A7" s="12" t="n">
        <x:v>4</x:v>
      </x:c>
      <x:c r="B7" s="12" t="str">
        <x:v>نموذج أ</x:v>
      </x:c>
      <x:c r="C7" s="12" t="n">
        <x:v>380</x:v>
      </x:c>
      <x:c r="D7" s="12" t="str">
        <x:v>مكتملة</x:v>
      </x:c>
      <x:c r="E7" s="15" t="n">
        <x:v>1</x:v>
      </x:c>
      <x:c r="F7" s="14" t="n">
        <x:v>205000</x:v>
      </x:c>
      <x:c r="G7" s="14" t="n">
        <x:v>203360</x:v>
      </x:c>
      <x:c r="H7" s="14" t="n">
        <x:v>206640</x:v>
      </x:c>
      <x:c r="I7" s="14" t="n">
        <x:v>275000</x:v>
      </x:c>
      <x:c r="J7" s="14" t="n">
        <x:v>275000</x:v>
      </x:c>
      <x:c r="K7" s="14" t="n">
        <x:v>68360</x:v>
      </x:c>
      <x:c r="L7" s="12" t="n">
        <x:v>2</x:v>
      </x:c>
      <x:c r="M7" s="14" t="n">
        <x:v>3075</x:v>
      </x:c>
      <x:c r="N7" s="14" t="n">
        <x:v>4100</x:v>
      </x:c>
    </x:row>
    <x:row r="8">
      <x:c r="A8" s="12" t="n">
        <x:v>5</x:v>
      </x:c>
      <x:c r="B8" s="12" t="str">
        <x:v>نموذج أ</x:v>
      </x:c>
      <x:c r="C8" s="12" t="n">
        <x:v>380</x:v>
      </x:c>
      <x:c r="D8" s="12" t="str">
        <x:v>مكتملة</x:v>
      </x:c>
      <x:c r="E8" s="15" t="n">
        <x:v>1</x:v>
      </x:c>
      <x:c r="F8" s="14" t="n">
        <x:v>205000</x:v>
      </x:c>
      <x:c r="G8" s="14" t="n">
        <x:v>203360</x:v>
      </x:c>
      <x:c r="H8" s="14" t="n">
        <x:v>206640</x:v>
      </x:c>
      <x:c r="I8" s="14" t="n">
        <x:v>275000</x:v>
      </x:c>
      <x:c r="J8" s="14" t="n">
        <x:v>275000</x:v>
      </x:c>
      <x:c r="K8" s="14" t="n">
        <x:v>68360</x:v>
      </x:c>
      <x:c r="L8" s="12" t="n">
        <x:v>3</x:v>
      </x:c>
      <x:c r="M8" s="14" t="n">
        <x:v>3075</x:v>
      </x:c>
      <x:c r="N8" s="14" t="n">
        <x:v>4100</x:v>
      </x:c>
    </x:row>
    <x:row r="9">
      <x:c r="A9" s="12" t="n">
        <x:v>6</x:v>
      </x:c>
      <x:c r="B9" s="12" t="str">
        <x:v>نموذج أ</x:v>
      </x:c>
      <x:c r="C9" s="12" t="n">
        <x:v>380</x:v>
      </x:c>
      <x:c r="D9" s="12" t="str">
        <x:v>مكتملة</x:v>
      </x:c>
      <x:c r="E9" s="15" t="n">
        <x:v>1</x:v>
      </x:c>
      <x:c r="F9" s="14" t="n">
        <x:v>205000</x:v>
      </x:c>
      <x:c r="G9" s="14" t="n">
        <x:v>203360</x:v>
      </x:c>
      <x:c r="H9" s="14" t="n">
        <x:v>206640</x:v>
      </x:c>
      <x:c r="I9" s="14" t="n">
        <x:v>275000</x:v>
      </x:c>
      <x:c r="J9" s="14" t="n">
        <x:v>275000</x:v>
      </x:c>
      <x:c r="K9" s="14" t="n">
        <x:v>68360</x:v>
      </x:c>
      <x:c r="L9" s="12" t="n">
        <x:v>1</x:v>
      </x:c>
      <x:c r="M9" s="14" t="n">
        <x:v>3075</x:v>
      </x:c>
      <x:c r="N9" s="14" t="n">
        <x:v>4100</x:v>
      </x:c>
    </x:row>
    <x:row r="10">
      <x:c r="A10" s="12" t="n">
        <x:v>7</x:v>
      </x:c>
      <x:c r="B10" s="12" t="str">
        <x:v>نموذج أ</x:v>
      </x:c>
      <x:c r="C10" s="12" t="n">
        <x:v>380</x:v>
      </x:c>
      <x:c r="D10" s="12" t="str">
        <x:v>مكتملة</x:v>
      </x:c>
      <x:c r="E10" s="15" t="n">
        <x:v>1</x:v>
      </x:c>
      <x:c r="F10" s="14" t="n">
        <x:v>205000</x:v>
      </x:c>
      <x:c r="G10" s="14" t="n">
        <x:v>208690</x:v>
      </x:c>
      <x:c r="H10" s="14" t="n">
        <x:v>206640</x:v>
      </x:c>
      <x:c r="I10" s="14" t="n">
        <x:v>275000</x:v>
      </x:c>
      <x:c r="J10" s="14" t="n">
        <x:v>275000</x:v>
      </x:c>
      <x:c r="K10" s="14" t="n">
        <x:v>68360</x:v>
      </x:c>
      <x:c r="L10" s="12" t="n">
        <x:v>2</x:v>
      </x:c>
      <x:c r="M10" s="14" t="n">
        <x:v>3075</x:v>
      </x:c>
      <x:c r="N10" s="14" t="n">
        <x:v>4100</x:v>
      </x:c>
    </x:row>
    <x:row r="11">
      <x:c r="A11" s="12" t="n">
        <x:v>8</x:v>
      </x:c>
      <x:c r="B11" s="12" t="str">
        <x:v>نموذج أ</x:v>
      </x:c>
      <x:c r="C11" s="12" t="n">
        <x:v>380</x:v>
      </x:c>
      <x:c r="D11" s="12" t="str">
        <x:v>مكتملة</x:v>
      </x:c>
      <x:c r="E11" s="15" t="n">
        <x:v>1</x:v>
      </x:c>
      <x:c r="F11" s="14" t="n">
        <x:v>205000</x:v>
      </x:c>
      <x:c r="G11" s="14" t="n">
        <x:v>208690</x:v>
      </x:c>
      <x:c r="H11" s="14" t="n">
        <x:v>206640</x:v>
      </x:c>
      <x:c r="I11" s="14" t="n">
        <x:v>275000</x:v>
      </x:c>
      <x:c r="J11" s="14" t="n">
        <x:v>275000</x:v>
      </x:c>
      <x:c r="K11" s="14" t="n">
        <x:v>68360</x:v>
      </x:c>
      <x:c r="L11" s="12" t="n">
        <x:v>3</x:v>
      </x:c>
      <x:c r="M11" s="14" t="n">
        <x:v>3075</x:v>
      </x:c>
      <x:c r="N11" s="14" t="n">
        <x:v>4100</x:v>
      </x:c>
    </x:row>
    <x:row r="12">
      <x:c r="A12" s="12" t="n">
        <x:v>9</x:v>
      </x:c>
      <x:c r="B12" s="12" t="str">
        <x:v>نموذج أ</x:v>
      </x:c>
      <x:c r="C12" s="12" t="n">
        <x:v>380</x:v>
      </x:c>
      <x:c r="D12" s="12" t="str">
        <x:v>مكتملة</x:v>
      </x:c>
      <x:c r="E12" s="15" t="n">
        <x:v>1</x:v>
      </x:c>
      <x:c r="F12" s="14" t="n">
        <x:v>205000</x:v>
      </x:c>
      <x:c r="G12" s="14" t="n">
        <x:v>208690</x:v>
      </x:c>
      <x:c r="H12" s="14" t="n">
        <x:v>206640</x:v>
      </x:c>
      <x:c r="I12" s="14" t="n">
        <x:v>275000</x:v>
      </x:c>
      <x:c r="J12" s="14" t="n">
        <x:v>275000</x:v>
      </x:c>
      <x:c r="K12" s="14" t="n">
        <x:v>68360</x:v>
      </x:c>
      <x:c r="L12" s="12" t="n">
        <x:v>1</x:v>
      </x:c>
      <x:c r="M12" s="14" t="n">
        <x:v>3075</x:v>
      </x:c>
      <x:c r="N12" s="14" t="n">
        <x:v>4100</x:v>
      </x:c>
    </x:row>
    <x:row r="13">
      <x:c r="A13" s="12" t="n">
        <x:v>10</x:v>
      </x:c>
      <x:c r="B13" s="12" t="str">
        <x:v>نموذج أ</x:v>
      </x:c>
      <x:c r="C13" s="12" t="n">
        <x:v>380</x:v>
      </x:c>
      <x:c r="D13" s="12" t="str">
        <x:v>مكتملة</x:v>
      </x:c>
      <x:c r="E13" s="15" t="n">
        <x:v>1</x:v>
      </x:c>
      <x:c r="F13" s="14" t="n">
        <x:v>205000</x:v>
      </x:c>
      <x:c r="G13" s="14" t="n">
        <x:v>203360</x:v>
      </x:c>
      <x:c r="H13" s="14" t="n">
        <x:v>206640</x:v>
      </x:c>
      <x:c r="I13" s="14" t="n">
        <x:v>275000</x:v>
      </x:c>
      <x:c r="J13" s="14" t="n">
        <x:v>275000</x:v>
      </x:c>
      <x:c r="K13" s="14" t="n">
        <x:v>68360</x:v>
      </x:c>
      <x:c r="L13" s="12" t="n">
        <x:v>2</x:v>
      </x:c>
      <x:c r="M13" s="14" t="n">
        <x:v>3075</x:v>
      </x:c>
      <x:c r="N13" s="14" t="n">
        <x:v>4100</x:v>
      </x:c>
    </x:row>
    <x:row r="14">
      <x:c r="A14" s="12" t="n">
        <x:v>11</x:v>
      </x:c>
      <x:c r="B14" s="12" t="str">
        <x:v>نموذج أ</x:v>
      </x:c>
      <x:c r="C14" s="12" t="n">
        <x:v>380</x:v>
      </x:c>
      <x:c r="D14" s="12" t="str">
        <x:v>مكتملة</x:v>
      </x:c>
      <x:c r="E14" s="15" t="n">
        <x:v>1</x:v>
      </x:c>
      <x:c r="F14" s="14" t="n">
        <x:v>205000</x:v>
      </x:c>
      <x:c r="G14" s="14" t="n">
        <x:v>203360</x:v>
      </x:c>
      <x:c r="H14" s="14" t="n">
        <x:v>206640</x:v>
      </x:c>
      <x:c r="I14" s="14" t="n">
        <x:v>275000</x:v>
      </x:c>
      <x:c r="J14" s="14" t="n">
        <x:v>275000</x:v>
      </x:c>
      <x:c r="K14" s="14" t="n">
        <x:v>68360</x:v>
      </x:c>
      <x:c r="L14" s="12" t="n">
        <x:v>3</x:v>
      </x:c>
      <x:c r="M14" s="14" t="n">
        <x:v>3075</x:v>
      </x:c>
      <x:c r="N14" s="14" t="n">
        <x:v>4100</x:v>
      </x:c>
    </x:row>
    <x:row r="15">
      <x:c r="A15" s="12" t="n">
        <x:v>12</x:v>
      </x:c>
      <x:c r="B15" s="12" t="str">
        <x:v>نموذج أ</x:v>
      </x:c>
      <x:c r="C15" s="12" t="n">
        <x:v>380</x:v>
      </x:c>
      <x:c r="D15" s="12" t="str">
        <x:v>مكتملة</x:v>
      </x:c>
      <x:c r="E15" s="15" t="n">
        <x:v>1</x:v>
      </x:c>
      <x:c r="F15" s="14" t="n">
        <x:v>205000</x:v>
      </x:c>
      <x:c r="G15" s="14" t="n">
        <x:v>203360</x:v>
      </x:c>
      <x:c r="H15" s="14" t="n">
        <x:v>206640</x:v>
      </x:c>
      <x:c r="I15" s="14" t="n">
        <x:v>275000</x:v>
      </x:c>
      <x:c r="J15" s="14" t="n">
        <x:v>275000</x:v>
      </x:c>
      <x:c r="K15" s="14" t="n">
        <x:v>68360</x:v>
      </x:c>
      <x:c r="L15" s="12" t="n">
        <x:v>1</x:v>
      </x:c>
      <x:c r="M15" s="14" t="n">
        <x:v>3075</x:v>
      </x:c>
      <x:c r="N15" s="14" t="n">
        <x:v>4100</x:v>
      </x:c>
    </x:row>
    <x:row r="16">
      <x:c r="A16" s="12" t="n">
        <x:v>13</x:v>
      </x:c>
      <x:c r="B16" s="12" t="str">
        <x:v>نموذج أ</x:v>
      </x:c>
      <x:c r="C16" s="12" t="n">
        <x:v>380</x:v>
      </x:c>
      <x:c r="D16" s="12" t="str">
        <x:v>مكتملة</x:v>
      </x:c>
      <x:c r="E16" s="15" t="n">
        <x:v>1</x:v>
      </x:c>
      <x:c r="F16" s="14" t="n">
        <x:v>205000</x:v>
      </x:c>
      <x:c r="G16" s="14" t="n">
        <x:v>203360</x:v>
      </x:c>
      <x:c r="H16" s="14" t="n">
        <x:v>206640</x:v>
      </x:c>
      <x:c r="I16" s="14" t="n">
        <x:v>275000</x:v>
      </x:c>
      <x:c r="J16" s="14" t="n">
        <x:v>275000</x:v>
      </x:c>
      <x:c r="K16" s="14" t="n">
        <x:v>68360</x:v>
      </x:c>
      <x:c r="L16" s="12" t="n">
        <x:v>2</x:v>
      </x:c>
      <x:c r="M16" s="14" t="n">
        <x:v>3075</x:v>
      </x:c>
      <x:c r="N16" s="14" t="n">
        <x:v>4100</x:v>
      </x:c>
    </x:row>
    <x:row r="17">
      <x:c r="A17" s="12" t="n">
        <x:v>14</x:v>
      </x:c>
      <x:c r="B17" s="12" t="str">
        <x:v>نموذج أ</x:v>
      </x:c>
      <x:c r="C17" s="12" t="n">
        <x:v>380</x:v>
      </x:c>
      <x:c r="D17" s="12" t="str">
        <x:v>مكتملة</x:v>
      </x:c>
      <x:c r="E17" s="15" t="n">
        <x:v>1</x:v>
      </x:c>
      <x:c r="F17" s="14" t="n">
        <x:v>205000</x:v>
      </x:c>
      <x:c r="G17" s="14" t="n">
        <x:v>208690</x:v>
      </x:c>
      <x:c r="H17" s="14" t="n">
        <x:v>206640</x:v>
      </x:c>
      <x:c r="I17" s="14" t="n">
        <x:v>275000</x:v>
      </x:c>
      <x:c r="J17" s="14" t="n">
        <x:v>275000</x:v>
      </x:c>
      <x:c r="K17" s="14" t="n">
        <x:v>68360</x:v>
      </x:c>
      <x:c r="L17" s="12" t="n">
        <x:v>3</x:v>
      </x:c>
      <x:c r="M17" s="14" t="n">
        <x:v>3075</x:v>
      </x:c>
      <x:c r="N17" s="14" t="n">
        <x:v>4100</x:v>
      </x:c>
    </x:row>
    <x:row r="18">
      <x:c r="A18" s="12" t="n">
        <x:v>15</x:v>
      </x:c>
      <x:c r="B18" s="12" t="str">
        <x:v>نموذج أ</x:v>
      </x:c>
      <x:c r="C18" s="12" t="n">
        <x:v>380</x:v>
      </x:c>
      <x:c r="D18" s="12" t="str">
        <x:v>مكتملة</x:v>
      </x:c>
      <x:c r="E18" s="15" t="n">
        <x:v>1</x:v>
      </x:c>
      <x:c r="F18" s="14" t="n">
        <x:v>205000</x:v>
      </x:c>
      <x:c r="G18" s="14" t="n">
        <x:v>208690</x:v>
      </x:c>
      <x:c r="H18" s="14" t="n">
        <x:v>206640</x:v>
      </x:c>
      <x:c r="I18" s="14" t="n">
        <x:v>275000</x:v>
      </x:c>
      <x:c r="J18" s="14" t="n">
        <x:v>275000</x:v>
      </x:c>
      <x:c r="K18" s="14" t="n">
        <x:v>68360</x:v>
      </x:c>
      <x:c r="L18" s="12" t="n">
        <x:v>1</x:v>
      </x:c>
      <x:c r="M18" s="14" t="n">
        <x:v>3075</x:v>
      </x:c>
      <x:c r="N18" s="14" t="n">
        <x:v>4100</x:v>
      </x:c>
    </x:row>
    <x:row r="19">
      <x:c r="A19" s="12" t="n">
        <x:v>16</x:v>
      </x:c>
      <x:c r="B19" s="12" t="str">
        <x:v>نموذج أ</x:v>
      </x:c>
      <x:c r="C19" s="12" t="n">
        <x:v>380</x:v>
      </x:c>
      <x:c r="D19" s="12" t="str">
        <x:v>مكتملة</x:v>
      </x:c>
      <x:c r="E19" s="15" t="n">
        <x:v>1</x:v>
      </x:c>
      <x:c r="F19" s="14" t="n">
        <x:v>205000</x:v>
      </x:c>
      <x:c r="G19" s="14" t="n">
        <x:v>208690</x:v>
      </x:c>
      <x:c r="H19" s="14" t="n">
        <x:v>206640</x:v>
      </x:c>
      <x:c r="I19" s="14" t="n">
        <x:v>275000</x:v>
      </x:c>
      <x:c r="J19" s="14" t="n">
        <x:v>275000</x:v>
      </x:c>
      <x:c r="K19" s="14" t="n">
        <x:v>68360</x:v>
      </x:c>
      <x:c r="L19" s="12" t="n">
        <x:v>2</x:v>
      </x:c>
      <x:c r="M19" s="14" t="n">
        <x:v>3075</x:v>
      </x:c>
      <x:c r="N19" s="14" t="n">
        <x:v>4100</x:v>
      </x:c>
    </x:row>
    <x:row r="20">
      <x:c r="A20" s="12" t="n">
        <x:v>17</x:v>
      </x:c>
      <x:c r="B20" s="12" t="str">
        <x:v>نموذج أ</x:v>
      </x:c>
      <x:c r="C20" s="12" t="n">
        <x:v>380</x:v>
      </x:c>
      <x:c r="D20" s="12" t="str">
        <x:v>مكتملة</x:v>
      </x:c>
      <x:c r="E20" s="15" t="n">
        <x:v>1</x:v>
      </x:c>
      <x:c r="F20" s="14" t="n">
        <x:v>205000</x:v>
      </x:c>
      <x:c r="G20" s="14" t="n">
        <x:v>203360</x:v>
      </x:c>
      <x:c r="H20" s="14" t="n">
        <x:v>206640</x:v>
      </x:c>
      <x:c r="I20" s="14" t="n">
        <x:v>275000</x:v>
      </x:c>
      <x:c r="J20" s="14" t="n">
        <x:v>275000</x:v>
      </x:c>
      <x:c r="K20" s="14" t="n">
        <x:v>68360</x:v>
      </x:c>
      <x:c r="L20" s="12" t="n">
        <x:v>3</x:v>
      </x:c>
      <x:c r="M20" s="14" t="n">
        <x:v>3075</x:v>
      </x:c>
      <x:c r="N20" s="14" t="n">
        <x:v>4100</x:v>
      </x:c>
    </x:row>
    <x:row r="21">
      <x:c r="A21" s="12" t="n">
        <x:v>18</x:v>
      </x:c>
      <x:c r="B21" s="12" t="str">
        <x:v>نموذج أ</x:v>
      </x:c>
      <x:c r="C21" s="12" t="n">
        <x:v>380</x:v>
      </x:c>
      <x:c r="D21" s="12" t="str">
        <x:v>مكتملة</x:v>
      </x:c>
      <x:c r="E21" s="15" t="n">
        <x:v>1</x:v>
      </x:c>
      <x:c r="F21" s="14" t="n">
        <x:v>205000</x:v>
      </x:c>
      <x:c r="G21" s="14" t="n">
        <x:v>203360</x:v>
      </x:c>
      <x:c r="H21" s="14" t="n">
        <x:v>206640</x:v>
      </x:c>
      <x:c r="I21" s="14" t="n">
        <x:v>275000</x:v>
      </x:c>
      <x:c r="J21" s="14" t="n">
        <x:v>275000</x:v>
      </x:c>
      <x:c r="K21" s="14" t="n">
        <x:v>68360</x:v>
      </x:c>
      <x:c r="L21" s="12" t="n">
        <x:v>1</x:v>
      </x:c>
      <x:c r="M21" s="14" t="n">
        <x:v>3075</x:v>
      </x:c>
      <x:c r="N21" s="14" t="n">
        <x:v>4100</x:v>
      </x:c>
    </x:row>
    <x:row r="22">
      <x:c r="A22" s="12" t="n">
        <x:v>19</x:v>
      </x:c>
      <x:c r="B22" s="12" t="str">
        <x:v>نموذج أ</x:v>
      </x:c>
      <x:c r="C22" s="12" t="n">
        <x:v>380</x:v>
      </x:c>
      <x:c r="D22" s="12" t="str">
        <x:v>مكتملة</x:v>
      </x:c>
      <x:c r="E22" s="15" t="n">
        <x:v>1</x:v>
      </x:c>
      <x:c r="F22" s="14" t="n">
        <x:v>205000</x:v>
      </x:c>
      <x:c r="G22" s="14" t="n">
        <x:v>203360</x:v>
      </x:c>
      <x:c r="H22" s="14" t="n">
        <x:v>206640</x:v>
      </x:c>
      <x:c r="I22" s="14" t="n">
        <x:v>275000</x:v>
      </x:c>
      <x:c r="J22" s="14" t="n">
        <x:v>275000</x:v>
      </x:c>
      <x:c r="K22" s="14" t="n">
        <x:v>68360</x:v>
      </x:c>
      <x:c r="L22" s="12" t="n">
        <x:v>2</x:v>
      </x:c>
      <x:c r="M22" s="14" t="n">
        <x:v>3075</x:v>
      </x:c>
      <x:c r="N22" s="14" t="n">
        <x:v>4100</x:v>
      </x:c>
    </x:row>
    <x:row r="23">
      <x:c r="A23" s="12" t="n">
        <x:v>20</x:v>
      </x:c>
      <x:c r="B23" s="12" t="str">
        <x:v>نموذج أ</x:v>
      </x:c>
      <x:c r="C23" s="12" t="n">
        <x:v>380</x:v>
      </x:c>
      <x:c r="D23" s="12" t="str">
        <x:v>مكتملة</x:v>
      </x:c>
      <x:c r="E23" s="15" t="n">
        <x:v>1</x:v>
      </x:c>
      <x:c r="F23" s="14" t="n">
        <x:v>205000</x:v>
      </x:c>
      <x:c r="G23" s="14" t="n">
        <x:v>203360</x:v>
      </x:c>
      <x:c r="H23" s="14" t="n">
        <x:v>206640</x:v>
      </x:c>
      <x:c r="I23" s="14" t="n">
        <x:v>275000</x:v>
      </x:c>
      <x:c r="J23" s="14" t="n">
        <x:v>275000</x:v>
      </x:c>
      <x:c r="K23" s="14" t="n">
        <x:v>68360</x:v>
      </x:c>
      <x:c r="L23" s="12" t="n">
        <x:v>3</x:v>
      </x:c>
      <x:c r="M23" s="14" t="n">
        <x:v>3075</x:v>
      </x:c>
      <x:c r="N23" s="14" t="n">
        <x:v>4100</x:v>
      </x:c>
    </x:row>
    <x:row r="24">
      <x:c r="A24" s="12" t="n">
        <x:v>21</x:v>
      </x:c>
      <x:c r="B24" s="12" t="str">
        <x:v>نموذج أ</x:v>
      </x:c>
      <x:c r="C24" s="12" t="n">
        <x:v>380</x:v>
      </x:c>
      <x:c r="D24" s="12" t="str">
        <x:v>مكتملة</x:v>
      </x:c>
      <x:c r="E24" s="15" t="n">
        <x:v>1</x:v>
      </x:c>
      <x:c r="F24" s="14" t="n">
        <x:v>205000</x:v>
      </x:c>
      <x:c r="G24" s="14" t="n">
        <x:v>208690</x:v>
      </x:c>
      <x:c r="H24" s="14" t="n">
        <x:v>206640</x:v>
      </x:c>
      <x:c r="I24" s="14" t="n">
        <x:v>275000</x:v>
      </x:c>
      <x:c r="J24" s="14" t="n">
        <x:v>275000</x:v>
      </x:c>
      <x:c r="K24" s="14" t="n">
        <x:v>68360</x:v>
      </x:c>
      <x:c r="L24" s="12" t="n">
        <x:v>1</x:v>
      </x:c>
      <x:c r="M24" s="14" t="n">
        <x:v>3075</x:v>
      </x:c>
      <x:c r="N24" s="14" t="n">
        <x:v>4100</x:v>
      </x:c>
    </x:row>
    <x:row r="25">
      <x:c r="A25" s="12" t="n">
        <x:v>22</x:v>
      </x:c>
      <x:c r="B25" s="12" t="str">
        <x:v>نموذج أ</x:v>
      </x:c>
      <x:c r="C25" s="12" t="n">
        <x:v>380</x:v>
      </x:c>
      <x:c r="D25" s="12" t="str">
        <x:v>مكتملة</x:v>
      </x:c>
      <x:c r="E25" s="15" t="n">
        <x:v>1</x:v>
      </x:c>
      <x:c r="F25" s="14" t="n">
        <x:v>205000</x:v>
      </x:c>
      <x:c r="G25" s="14" t="n">
        <x:v>208690</x:v>
      </x:c>
      <x:c r="H25" s="14" t="n">
        <x:v>206640</x:v>
      </x:c>
      <x:c r="I25" s="14" t="n">
        <x:v>275000</x:v>
      </x:c>
      <x:c r="J25" s="14" t="n">
        <x:v>275000</x:v>
      </x:c>
      <x:c r="K25" s="14" t="n">
        <x:v>68360</x:v>
      </x:c>
      <x:c r="L25" s="12" t="n">
        <x:v>2</x:v>
      </x:c>
      <x:c r="M25" s="14" t="n">
        <x:v>3075</x:v>
      </x:c>
      <x:c r="N25" s="14" t="n">
        <x:v>4100</x:v>
      </x:c>
    </x:row>
    <x:row r="26">
      <x:c r="A26" s="12" t="n">
        <x:v>23</x:v>
      </x:c>
      <x:c r="B26" s="12" t="str">
        <x:v>نموذج أ</x:v>
      </x:c>
      <x:c r="C26" s="12" t="n">
        <x:v>380</x:v>
      </x:c>
      <x:c r="D26" s="12" t="str">
        <x:v>مكتملة</x:v>
      </x:c>
      <x:c r="E26" s="15" t="n">
        <x:v>1</x:v>
      </x:c>
      <x:c r="F26" s="14" t="n">
        <x:v>205000</x:v>
      </x:c>
      <x:c r="G26" s="14" t="n">
        <x:v>208690</x:v>
      </x:c>
      <x:c r="H26" s="14" t="n">
        <x:v>206640</x:v>
      </x:c>
      <x:c r="I26" s="14" t="n">
        <x:v>275000</x:v>
      </x:c>
      <x:c r="J26" s="14" t="n">
        <x:v>275000</x:v>
      </x:c>
      <x:c r="K26" s="14" t="n">
        <x:v>68360</x:v>
      </x:c>
      <x:c r="L26" s="12" t="n">
        <x:v>3</x:v>
      </x:c>
      <x:c r="M26" s="14" t="n">
        <x:v>3075</x:v>
      </x:c>
      <x:c r="N26" s="14" t="n">
        <x:v>4100</x:v>
      </x:c>
    </x:row>
    <x:row r="27">
      <x:c r="A27" s="12" t="n">
        <x:v>24</x:v>
      </x:c>
      <x:c r="B27" s="12" t="str">
        <x:v>نموذج أ</x:v>
      </x:c>
      <x:c r="C27" s="12" t="n">
        <x:v>380</x:v>
      </x:c>
      <x:c r="D27" s="12" t="str">
        <x:v>مكتملة</x:v>
      </x:c>
      <x:c r="E27" s="15" t="n">
        <x:v>1</x:v>
      </x:c>
      <x:c r="F27" s="14" t="n">
        <x:v>205000</x:v>
      </x:c>
      <x:c r="G27" s="14" t="n">
        <x:v>203360</x:v>
      </x:c>
      <x:c r="H27" s="14" t="n">
        <x:v>206640</x:v>
      </x:c>
      <x:c r="I27" s="14" t="n">
        <x:v>275000</x:v>
      </x:c>
      <x:c r="J27" s="14" t="n">
        <x:v>275000</x:v>
      </x:c>
      <x:c r="K27" s="14" t="n">
        <x:v>68360</x:v>
      </x:c>
      <x:c r="L27" s="12" t="n">
        <x:v>1</x:v>
      </x:c>
      <x:c r="M27" s="14" t="n">
        <x:v>3075</x:v>
      </x:c>
      <x:c r="N27" s="14" t="n">
        <x:v>4100</x:v>
      </x:c>
    </x:row>
    <x:row r="28">
      <x:c r="A28" s="12" t="n">
        <x:v>25</x:v>
      </x:c>
      <x:c r="B28" s="12" t="str">
        <x:v>نموذج أ</x:v>
      </x:c>
      <x:c r="C28" s="12" t="n">
        <x:v>380</x:v>
      </x:c>
      <x:c r="D28" s="12" t="str">
        <x:v>مكتملة</x:v>
      </x:c>
      <x:c r="E28" s="15" t="n">
        <x:v>1</x:v>
      </x:c>
      <x:c r="F28" s="14" t="n">
        <x:v>205000</x:v>
      </x:c>
      <x:c r="G28" s="14" t="n">
        <x:v>203360</x:v>
      </x:c>
      <x:c r="H28" s="14" t="n">
        <x:v>206640</x:v>
      </x:c>
      <x:c r="I28" s="14" t="n">
        <x:v>275000</x:v>
      </x:c>
      <x:c r="J28" s="14" t="n">
        <x:v>275000</x:v>
      </x:c>
      <x:c r="K28" s="14" t="n">
        <x:v>68360</x:v>
      </x:c>
      <x:c r="L28" s="12" t="n">
        <x:v>2</x:v>
      </x:c>
      <x:c r="M28" s="14" t="n">
        <x:v>3075</x:v>
      </x:c>
      <x:c r="N28" s="14" t="n">
        <x:v>4100</x:v>
      </x:c>
    </x:row>
    <x:row r="29">
      <x:c r="A29" s="12" t="n">
        <x:v>26</x:v>
      </x:c>
      <x:c r="B29" s="12" t="str">
        <x:v>نموذج أ</x:v>
      </x:c>
      <x:c r="C29" s="12" t="n">
        <x:v>380</x:v>
      </x:c>
      <x:c r="D29" s="12" t="str">
        <x:v>مكتملة</x:v>
      </x:c>
      <x:c r="E29" s="15" t="n">
        <x:v>1</x:v>
      </x:c>
      <x:c r="F29" s="14" t="n">
        <x:v>205000</x:v>
      </x:c>
      <x:c r="G29" s="14" t="n">
        <x:v>203360</x:v>
      </x:c>
      <x:c r="H29" s="14" t="n">
        <x:v>206640</x:v>
      </x:c>
      <x:c r="I29" s="14" t="n">
        <x:v>275000</x:v>
      </x:c>
      <x:c r="J29" s="14" t="n">
        <x:v>275000</x:v>
      </x:c>
      <x:c r="K29" s="14" t="n">
        <x:v>68360</x:v>
      </x:c>
      <x:c r="L29" s="12" t="n">
        <x:v>3</x:v>
      </x:c>
      <x:c r="M29" s="14" t="n">
        <x:v>3075</x:v>
      </x:c>
      <x:c r="N29" s="14" t="n">
        <x:v>4100</x:v>
      </x:c>
    </x:row>
    <x:row r="30">
      <x:c r="A30" s="12" t="n">
        <x:v>27</x:v>
      </x:c>
      <x:c r="B30" s="12" t="str">
        <x:v>نموذج أ</x:v>
      </x:c>
      <x:c r="C30" s="12" t="n">
        <x:v>380</x:v>
      </x:c>
      <x:c r="D30" s="12" t="str">
        <x:v>مكتملة</x:v>
      </x:c>
      <x:c r="E30" s="15" t="n">
        <x:v>1</x:v>
      </x:c>
      <x:c r="F30" s="14" t="n">
        <x:v>205000</x:v>
      </x:c>
      <x:c r="G30" s="14" t="n">
        <x:v>203360</x:v>
      </x:c>
      <x:c r="H30" s="14" t="n">
        <x:v>206640</x:v>
      </x:c>
      <x:c r="I30" s="14" t="n">
        <x:v>275000</x:v>
      </x:c>
      <x:c r="J30" s="14" t="n">
        <x:v>275000</x:v>
      </x:c>
      <x:c r="K30" s="14" t="n">
        <x:v>68360</x:v>
      </x:c>
      <x:c r="L30" s="12" t="n">
        <x:v>1</x:v>
      </x:c>
      <x:c r="M30" s="14" t="n">
        <x:v>3075</x:v>
      </x:c>
      <x:c r="N30" s="14" t="n">
        <x:v>4100</x:v>
      </x:c>
    </x:row>
    <x:row r="31">
      <x:c r="A31" s="12" t="n">
        <x:v>28</x:v>
      </x:c>
      <x:c r="B31" s="12" t="str">
        <x:v>نموذج أ</x:v>
      </x:c>
      <x:c r="C31" s="12" t="n">
        <x:v>380</x:v>
      </x:c>
      <x:c r="D31" s="12" t="str">
        <x:v>مكتملة</x:v>
      </x:c>
      <x:c r="E31" s="15" t="n">
        <x:v>1</x:v>
      </x:c>
      <x:c r="F31" s="14" t="n">
        <x:v>205000</x:v>
      </x:c>
      <x:c r="G31" s="14" t="n">
        <x:v>208690</x:v>
      </x:c>
      <x:c r="H31" s="14" t="n">
        <x:v>206640</x:v>
      </x:c>
      <x:c r="I31" s="14" t="n">
        <x:v>275000</x:v>
      </x:c>
      <x:c r="J31" s="14" t="n">
        <x:v>275000</x:v>
      </x:c>
      <x:c r="K31" s="14" t="n">
        <x:v>68360</x:v>
      </x:c>
      <x:c r="L31" s="12" t="n">
        <x:v>2</x:v>
      </x:c>
      <x:c r="M31" s="14" t="n">
        <x:v>3075</x:v>
      </x:c>
      <x:c r="N31" s="14" t="n">
        <x:v>4100</x:v>
      </x:c>
    </x:row>
    <x:row r="32">
      <x:c r="A32" s="12" t="n">
        <x:v>29</x:v>
      </x:c>
      <x:c r="B32" s="12" t="str">
        <x:v>نموذج أ</x:v>
      </x:c>
      <x:c r="C32" s="12" t="n">
        <x:v>380</x:v>
      </x:c>
      <x:c r="D32" s="12" t="str">
        <x:v>مكتملة</x:v>
      </x:c>
      <x:c r="E32" s="15" t="n">
        <x:v>1</x:v>
      </x:c>
      <x:c r="F32" s="14" t="n">
        <x:v>205000</x:v>
      </x:c>
      <x:c r="G32" s="14" t="n">
        <x:v>208690</x:v>
      </x:c>
      <x:c r="H32" s="14" t="n">
        <x:v>206640</x:v>
      </x:c>
      <x:c r="I32" s="14" t="n">
        <x:v>275000</x:v>
      </x:c>
      <x:c r="J32" s="14" t="n">
        <x:v>275000</x:v>
      </x:c>
      <x:c r="K32" s="14" t="n">
        <x:v>68360</x:v>
      </x:c>
      <x:c r="L32" s="12" t="n">
        <x:v>3</x:v>
      </x:c>
      <x:c r="M32" s="14" t="n">
        <x:v>3075</x:v>
      </x:c>
      <x:c r="N32" s="14" t="n">
        <x:v>4100</x:v>
      </x:c>
    </x:row>
    <x:row r="33">
      <x:c r="A33" s="12" t="n">
        <x:v>30</x:v>
      </x:c>
      <x:c r="B33" s="12" t="str">
        <x:v>نموذج أ</x:v>
      </x:c>
      <x:c r="C33" s="12" t="n">
        <x:v>380</x:v>
      </x:c>
      <x:c r="D33" s="12" t="str">
        <x:v>مكتملة</x:v>
      </x:c>
      <x:c r="E33" s="15" t="n">
        <x:v>1</x:v>
      </x:c>
      <x:c r="F33" s="14" t="n">
        <x:v>205000</x:v>
      </x:c>
      <x:c r="G33" s="14" t="n">
        <x:v>208690</x:v>
      </x:c>
      <x:c r="H33" s="14" t="n">
        <x:v>206640</x:v>
      </x:c>
      <x:c r="I33" s="14" t="n">
        <x:v>275000</x:v>
      </x:c>
      <x:c r="J33" s="14" t="n">
        <x:v>275000</x:v>
      </x:c>
      <x:c r="K33" s="14" t="n">
        <x:v>68360</x:v>
      </x:c>
      <x:c r="L33" s="12" t="n">
        <x:v>1</x:v>
      </x:c>
      <x:c r="M33" s="14" t="n">
        <x:v>3075</x:v>
      </x:c>
      <x:c r="N33" s="14" t="n">
        <x:v>4100</x:v>
      </x:c>
    </x:row>
    <x:row r="34">
      <x:c r="A34" s="12" t="n">
        <x:v>31</x:v>
      </x:c>
      <x:c r="B34" s="12" t="str">
        <x:v>نموذج أ</x:v>
      </x:c>
      <x:c r="C34" s="12" t="n">
        <x:v>380</x:v>
      </x:c>
      <x:c r="D34" s="12" t="str">
        <x:v>تحت التنفيذ</x:v>
      </x:c>
      <x:c r="E34" s="15" t="n">
        <x:v>0.58</x:v>
      </x:c>
      <x:c r="F34" s="14" t="n">
        <x:v>205000</x:v>
      </x:c>
      <x:c r="G34" s="14" t="n">
        <x:v>120089</x:v>
      </x:c>
      <x:c r="H34" s="14" t="n">
        <x:v>208280</x:v>
      </x:c>
      <x:c r="I34" s="14" t="n">
        <x:v>275000</x:v>
      </x:c>
      <x:c r="J34" s="14" t="n">
        <x:v>159500</x:v>
      </x:c>
      <x:c r="K34" s="14" t="n">
        <x:v>66720</x:v>
      </x:c>
      <x:c r="L34" s="12" t="n">
        <x:v>5</x:v>
      </x:c>
      <x:c r="M34" s="14" t="n">
        <x:v>4100</x:v>
      </x:c>
      <x:c r="N34" s="14" t="n">
        <x:v>5535</x:v>
      </x:c>
    </x:row>
    <x:row r="35">
      <x:c r="A35" s="12" t="n">
        <x:v>32</x:v>
      </x:c>
      <x:c r="B35" s="12" t="str">
        <x:v>نموذج أ</x:v>
      </x:c>
      <x:c r="C35" s="12" t="n">
        <x:v>380</x:v>
      </x:c>
      <x:c r="D35" s="12" t="str">
        <x:v>تحت التنفيذ</x:v>
      </x:c>
      <x:c r="E35" s="15" t="n">
        <x:v>0.62</x:v>
      </x:c>
      <x:c r="F35" s="14" t="n">
        <x:v>205000</x:v>
      </x:c>
      <x:c r="G35" s="14" t="n">
        <x:v>130913</x:v>
      </x:c>
      <x:c r="H35" s="14" t="n">
        <x:v>208280</x:v>
      </x:c>
      <x:c r="I35" s="14" t="n">
        <x:v>275000</x:v>
      </x:c>
      <x:c r="J35" s="14" t="n">
        <x:v>170500</x:v>
      </x:c>
      <x:c r="K35" s="14" t="n">
        <x:v>66720</x:v>
      </x:c>
      <x:c r="L35" s="12" t="n">
        <x:v>6</x:v>
      </x:c>
      <x:c r="M35" s="14" t="n">
        <x:v>4510</x:v>
      </x:c>
      <x:c r="N35" s="14" t="n">
        <x:v>6150</x:v>
      </x:c>
    </x:row>
    <x:row r="36">
      <x:c r="A36" s="12" t="n">
        <x:v>33</x:v>
      </x:c>
      <x:c r="B36" s="12" t="str">
        <x:v>نموذج أ</x:v>
      </x:c>
      <x:c r="C36" s="12" t="n">
        <x:v>380</x:v>
      </x:c>
      <x:c r="D36" s="12" t="str">
        <x:v>تحت التنفيذ</x:v>
      </x:c>
      <x:c r="E36" s="15" t="n">
        <x:v>0.65</x:v>
      </x:c>
      <x:c r="F36" s="14" t="n">
        <x:v>205000</x:v>
      </x:c>
      <x:c r="G36" s="14" t="n">
        <x:v>133250</x:v>
      </x:c>
      <x:c r="H36" s="14" t="n">
        <x:v>208280</x:v>
      </x:c>
      <x:c r="I36" s="14" t="n">
        <x:v>275000</x:v>
      </x:c>
      <x:c r="J36" s="14" t="n">
        <x:v>178750</x:v>
      </x:c>
      <x:c r="K36" s="14" t="n">
        <x:v>66720</x:v>
      </x:c>
      <x:c r="L36" s="12" t="n">
        <x:v>7</x:v>
      </x:c>
      <x:c r="M36" s="14" t="n">
        <x:v>4920</x:v>
      </x:c>
      <x:c r="N36" s="14" t="n">
        <x:v>6765</x:v>
      </x:c>
    </x:row>
    <x:row r="37">
      <x:c r="A37" s="12" t="n">
        <x:v>34</x:v>
      </x:c>
      <x:c r="B37" s="12" t="str">
        <x:v>نموذج أ</x:v>
      </x:c>
      <x:c r="C37" s="12" t="n">
        <x:v>380</x:v>
      </x:c>
      <x:c r="D37" s="12" t="str">
        <x:v>تحت التنفيذ</x:v>
      </x:c>
      <x:c r="E37" s="15" t="n">
        <x:v>0.68</x:v>
      </x:c>
      <x:c r="F37" s="14" t="n">
        <x:v>205000</x:v>
      </x:c>
      <x:c r="G37" s="14" t="n">
        <x:v>142188</x:v>
      </x:c>
      <x:c r="H37" s="14" t="n">
        <x:v>208280</x:v>
      </x:c>
      <x:c r="I37" s="14" t="n">
        <x:v>275000</x:v>
      </x:c>
      <x:c r="J37" s="14" t="n">
        <x:v>187000</x:v>
      </x:c>
      <x:c r="K37" s="14" t="n">
        <x:v>66720</x:v>
      </x:c>
      <x:c r="L37" s="12" t="n">
        <x:v>8</x:v>
      </x:c>
      <x:c r="M37" s="14" t="n">
        <x:v>5125</x:v>
      </x:c>
      <x:c r="N37" s="14" t="n">
        <x:v>6970</x:v>
      </x:c>
    </x:row>
    <x:row r="38">
      <x:c r="A38" s="12" t="n">
        <x:v>35</x:v>
      </x:c>
      <x:c r="B38" s="12" t="str">
        <x:v>نموذج أ</x:v>
      </x:c>
      <x:c r="C38" s="12" t="n">
        <x:v>380</x:v>
      </x:c>
      <x:c r="D38" s="12" t="str">
        <x:v>تحت التنفيذ</x:v>
      </x:c>
      <x:c r="E38" s="15" t="n">
        <x:v>0.72</x:v>
      </x:c>
      <x:c r="F38" s="14" t="n">
        <x:v>205000</x:v>
      </x:c>
      <x:c r="G38" s="14" t="n">
        <x:v>149814</x:v>
      </x:c>
      <x:c r="H38" s="14" t="n">
        <x:v>208280</x:v>
      </x:c>
      <x:c r="I38" s="14" t="n">
        <x:v>275000</x:v>
      </x:c>
      <x:c r="J38" s="14" t="n">
        <x:v>198000</x:v>
      </x:c>
      <x:c r="K38" s="14" t="n">
        <x:v>66720</x:v>
      </x:c>
      <x:c r="L38" s="12" t="n">
        <x:v>9</x:v>
      </x:c>
      <x:c r="M38" s="14" t="n">
        <x:v>4715</x:v>
      </x:c>
      <x:c r="N38" s="14" t="n">
        <x:v>6355</x:v>
      </x:c>
    </x:row>
    <x:row r="39">
      <x:c r="A39" s="12" t="n">
        <x:v>36</x:v>
      </x:c>
      <x:c r="B39" s="12" t="str">
        <x:v>نموذج أ</x:v>
      </x:c>
      <x:c r="C39" s="12" t="n">
        <x:v>380</x:v>
      </x:c>
      <x:c r="D39" s="12" t="str">
        <x:v>تحت التنفيذ</x:v>
      </x:c>
      <x:c r="E39" s="15" t="n">
        <x:v>0.58</x:v>
      </x:c>
      <x:c r="F39" s="14" t="n">
        <x:v>205000</x:v>
      </x:c>
      <x:c r="G39" s="14" t="n">
        <x:v>120089</x:v>
      </x:c>
      <x:c r="H39" s="14" t="n">
        <x:v>208280</x:v>
      </x:c>
      <x:c r="I39" s="14" t="n">
        <x:v>275000</x:v>
      </x:c>
      <x:c r="J39" s="14" t="n">
        <x:v>159500</x:v>
      </x:c>
      <x:c r="K39" s="14" t="n">
        <x:v>66720</x:v>
      </x:c>
      <x:c r="L39" s="12" t="n">
        <x:v>5</x:v>
      </x:c>
      <x:c r="M39" s="14" t="n">
        <x:v>4100</x:v>
      </x:c>
      <x:c r="N39" s="14" t="n">
        <x:v>5535</x:v>
      </x:c>
    </x:row>
    <x:row r="40">
      <x:c r="A40" s="12" t="n">
        <x:v>37</x:v>
      </x:c>
      <x:c r="B40" s="12" t="str">
        <x:v>نموذج أ</x:v>
      </x:c>
      <x:c r="C40" s="12" t="n">
        <x:v>380</x:v>
      </x:c>
      <x:c r="D40" s="12" t="str">
        <x:v>تحت التنفيذ</x:v>
      </x:c>
      <x:c r="E40" s="15" t="n">
        <x:v>0.62</x:v>
      </x:c>
      <x:c r="F40" s="14" t="n">
        <x:v>205000</x:v>
      </x:c>
      <x:c r="G40" s="14" t="n">
        <x:v>130913</x:v>
      </x:c>
      <x:c r="H40" s="14" t="n">
        <x:v>208280</x:v>
      </x:c>
      <x:c r="I40" s="14" t="n">
        <x:v>275000</x:v>
      </x:c>
      <x:c r="J40" s="14" t="n">
        <x:v>170500</x:v>
      </x:c>
      <x:c r="K40" s="14" t="n">
        <x:v>66720</x:v>
      </x:c>
      <x:c r="L40" s="12" t="n">
        <x:v>6</x:v>
      </x:c>
      <x:c r="M40" s="14" t="n">
        <x:v>4510</x:v>
      </x:c>
      <x:c r="N40" s="14" t="n">
        <x:v>6150</x:v>
      </x:c>
    </x:row>
    <x:row r="41">
      <x:c r="A41" s="12" t="n">
        <x:v>38</x:v>
      </x:c>
      <x:c r="B41" s="12" t="str">
        <x:v>نموذج أ</x:v>
      </x:c>
      <x:c r="C41" s="12" t="n">
        <x:v>380</x:v>
      </x:c>
      <x:c r="D41" s="12" t="str">
        <x:v>تحت التنفيذ</x:v>
      </x:c>
      <x:c r="E41" s="15" t="n">
        <x:v>0.65</x:v>
      </x:c>
      <x:c r="F41" s="14" t="n">
        <x:v>205000</x:v>
      </x:c>
      <x:c r="G41" s="14" t="n">
        <x:v>133250</x:v>
      </x:c>
      <x:c r="H41" s="14" t="n">
        <x:v>208280</x:v>
      </x:c>
      <x:c r="I41" s="14" t="n">
        <x:v>275000</x:v>
      </x:c>
      <x:c r="J41" s="14" t="n">
        <x:v>178750</x:v>
      </x:c>
      <x:c r="K41" s="14" t="n">
        <x:v>66720</x:v>
      </x:c>
      <x:c r="L41" s="12" t="n">
        <x:v>7</x:v>
      </x:c>
      <x:c r="M41" s="14" t="n">
        <x:v>4920</x:v>
      </x:c>
      <x:c r="N41" s="14" t="n">
        <x:v>6765</x:v>
      </x:c>
    </x:row>
    <x:row r="42">
      <x:c r="A42" s="12" t="n">
        <x:v>39</x:v>
      </x:c>
      <x:c r="B42" s="12" t="str">
        <x:v>نموذج أ</x:v>
      </x:c>
      <x:c r="C42" s="12" t="n">
        <x:v>380</x:v>
      </x:c>
      <x:c r="D42" s="12" t="str">
        <x:v>تحت التنفيذ</x:v>
      </x:c>
      <x:c r="E42" s="15" t="n">
        <x:v>0.68</x:v>
      </x:c>
      <x:c r="F42" s="14" t="n">
        <x:v>205000</x:v>
      </x:c>
      <x:c r="G42" s="14" t="n">
        <x:v>142188</x:v>
      </x:c>
      <x:c r="H42" s="14" t="n">
        <x:v>208280</x:v>
      </x:c>
      <x:c r="I42" s="14" t="n">
        <x:v>275000</x:v>
      </x:c>
      <x:c r="J42" s="14" t="n">
        <x:v>187000</x:v>
      </x:c>
      <x:c r="K42" s="14" t="n">
        <x:v>66720</x:v>
      </x:c>
      <x:c r="L42" s="12" t="n">
        <x:v>8</x:v>
      </x:c>
      <x:c r="M42" s="14" t="n">
        <x:v>5125</x:v>
      </x:c>
      <x:c r="N42" s="14" t="n">
        <x:v>6970</x:v>
      </x:c>
    </x:row>
    <x:row r="43">
      <x:c r="A43" s="12" t="n">
        <x:v>40</x:v>
      </x:c>
      <x:c r="B43" s="12" t="str">
        <x:v>نموذج أ</x:v>
      </x:c>
      <x:c r="C43" s="12" t="n">
        <x:v>380</x:v>
      </x:c>
      <x:c r="D43" s="12" t="str">
        <x:v>تحت التنفيذ</x:v>
      </x:c>
      <x:c r="E43" s="15" t="n">
        <x:v>0.72</x:v>
      </x:c>
      <x:c r="F43" s="14" t="n">
        <x:v>205000</x:v>
      </x:c>
      <x:c r="G43" s="14" t="n">
        <x:v>149814</x:v>
      </x:c>
      <x:c r="H43" s="14" t="n">
        <x:v>208280</x:v>
      </x:c>
      <x:c r="I43" s="14" t="n">
        <x:v>275000</x:v>
      </x:c>
      <x:c r="J43" s="14" t="n">
        <x:v>198000</x:v>
      </x:c>
      <x:c r="K43" s="14" t="n">
        <x:v>66720</x:v>
      </x:c>
      <x:c r="L43" s="12" t="n">
        <x:v>9</x:v>
      </x:c>
      <x:c r="M43" s="14" t="n">
        <x:v>4715</x:v>
      </x:c>
      <x:c r="N43" s="14" t="n">
        <x:v>6355</x:v>
      </x:c>
    </x:row>
    <x:row r="44">
      <x:c r="A44" s="12" t="n">
        <x:v>41</x:v>
      </x:c>
      <x:c r="B44" s="12" t="str">
        <x:v>نموذج ب</x:v>
      </x:c>
      <x:c r="C44" s="12" t="n">
        <x:v>420</x:v>
      </x:c>
      <x:c r="D44" s="12" t="str">
        <x:v>تحت التنفيذ</x:v>
      </x:c>
      <x:c r="E44" s="15" t="n">
        <x:v>0.58</x:v>
      </x:c>
      <x:c r="F44" s="14" t="n">
        <x:v>220000</x:v>
      </x:c>
      <x:c r="G44" s="14" t="n">
        <x:v>128876</x:v>
      </x:c>
      <x:c r="H44" s="14" t="n">
        <x:v>223520</x:v>
      </x:c>
      <x:c r="I44" s="14" t="n">
        <x:v>300000</x:v>
      </x:c>
      <x:c r="J44" s="14" t="n">
        <x:v>174000</x:v>
      </x:c>
      <x:c r="K44" s="14" t="n">
        <x:v>76480</x:v>
      </x:c>
      <x:c r="L44" s="12" t="n">
        <x:v>5</x:v>
      </x:c>
      <x:c r="M44" s="14" t="n">
        <x:v>4400</x:v>
      </x:c>
      <x:c r="N44" s="14" t="n">
        <x:v>5940</x:v>
      </x:c>
    </x:row>
    <x:row r="45">
      <x:c r="A45" s="12" t="n">
        <x:v>42</x:v>
      </x:c>
      <x:c r="B45" s="12" t="str">
        <x:v>نموذج ب</x:v>
      </x:c>
      <x:c r="C45" s="12" t="n">
        <x:v>420</x:v>
      </x:c>
      <x:c r="D45" s="12" t="str">
        <x:v>تحت التنفيذ</x:v>
      </x:c>
      <x:c r="E45" s="15" t="n">
        <x:v>0.62</x:v>
      </x:c>
      <x:c r="F45" s="14" t="n">
        <x:v>220000</x:v>
      </x:c>
      <x:c r="G45" s="14" t="n">
        <x:v>140492</x:v>
      </x:c>
      <x:c r="H45" s="14" t="n">
        <x:v>223520</x:v>
      </x:c>
      <x:c r="I45" s="14" t="n">
        <x:v>300000</x:v>
      </x:c>
      <x:c r="J45" s="14" t="n">
        <x:v>186000</x:v>
      </x:c>
      <x:c r="K45" s="14" t="n">
        <x:v>76480</x:v>
      </x:c>
      <x:c r="L45" s="12" t="n">
        <x:v>6</x:v>
      </x:c>
      <x:c r="M45" s="14" t="n">
        <x:v>4840</x:v>
      </x:c>
      <x:c r="N45" s="14" t="n">
        <x:v>6600</x:v>
      </x:c>
    </x:row>
    <x:row r="46">
      <x:c r="A46" s="12" t="n">
        <x:v>43</x:v>
      </x:c>
      <x:c r="B46" s="12" t="str">
        <x:v>نموذج ب</x:v>
      </x:c>
      <x:c r="C46" s="12" t="n">
        <x:v>420</x:v>
      </x:c>
      <x:c r="D46" s="12" t="str">
        <x:v>تحت التنفيذ</x:v>
      </x:c>
      <x:c r="E46" s="15" t="n">
        <x:v>0.65</x:v>
      </x:c>
      <x:c r="F46" s="14" t="n">
        <x:v>220000</x:v>
      </x:c>
      <x:c r="G46" s="14" t="n">
        <x:v>143000</x:v>
      </x:c>
      <x:c r="H46" s="14" t="n">
        <x:v>223520</x:v>
      </x:c>
      <x:c r="I46" s="14" t="n">
        <x:v>300000</x:v>
      </x:c>
      <x:c r="J46" s="14" t="n">
        <x:v>195000</x:v>
      </x:c>
      <x:c r="K46" s="14" t="n">
        <x:v>76480</x:v>
      </x:c>
      <x:c r="L46" s="12" t="n">
        <x:v>7</x:v>
      </x:c>
      <x:c r="M46" s="14" t="n">
        <x:v>5280</x:v>
      </x:c>
      <x:c r="N46" s="14" t="n">
        <x:v>7260</x:v>
      </x:c>
    </x:row>
    <x:row r="47">
      <x:c r="A47" s="12" t="n">
        <x:v>44</x:v>
      </x:c>
      <x:c r="B47" s="12" t="str">
        <x:v>نموذج ب</x:v>
      </x:c>
      <x:c r="C47" s="12" t="n">
        <x:v>420</x:v>
      </x:c>
      <x:c r="D47" s="12" t="str">
        <x:v>تحت التنفيذ</x:v>
      </x:c>
      <x:c r="E47" s="15" t="n">
        <x:v>0.68</x:v>
      </x:c>
      <x:c r="F47" s="14" t="n">
        <x:v>220000</x:v>
      </x:c>
      <x:c r="G47" s="14" t="n">
        <x:v>152592</x:v>
      </x:c>
      <x:c r="H47" s="14" t="n">
        <x:v>223520</x:v>
      </x:c>
      <x:c r="I47" s="14" t="n">
        <x:v>300000</x:v>
      </x:c>
      <x:c r="J47" s="14" t="n">
        <x:v>204000</x:v>
      </x:c>
      <x:c r="K47" s="14" t="n">
        <x:v>76480</x:v>
      </x:c>
      <x:c r="L47" s="12" t="n">
        <x:v>8</x:v>
      </x:c>
      <x:c r="M47" s="14" t="n">
        <x:v>5500</x:v>
      </x:c>
      <x:c r="N47" s="14" t="n">
        <x:v>7480</x:v>
      </x:c>
    </x:row>
    <x:row r="48">
      <x:c r="A48" s="12" t="n">
        <x:v>45</x:v>
      </x:c>
      <x:c r="B48" s="12" t="str">
        <x:v>نموذج ب</x:v>
      </x:c>
      <x:c r="C48" s="12" t="n">
        <x:v>420</x:v>
      </x:c>
      <x:c r="D48" s="12" t="str">
        <x:v>تحت التنفيذ</x:v>
      </x:c>
      <x:c r="E48" s="15" t="n">
        <x:v>0.72</x:v>
      </x:c>
      <x:c r="F48" s="14" t="n">
        <x:v>220000</x:v>
      </x:c>
      <x:c r="G48" s="14" t="n">
        <x:v>160776</x:v>
      </x:c>
      <x:c r="H48" s="14" t="n">
        <x:v>223520</x:v>
      </x:c>
      <x:c r="I48" s="14" t="n">
        <x:v>300000</x:v>
      </x:c>
      <x:c r="J48" s="14" t="n">
        <x:v>216000</x:v>
      </x:c>
      <x:c r="K48" s="14" t="n">
        <x:v>76480</x:v>
      </x:c>
      <x:c r="L48" s="12" t="n">
        <x:v>9</x:v>
      </x:c>
      <x:c r="M48" s="14" t="n">
        <x:v>5060</x:v>
      </x:c>
      <x:c r="N48" s="14" t="n">
        <x:v>6820</x:v>
      </x:c>
    </x:row>
    <x:row r="49">
      <x:c r="A49" s="12" t="n">
        <x:v>46</x:v>
      </x:c>
      <x:c r="B49" s="12" t="str">
        <x:v>نموذج ب</x:v>
      </x:c>
      <x:c r="C49" s="12" t="n">
        <x:v>420</x:v>
      </x:c>
      <x:c r="D49" s="12" t="str">
        <x:v>تحت التنفيذ</x:v>
      </x:c>
      <x:c r="E49" s="15" t="n">
        <x:v>0.58</x:v>
      </x:c>
      <x:c r="F49" s="14" t="n">
        <x:v>220000</x:v>
      </x:c>
      <x:c r="G49" s="14" t="n">
        <x:v>128876</x:v>
      </x:c>
      <x:c r="H49" s="14" t="n">
        <x:v>223520</x:v>
      </x:c>
      <x:c r="I49" s="14" t="n">
        <x:v>300000</x:v>
      </x:c>
      <x:c r="J49" s="14" t="n">
        <x:v>174000</x:v>
      </x:c>
      <x:c r="K49" s="14" t="n">
        <x:v>76480</x:v>
      </x:c>
      <x:c r="L49" s="12" t="n">
        <x:v>5</x:v>
      </x:c>
      <x:c r="M49" s="14" t="n">
        <x:v>4400</x:v>
      </x:c>
      <x:c r="N49" s="14" t="n">
        <x:v>5940</x:v>
      </x:c>
    </x:row>
    <x:row r="50">
      <x:c r="A50" s="12" t="n">
        <x:v>47</x:v>
      </x:c>
      <x:c r="B50" s="12" t="str">
        <x:v>نموذج ب</x:v>
      </x:c>
      <x:c r="C50" s="12" t="n">
        <x:v>420</x:v>
      </x:c>
      <x:c r="D50" s="12" t="str">
        <x:v>تحت التنفيذ</x:v>
      </x:c>
      <x:c r="E50" s="15" t="n">
        <x:v>0.62</x:v>
      </x:c>
      <x:c r="F50" s="14" t="n">
        <x:v>220000</x:v>
      </x:c>
      <x:c r="G50" s="14" t="n">
        <x:v>140492</x:v>
      </x:c>
      <x:c r="H50" s="14" t="n">
        <x:v>223520</x:v>
      </x:c>
      <x:c r="I50" s="14" t="n">
        <x:v>300000</x:v>
      </x:c>
      <x:c r="J50" s="14" t="n">
        <x:v>186000</x:v>
      </x:c>
      <x:c r="K50" s="14" t="n">
        <x:v>76480</x:v>
      </x:c>
      <x:c r="L50" s="12" t="n">
        <x:v>6</x:v>
      </x:c>
      <x:c r="M50" s="14" t="n">
        <x:v>4840</x:v>
      </x:c>
      <x:c r="N50" s="14" t="n">
        <x:v>6600</x:v>
      </x:c>
    </x:row>
    <x:row r="51">
      <x:c r="A51" s="12" t="n">
        <x:v>48</x:v>
      </x:c>
      <x:c r="B51" s="12" t="str">
        <x:v>نموذج ب</x:v>
      </x:c>
      <x:c r="C51" s="12" t="n">
        <x:v>420</x:v>
      </x:c>
      <x:c r="D51" s="12" t="str">
        <x:v>تحت التنفيذ</x:v>
      </x:c>
      <x:c r="E51" s="15" t="n">
        <x:v>0.65</x:v>
      </x:c>
      <x:c r="F51" s="14" t="n">
        <x:v>220000</x:v>
      </x:c>
      <x:c r="G51" s="14" t="n">
        <x:v>143000</x:v>
      </x:c>
      <x:c r="H51" s="14" t="n">
        <x:v>223520</x:v>
      </x:c>
      <x:c r="I51" s="14" t="n">
        <x:v>300000</x:v>
      </x:c>
      <x:c r="J51" s="14" t="n">
        <x:v>195000</x:v>
      </x:c>
      <x:c r="K51" s="14" t="n">
        <x:v>76480</x:v>
      </x:c>
      <x:c r="L51" s="12" t="n">
        <x:v>7</x:v>
      </x:c>
      <x:c r="M51" s="14" t="n">
        <x:v>5280</x:v>
      </x:c>
      <x:c r="N51" s="14" t="n">
        <x:v>7260</x:v>
      </x:c>
    </x:row>
    <x:row r="52">
      <x:c r="A52" s="12" t="n">
        <x:v>49</x:v>
      </x:c>
      <x:c r="B52" s="12" t="str">
        <x:v>نموذج ب</x:v>
      </x:c>
      <x:c r="C52" s="12" t="n">
        <x:v>420</x:v>
      </x:c>
      <x:c r="D52" s="12" t="str">
        <x:v>تحت التنفيذ</x:v>
      </x:c>
      <x:c r="E52" s="15" t="n">
        <x:v>0.68</x:v>
      </x:c>
      <x:c r="F52" s="14" t="n">
        <x:v>220000</x:v>
      </x:c>
      <x:c r="G52" s="14" t="n">
        <x:v>152592</x:v>
      </x:c>
      <x:c r="H52" s="14" t="n">
        <x:v>223520</x:v>
      </x:c>
      <x:c r="I52" s="14" t="n">
        <x:v>300000</x:v>
      </x:c>
      <x:c r="J52" s="14" t="n">
        <x:v>204000</x:v>
      </x:c>
      <x:c r="K52" s="14" t="n">
        <x:v>76480</x:v>
      </x:c>
      <x:c r="L52" s="12" t="n">
        <x:v>8</x:v>
      </x:c>
      <x:c r="M52" s="14" t="n">
        <x:v>5500</x:v>
      </x:c>
      <x:c r="N52" s="14" t="n">
        <x:v>7480</x:v>
      </x:c>
    </x:row>
    <x:row r="53">
      <x:c r="A53" s="12" t="n">
        <x:v>50</x:v>
      </x:c>
      <x:c r="B53" s="12" t="str">
        <x:v>نموذج ب</x:v>
      </x:c>
      <x:c r="C53" s="12" t="n">
        <x:v>420</x:v>
      </x:c>
      <x:c r="D53" s="12" t="str">
        <x:v>تحت التنفيذ</x:v>
      </x:c>
      <x:c r="E53" s="15" t="n">
        <x:v>0.72</x:v>
      </x:c>
      <x:c r="F53" s="14" t="n">
        <x:v>220000</x:v>
      </x:c>
      <x:c r="G53" s="14" t="n">
        <x:v>160776</x:v>
      </x:c>
      <x:c r="H53" s="14" t="n">
        <x:v>223520</x:v>
      </x:c>
      <x:c r="I53" s="14" t="n">
        <x:v>300000</x:v>
      </x:c>
      <x:c r="J53" s="14" t="n">
        <x:v>216000</x:v>
      </x:c>
      <x:c r="K53" s="14" t="n">
        <x:v>76480</x:v>
      </x:c>
      <x:c r="L53" s="12" t="n">
        <x:v>9</x:v>
      </x:c>
      <x:c r="M53" s="14" t="n">
        <x:v>5060</x:v>
      </x:c>
      <x:c r="N53" s="14" t="n">
        <x:v>6820</x:v>
      </x:c>
    </x:row>
    <x:row r="54">
      <x:c r="A54" s="12" t="n">
        <x:v>51</x:v>
      </x:c>
      <x:c r="B54" s="12" t="str">
        <x:v>نموذج ب</x:v>
      </x:c>
      <x:c r="C54" s="12" t="n">
        <x:v>420</x:v>
      </x:c>
      <x:c r="D54" s="12" t="str">
        <x:v>تحت التنفيذ</x:v>
      </x:c>
      <x:c r="E54" s="15" t="n">
        <x:v>0.58</x:v>
      </x:c>
      <x:c r="F54" s="14" t="n">
        <x:v>220000</x:v>
      </x:c>
      <x:c r="G54" s="14" t="n">
        <x:v>128876</x:v>
      </x:c>
      <x:c r="H54" s="14" t="n">
        <x:v>223520</x:v>
      </x:c>
      <x:c r="I54" s="14" t="n">
        <x:v>300000</x:v>
      </x:c>
      <x:c r="J54" s="14" t="n">
        <x:v>174000</x:v>
      </x:c>
      <x:c r="K54" s="14" t="n">
        <x:v>76480</x:v>
      </x:c>
      <x:c r="L54" s="12" t="n">
        <x:v>5</x:v>
      </x:c>
      <x:c r="M54" s="14" t="n">
        <x:v>4400</x:v>
      </x:c>
      <x:c r="N54" s="14" t="n">
        <x:v>5940</x:v>
      </x:c>
    </x:row>
    <x:row r="55">
      <x:c r="A55" s="12" t="n">
        <x:v>52</x:v>
      </x:c>
      <x:c r="B55" s="12" t="str">
        <x:v>نموذج ب</x:v>
      </x:c>
      <x:c r="C55" s="12" t="n">
        <x:v>420</x:v>
      </x:c>
      <x:c r="D55" s="12" t="str">
        <x:v>تحت التنفيذ</x:v>
      </x:c>
      <x:c r="E55" s="15" t="n">
        <x:v>0.62</x:v>
      </x:c>
      <x:c r="F55" s="14" t="n">
        <x:v>220000</x:v>
      </x:c>
      <x:c r="G55" s="14" t="n">
        <x:v>140492</x:v>
      </x:c>
      <x:c r="H55" s="14" t="n">
        <x:v>223520</x:v>
      </x:c>
      <x:c r="I55" s="14" t="n">
        <x:v>300000</x:v>
      </x:c>
      <x:c r="J55" s="14" t="n">
        <x:v>186000</x:v>
      </x:c>
      <x:c r="K55" s="14" t="n">
        <x:v>76480</x:v>
      </x:c>
      <x:c r="L55" s="12" t="n">
        <x:v>6</x:v>
      </x:c>
      <x:c r="M55" s="14" t="n">
        <x:v>4840</x:v>
      </x:c>
      <x:c r="N55" s="14" t="n">
        <x:v>6600</x:v>
      </x:c>
    </x:row>
    <x:row r="56">
      <x:c r="A56" s="12" t="n">
        <x:v>53</x:v>
      </x:c>
      <x:c r="B56" s="12" t="str">
        <x:v>نموذج ب</x:v>
      </x:c>
      <x:c r="C56" s="12" t="n">
        <x:v>420</x:v>
      </x:c>
      <x:c r="D56" s="12" t="str">
        <x:v>تحت التنفيذ</x:v>
      </x:c>
      <x:c r="E56" s="15" t="n">
        <x:v>0.65</x:v>
      </x:c>
      <x:c r="F56" s="14" t="n">
        <x:v>220000</x:v>
      </x:c>
      <x:c r="G56" s="14" t="n">
        <x:v>143000</x:v>
      </x:c>
      <x:c r="H56" s="14" t="n">
        <x:v>223520</x:v>
      </x:c>
      <x:c r="I56" s="14" t="n">
        <x:v>300000</x:v>
      </x:c>
      <x:c r="J56" s="14" t="n">
        <x:v>195000</x:v>
      </x:c>
      <x:c r="K56" s="14" t="n">
        <x:v>76480</x:v>
      </x:c>
      <x:c r="L56" s="12" t="n">
        <x:v>7</x:v>
      </x:c>
      <x:c r="M56" s="14" t="n">
        <x:v>5280</x:v>
      </x:c>
      <x:c r="N56" s="14" t="n">
        <x:v>7260</x:v>
      </x:c>
    </x:row>
    <x:row r="57">
      <x:c r="A57" s="12" t="n">
        <x:v>54</x:v>
      </x:c>
      <x:c r="B57" s="12" t="str">
        <x:v>نموذج ب</x:v>
      </x:c>
      <x:c r="C57" s="12" t="n">
        <x:v>420</x:v>
      </x:c>
      <x:c r="D57" s="12" t="str">
        <x:v>تحت التنفيذ</x:v>
      </x:c>
      <x:c r="E57" s="15" t="n">
        <x:v>0.68</x:v>
      </x:c>
      <x:c r="F57" s="14" t="n">
        <x:v>220000</x:v>
      </x:c>
      <x:c r="G57" s="14" t="n">
        <x:v>152592</x:v>
      </x:c>
      <x:c r="H57" s="14" t="n">
        <x:v>223520</x:v>
      </x:c>
      <x:c r="I57" s="14" t="n">
        <x:v>300000</x:v>
      </x:c>
      <x:c r="J57" s="14" t="n">
        <x:v>204000</x:v>
      </x:c>
      <x:c r="K57" s="14" t="n">
        <x:v>76480</x:v>
      </x:c>
      <x:c r="L57" s="12" t="n">
        <x:v>8</x:v>
      </x:c>
      <x:c r="M57" s="14" t="n">
        <x:v>5500</x:v>
      </x:c>
      <x:c r="N57" s="14" t="n">
        <x:v>7480</x:v>
      </x:c>
    </x:row>
    <x:row r="58">
      <x:c r="A58" s="12" t="n">
        <x:v>55</x:v>
      </x:c>
      <x:c r="B58" s="12" t="str">
        <x:v>نموذج ب</x:v>
      </x:c>
      <x:c r="C58" s="12" t="n">
        <x:v>420</x:v>
      </x:c>
      <x:c r="D58" s="12" t="str">
        <x:v>تحت التنفيذ</x:v>
      </x:c>
      <x:c r="E58" s="15" t="n">
        <x:v>0.72</x:v>
      </x:c>
      <x:c r="F58" s="14" t="n">
        <x:v>220000</x:v>
      </x:c>
      <x:c r="G58" s="14" t="n">
        <x:v>160776</x:v>
      </x:c>
      <x:c r="H58" s="14" t="n">
        <x:v>223520</x:v>
      </x:c>
      <x:c r="I58" s="14" t="n">
        <x:v>300000</x:v>
      </x:c>
      <x:c r="J58" s="14" t="n">
        <x:v>216000</x:v>
      </x:c>
      <x:c r="K58" s="14" t="n">
        <x:v>76480</x:v>
      </x:c>
      <x:c r="L58" s="12" t="n">
        <x:v>9</x:v>
      </x:c>
      <x:c r="M58" s="14" t="n">
        <x:v>5060</x:v>
      </x:c>
      <x:c r="N58" s="14" t="n">
        <x:v>6820</x:v>
      </x:c>
    </x:row>
    <x:row r="59">
      <x:c r="A59" s="12" t="n">
        <x:v>56</x:v>
      </x:c>
      <x:c r="B59" s="12" t="str">
        <x:v>نموذج ب</x:v>
      </x:c>
      <x:c r="C59" s="12" t="n">
        <x:v>420</x:v>
      </x:c>
      <x:c r="D59" s="12" t="str">
        <x:v>تحت التنفيذ</x:v>
      </x:c>
      <x:c r="E59" s="15" t="n">
        <x:v>0.58</x:v>
      </x:c>
      <x:c r="F59" s="14" t="n">
        <x:v>220000</x:v>
      </x:c>
      <x:c r="G59" s="14" t="n">
        <x:v>128876</x:v>
      </x:c>
      <x:c r="H59" s="14" t="n">
        <x:v>223520</x:v>
      </x:c>
      <x:c r="I59" s="14" t="n">
        <x:v>300000</x:v>
      </x:c>
      <x:c r="J59" s="14" t="n">
        <x:v>174000</x:v>
      </x:c>
      <x:c r="K59" s="14" t="n">
        <x:v>76480</x:v>
      </x:c>
      <x:c r="L59" s="12" t="n">
        <x:v>5</x:v>
      </x:c>
      <x:c r="M59" s="14" t="n">
        <x:v>4400</x:v>
      </x:c>
      <x:c r="N59" s="14" t="n">
        <x:v>5940</x:v>
      </x:c>
    </x:row>
    <x:row r="60">
      <x:c r="A60" s="12" t="n">
        <x:v>57</x:v>
      </x:c>
      <x:c r="B60" s="12" t="str">
        <x:v>نموذج ب</x:v>
      </x:c>
      <x:c r="C60" s="12" t="n">
        <x:v>420</x:v>
      </x:c>
      <x:c r="D60" s="12" t="str">
        <x:v>تحت التنفيذ</x:v>
      </x:c>
      <x:c r="E60" s="15" t="n">
        <x:v>0.62</x:v>
      </x:c>
      <x:c r="F60" s="14" t="n">
        <x:v>220000</x:v>
      </x:c>
      <x:c r="G60" s="14" t="n">
        <x:v>140492</x:v>
      </x:c>
      <x:c r="H60" s="14" t="n">
        <x:v>223520</x:v>
      </x:c>
      <x:c r="I60" s="14" t="n">
        <x:v>300000</x:v>
      </x:c>
      <x:c r="J60" s="14" t="n">
        <x:v>186000</x:v>
      </x:c>
      <x:c r="K60" s="14" t="n">
        <x:v>76480</x:v>
      </x:c>
      <x:c r="L60" s="12" t="n">
        <x:v>6</x:v>
      </x:c>
      <x:c r="M60" s="14" t="n">
        <x:v>4840</x:v>
      </x:c>
      <x:c r="N60" s="14" t="n">
        <x:v>6600</x:v>
      </x:c>
    </x:row>
    <x:row r="61">
      <x:c r="A61" s="12" t="n">
        <x:v>58</x:v>
      </x:c>
      <x:c r="B61" s="12" t="str">
        <x:v>نموذج ب</x:v>
      </x:c>
      <x:c r="C61" s="12" t="n">
        <x:v>420</x:v>
      </x:c>
      <x:c r="D61" s="12" t="str">
        <x:v>تحت التنفيذ</x:v>
      </x:c>
      <x:c r="E61" s="15" t="n">
        <x:v>0.65</x:v>
      </x:c>
      <x:c r="F61" s="14" t="n">
        <x:v>220000</x:v>
      </x:c>
      <x:c r="G61" s="14" t="n">
        <x:v>143000</x:v>
      </x:c>
      <x:c r="H61" s="14" t="n">
        <x:v>223520</x:v>
      </x:c>
      <x:c r="I61" s="14" t="n">
        <x:v>300000</x:v>
      </x:c>
      <x:c r="J61" s="14" t="n">
        <x:v>195000</x:v>
      </x:c>
      <x:c r="K61" s="14" t="n">
        <x:v>76480</x:v>
      </x:c>
      <x:c r="L61" s="12" t="n">
        <x:v>7</x:v>
      </x:c>
      <x:c r="M61" s="14" t="n">
        <x:v>5280</x:v>
      </x:c>
      <x:c r="N61" s="14" t="n">
        <x:v>7260</x:v>
      </x:c>
    </x:row>
    <x:row r="62">
      <x:c r="A62" s="12" t="n">
        <x:v>59</x:v>
      </x:c>
      <x:c r="B62" s="12" t="str">
        <x:v>نموذج ب</x:v>
      </x:c>
      <x:c r="C62" s="12" t="n">
        <x:v>420</x:v>
      </x:c>
      <x:c r="D62" s="12" t="str">
        <x:v>تحت التنفيذ</x:v>
      </x:c>
      <x:c r="E62" s="15" t="n">
        <x:v>0.68</x:v>
      </x:c>
      <x:c r="F62" s="14" t="n">
        <x:v>220000</x:v>
      </x:c>
      <x:c r="G62" s="14" t="n">
        <x:v>152592</x:v>
      </x:c>
      <x:c r="H62" s="14" t="n">
        <x:v>223520</x:v>
      </x:c>
      <x:c r="I62" s="14" t="n">
        <x:v>300000</x:v>
      </x:c>
      <x:c r="J62" s="14" t="n">
        <x:v>204000</x:v>
      </x:c>
      <x:c r="K62" s="14" t="n">
        <x:v>76480</x:v>
      </x:c>
      <x:c r="L62" s="12" t="n">
        <x:v>8</x:v>
      </x:c>
      <x:c r="M62" s="14" t="n">
        <x:v>5500</x:v>
      </x:c>
      <x:c r="N62" s="14" t="n">
        <x:v>7480</x:v>
      </x:c>
    </x:row>
    <x:row r="63">
      <x:c r="A63" s="12" t="n">
        <x:v>60</x:v>
      </x:c>
      <x:c r="B63" s="12" t="str">
        <x:v>نموذج ب</x:v>
      </x:c>
      <x:c r="C63" s="12" t="n">
        <x:v>420</x:v>
      </x:c>
      <x:c r="D63" s="12" t="str">
        <x:v>تحت التنفيذ</x:v>
      </x:c>
      <x:c r="E63" s="15" t="n">
        <x:v>0.72</x:v>
      </x:c>
      <x:c r="F63" s="14" t="n">
        <x:v>220000</x:v>
      </x:c>
      <x:c r="G63" s="14" t="n">
        <x:v>160776</x:v>
      </x:c>
      <x:c r="H63" s="14" t="n">
        <x:v>223520</x:v>
      </x:c>
      <x:c r="I63" s="14" t="n">
        <x:v>300000</x:v>
      </x:c>
      <x:c r="J63" s="14" t="n">
        <x:v>216000</x:v>
      </x:c>
      <x:c r="K63" s="14" t="n">
        <x:v>76480</x:v>
      </x:c>
      <x:c r="L63" s="12" t="n">
        <x:v>9</x:v>
      </x:c>
      <x:c r="M63" s="14" t="n">
        <x:v>5060</x:v>
      </x:c>
      <x:c r="N63" s="14" t="n">
        <x:v>6820</x:v>
      </x:c>
    </x:row>
    <x:row r="64">
      <x:c r="A64" s="12" t="n">
        <x:v>61</x:v>
      </x:c>
      <x:c r="B64" s="12" t="str">
        <x:v>نموذج ب</x:v>
      </x:c>
      <x:c r="C64" s="12" t="n">
        <x:v>420</x:v>
      </x:c>
      <x:c r="D64" s="12" t="str">
        <x:v>تحت التنفيذ</x:v>
      </x:c>
      <x:c r="E64" s="15" t="n">
        <x:v>0.58</x:v>
      </x:c>
      <x:c r="F64" s="14" t="n">
        <x:v>220000</x:v>
      </x:c>
      <x:c r="G64" s="14" t="n">
        <x:v>128876</x:v>
      </x:c>
      <x:c r="H64" s="14" t="n">
        <x:v>223520</x:v>
      </x:c>
      <x:c r="I64" s="14" t="n">
        <x:v>300000</x:v>
      </x:c>
      <x:c r="J64" s="14" t="n">
        <x:v>174000</x:v>
      </x:c>
      <x:c r="K64" s="14" t="n">
        <x:v>76480</x:v>
      </x:c>
      <x:c r="L64" s="12" t="n">
        <x:v>5</x:v>
      </x:c>
      <x:c r="M64" s="14" t="n">
        <x:v>4400</x:v>
      </x:c>
      <x:c r="N64" s="14" t="n">
        <x:v>5940</x:v>
      </x:c>
    </x:row>
    <x:row r="65">
      <x:c r="A65" s="12" t="n">
        <x:v>62</x:v>
      </x:c>
      <x:c r="B65" s="12" t="str">
        <x:v>نموذج ب</x:v>
      </x:c>
      <x:c r="C65" s="12" t="n">
        <x:v>420</x:v>
      </x:c>
      <x:c r="D65" s="12" t="str">
        <x:v>تحت التنفيذ</x:v>
      </x:c>
      <x:c r="E65" s="15" t="n">
        <x:v>0.62</x:v>
      </x:c>
      <x:c r="F65" s="14" t="n">
        <x:v>220000</x:v>
      </x:c>
      <x:c r="G65" s="14" t="n">
        <x:v>140492</x:v>
      </x:c>
      <x:c r="H65" s="14" t="n">
        <x:v>223520</x:v>
      </x:c>
      <x:c r="I65" s="14" t="n">
        <x:v>300000</x:v>
      </x:c>
      <x:c r="J65" s="14" t="n">
        <x:v>186000</x:v>
      </x:c>
      <x:c r="K65" s="14" t="n">
        <x:v>76480</x:v>
      </x:c>
      <x:c r="L65" s="12" t="n">
        <x:v>6</x:v>
      </x:c>
      <x:c r="M65" s="14" t="n">
        <x:v>4840</x:v>
      </x:c>
      <x:c r="N65" s="14" t="n">
        <x:v>6600</x:v>
      </x:c>
    </x:row>
    <x:row r="66">
      <x:c r="A66" s="12" t="n">
        <x:v>63</x:v>
      </x:c>
      <x:c r="B66" s="12" t="str">
        <x:v>نموذج ب</x:v>
      </x:c>
      <x:c r="C66" s="12" t="n">
        <x:v>420</x:v>
      </x:c>
      <x:c r="D66" s="12" t="str">
        <x:v>تحت التنفيذ</x:v>
      </x:c>
      <x:c r="E66" s="15" t="n">
        <x:v>0.65</x:v>
      </x:c>
      <x:c r="F66" s="14" t="n">
        <x:v>220000</x:v>
      </x:c>
      <x:c r="G66" s="14" t="n">
        <x:v>143000</x:v>
      </x:c>
      <x:c r="H66" s="14" t="n">
        <x:v>223520</x:v>
      </x:c>
      <x:c r="I66" s="14" t="n">
        <x:v>300000</x:v>
      </x:c>
      <x:c r="J66" s="14" t="n">
        <x:v>195000</x:v>
      </x:c>
      <x:c r="K66" s="14" t="n">
        <x:v>76480</x:v>
      </x:c>
      <x:c r="L66" s="12" t="n">
        <x:v>7</x:v>
      </x:c>
      <x:c r="M66" s="14" t="n">
        <x:v>5280</x:v>
      </x:c>
      <x:c r="N66" s="14" t="n">
        <x:v>7260</x:v>
      </x:c>
    </x:row>
    <x:row r="67">
      <x:c r="A67" s="12" t="n">
        <x:v>64</x:v>
      </x:c>
      <x:c r="B67" s="12" t="str">
        <x:v>نموذج ب</x:v>
      </x:c>
      <x:c r="C67" s="12" t="n">
        <x:v>420</x:v>
      </x:c>
      <x:c r="D67" s="12" t="str">
        <x:v>تحت التنفيذ</x:v>
      </x:c>
      <x:c r="E67" s="15" t="n">
        <x:v>0.68</x:v>
      </x:c>
      <x:c r="F67" s="14" t="n">
        <x:v>220000</x:v>
      </x:c>
      <x:c r="G67" s="14" t="n">
        <x:v>152592</x:v>
      </x:c>
      <x:c r="H67" s="14" t="n">
        <x:v>223520</x:v>
      </x:c>
      <x:c r="I67" s="14" t="n">
        <x:v>300000</x:v>
      </x:c>
      <x:c r="J67" s="14" t="n">
        <x:v>204000</x:v>
      </x:c>
      <x:c r="K67" s="14" t="n">
        <x:v>76480</x:v>
      </x:c>
      <x:c r="L67" s="12" t="n">
        <x:v>8</x:v>
      </x:c>
      <x:c r="M67" s="14" t="n">
        <x:v>5500</x:v>
      </x:c>
      <x:c r="N67" s="14" t="n">
        <x:v>7480</x:v>
      </x:c>
    </x:row>
    <x:row r="68">
      <x:c r="A68" s="12" t="n">
        <x:v>65</x:v>
      </x:c>
      <x:c r="B68" s="12" t="str">
        <x:v>نموذج ب</x:v>
      </x:c>
      <x:c r="C68" s="12" t="n">
        <x:v>420</x:v>
      </x:c>
      <x:c r="D68" s="12" t="str">
        <x:v>تحت التنفيذ</x:v>
      </x:c>
      <x:c r="E68" s="15" t="n">
        <x:v>0.72</x:v>
      </x:c>
      <x:c r="F68" s="14" t="n">
        <x:v>220000</x:v>
      </x:c>
      <x:c r="G68" s="14" t="n">
        <x:v>160776</x:v>
      </x:c>
      <x:c r="H68" s="14" t="n">
        <x:v>223520</x:v>
      </x:c>
      <x:c r="I68" s="14" t="n">
        <x:v>300000</x:v>
      </x:c>
      <x:c r="J68" s="14" t="n">
        <x:v>216000</x:v>
      </x:c>
      <x:c r="K68" s="14" t="n">
        <x:v>76480</x:v>
      </x:c>
      <x:c r="L68" s="12" t="n">
        <x:v>9</x:v>
      </x:c>
      <x:c r="M68" s="14" t="n">
        <x:v>5060</x:v>
      </x:c>
      <x:c r="N68" s="14" t="n">
        <x:v>6820</x:v>
      </x:c>
    </x:row>
    <x:row r="69">
      <x:c r="A69" s="12" t="n">
        <x:v>66</x:v>
      </x:c>
      <x:c r="B69" s="12" t="str">
        <x:v>نموذج ب</x:v>
      </x:c>
      <x:c r="C69" s="12" t="n">
        <x:v>420</x:v>
      </x:c>
      <x:c r="D69" s="12" t="str">
        <x:v>تحت التنفيذ</x:v>
      </x:c>
      <x:c r="E69" s="15" t="n">
        <x:v>0.58</x:v>
      </x:c>
      <x:c r="F69" s="14" t="n">
        <x:v>220000</x:v>
      </x:c>
      <x:c r="G69" s="14" t="n">
        <x:v>128876</x:v>
      </x:c>
      <x:c r="H69" s="14" t="n">
        <x:v>223520</x:v>
      </x:c>
      <x:c r="I69" s="14" t="n">
        <x:v>300000</x:v>
      </x:c>
      <x:c r="J69" s="14" t="n">
        <x:v>174000</x:v>
      </x:c>
      <x:c r="K69" s="14" t="n">
        <x:v>76480</x:v>
      </x:c>
      <x:c r="L69" s="12" t="n">
        <x:v>5</x:v>
      </x:c>
      <x:c r="M69" s="14" t="n">
        <x:v>4400</x:v>
      </x:c>
      <x:c r="N69" s="14" t="n">
        <x:v>5940</x:v>
      </x:c>
    </x:row>
    <x:row r="70">
      <x:c r="A70" s="12" t="n">
        <x:v>67</x:v>
      </x:c>
      <x:c r="B70" s="12" t="str">
        <x:v>نموذج ب</x:v>
      </x:c>
      <x:c r="C70" s="12" t="n">
        <x:v>420</x:v>
      </x:c>
      <x:c r="D70" s="12" t="str">
        <x:v>تحت التنفيذ</x:v>
      </x:c>
      <x:c r="E70" s="15" t="n">
        <x:v>0.62</x:v>
      </x:c>
      <x:c r="F70" s="14" t="n">
        <x:v>220000</x:v>
      </x:c>
      <x:c r="G70" s="14" t="n">
        <x:v>140492</x:v>
      </x:c>
      <x:c r="H70" s="14" t="n">
        <x:v>223520</x:v>
      </x:c>
      <x:c r="I70" s="14" t="n">
        <x:v>300000</x:v>
      </x:c>
      <x:c r="J70" s="14" t="n">
        <x:v>186000</x:v>
      </x:c>
      <x:c r="K70" s="14" t="n">
        <x:v>76480</x:v>
      </x:c>
      <x:c r="L70" s="12" t="n">
        <x:v>6</x:v>
      </x:c>
      <x:c r="M70" s="14" t="n">
        <x:v>4840</x:v>
      </x:c>
      <x:c r="N70" s="14" t="n">
        <x:v>6600</x:v>
      </x:c>
    </x:row>
    <x:row r="71">
      <x:c r="A71" s="12" t="n">
        <x:v>68</x:v>
      </x:c>
      <x:c r="B71" s="12" t="str">
        <x:v>نموذج ب</x:v>
      </x:c>
      <x:c r="C71" s="12" t="n">
        <x:v>420</x:v>
      </x:c>
      <x:c r="D71" s="12" t="str">
        <x:v>تحت التنفيذ</x:v>
      </x:c>
      <x:c r="E71" s="15" t="n">
        <x:v>0.65</x:v>
      </x:c>
      <x:c r="F71" s="14" t="n">
        <x:v>220000</x:v>
      </x:c>
      <x:c r="G71" s="14" t="n">
        <x:v>143000</x:v>
      </x:c>
      <x:c r="H71" s="14" t="n">
        <x:v>223520</x:v>
      </x:c>
      <x:c r="I71" s="14" t="n">
        <x:v>300000</x:v>
      </x:c>
      <x:c r="J71" s="14" t="n">
        <x:v>195000</x:v>
      </x:c>
      <x:c r="K71" s="14" t="n">
        <x:v>76480</x:v>
      </x:c>
      <x:c r="L71" s="12" t="n">
        <x:v>7</x:v>
      </x:c>
      <x:c r="M71" s="14" t="n">
        <x:v>5280</x:v>
      </x:c>
      <x:c r="N71" s="14" t="n">
        <x:v>7260</x:v>
      </x:c>
    </x:row>
    <x:row r="72">
      <x:c r="A72" s="12" t="n">
        <x:v>69</x:v>
      </x:c>
      <x:c r="B72" s="12" t="str">
        <x:v>نموذج ب</x:v>
      </x:c>
      <x:c r="C72" s="12" t="n">
        <x:v>420</x:v>
      </x:c>
      <x:c r="D72" s="12" t="str">
        <x:v>تحت التنفيذ</x:v>
      </x:c>
      <x:c r="E72" s="15" t="n">
        <x:v>0.68</x:v>
      </x:c>
      <x:c r="F72" s="14" t="n">
        <x:v>220000</x:v>
      </x:c>
      <x:c r="G72" s="14" t="n">
        <x:v>152592</x:v>
      </x:c>
      <x:c r="H72" s="14" t="n">
        <x:v>223520</x:v>
      </x:c>
      <x:c r="I72" s="14" t="n">
        <x:v>300000</x:v>
      </x:c>
      <x:c r="J72" s="14" t="n">
        <x:v>204000</x:v>
      </x:c>
      <x:c r="K72" s="14" t="n">
        <x:v>76480</x:v>
      </x:c>
      <x:c r="L72" s="12" t="n">
        <x:v>8</x:v>
      </x:c>
      <x:c r="M72" s="14" t="n">
        <x:v>5500</x:v>
      </x:c>
      <x:c r="N72" s="14" t="n">
        <x:v>7480</x:v>
      </x:c>
    </x:row>
    <x:row r="73">
      <x:c r="A73" s="12" t="n">
        <x:v>70</x:v>
      </x:c>
      <x:c r="B73" s="12" t="str">
        <x:v>نموذج ب</x:v>
      </x:c>
      <x:c r="C73" s="12" t="n">
        <x:v>420</x:v>
      </x:c>
      <x:c r="D73" s="12" t="str">
        <x:v>تحت التنفيذ</x:v>
      </x:c>
      <x:c r="E73" s="15" t="n">
        <x:v>0.72</x:v>
      </x:c>
      <x:c r="F73" s="14" t="n">
        <x:v>220000</x:v>
      </x:c>
      <x:c r="G73" s="14" t="n">
        <x:v>160776</x:v>
      </x:c>
      <x:c r="H73" s="14" t="n">
        <x:v>223520</x:v>
      </x:c>
      <x:c r="I73" s="14" t="n">
        <x:v>300000</x:v>
      </x:c>
      <x:c r="J73" s="14" t="n">
        <x:v>216000</x:v>
      </x:c>
      <x:c r="K73" s="14" t="n">
        <x:v>76480</x:v>
      </x:c>
      <x:c r="L73" s="12" t="n">
        <x:v>9</x:v>
      </x:c>
      <x:c r="M73" s="14" t="n">
        <x:v>5060</x:v>
      </x:c>
      <x:c r="N73" s="14" t="n">
        <x:v>6820</x:v>
      </x:c>
    </x:row>
    <x:row r="74">
      <x:c r="A74" s="12" t="n">
        <x:v>71</x:v>
      </x:c>
      <x:c r="B74" s="12" t="str">
        <x:v>نموذج ب</x:v>
      </x:c>
      <x:c r="C74" s="12" t="n">
        <x:v>420</x:v>
      </x:c>
      <x:c r="D74" s="12" t="str">
        <x:v>تحت التنفيذ</x:v>
      </x:c>
      <x:c r="E74" s="15" t="n">
        <x:v>0.58</x:v>
      </x:c>
      <x:c r="F74" s="14" t="n">
        <x:v>220000</x:v>
      </x:c>
      <x:c r="G74" s="14" t="n">
        <x:v>128876</x:v>
      </x:c>
      <x:c r="H74" s="14" t="n">
        <x:v>223520</x:v>
      </x:c>
      <x:c r="I74" s="14" t="n">
        <x:v>300000</x:v>
      </x:c>
      <x:c r="J74" s="14" t="n">
        <x:v>174000</x:v>
      </x:c>
      <x:c r="K74" s="14" t="n">
        <x:v>76480</x:v>
      </x:c>
      <x:c r="L74" s="12" t="n">
        <x:v>5</x:v>
      </x:c>
      <x:c r="M74" s="14" t="n">
        <x:v>4400</x:v>
      </x:c>
      <x:c r="N74" s="14" t="n">
        <x:v>5940</x:v>
      </x:c>
    </x:row>
    <x:row r="75">
      <x:c r="A75" s="12" t="n">
        <x:v>72</x:v>
      </x:c>
      <x:c r="B75" s="12" t="str">
        <x:v>نموذج ب</x:v>
      </x:c>
      <x:c r="C75" s="12" t="n">
        <x:v>420</x:v>
      </x:c>
      <x:c r="D75" s="12" t="str">
        <x:v>تحت التنفيذ</x:v>
      </x:c>
      <x:c r="E75" s="15" t="n">
        <x:v>0.62</x:v>
      </x:c>
      <x:c r="F75" s="14" t="n">
        <x:v>220000</x:v>
      </x:c>
      <x:c r="G75" s="14" t="n">
        <x:v>140492</x:v>
      </x:c>
      <x:c r="H75" s="14" t="n">
        <x:v>223520</x:v>
      </x:c>
      <x:c r="I75" s="14" t="n">
        <x:v>300000</x:v>
      </x:c>
      <x:c r="J75" s="14" t="n">
        <x:v>186000</x:v>
      </x:c>
      <x:c r="K75" s="14" t="n">
        <x:v>76480</x:v>
      </x:c>
      <x:c r="L75" s="12" t="n">
        <x:v>6</x:v>
      </x:c>
      <x:c r="M75" s="14" t="n">
        <x:v>4840</x:v>
      </x:c>
      <x:c r="N75" s="14" t="n">
        <x:v>6600</x:v>
      </x:c>
    </x:row>
    <x:row r="76">
      <x:c r="A76" s="12" t="n">
        <x:v>73</x:v>
      </x:c>
      <x:c r="B76" s="12" t="str">
        <x:v>نموذج ب</x:v>
      </x:c>
      <x:c r="C76" s="12" t="n">
        <x:v>420</x:v>
      </x:c>
      <x:c r="D76" s="12" t="str">
        <x:v>تحت التنفيذ</x:v>
      </x:c>
      <x:c r="E76" s="15" t="n">
        <x:v>0.65</x:v>
      </x:c>
      <x:c r="F76" s="14" t="n">
        <x:v>220000</x:v>
      </x:c>
      <x:c r="G76" s="14" t="n">
        <x:v>143000</x:v>
      </x:c>
      <x:c r="H76" s="14" t="n">
        <x:v>223520</x:v>
      </x:c>
      <x:c r="I76" s="14" t="n">
        <x:v>300000</x:v>
      </x:c>
      <x:c r="J76" s="14" t="n">
        <x:v>195000</x:v>
      </x:c>
      <x:c r="K76" s="14" t="n">
        <x:v>76480</x:v>
      </x:c>
      <x:c r="L76" s="12" t="n">
        <x:v>7</x:v>
      </x:c>
      <x:c r="M76" s="14" t="n">
        <x:v>5280</x:v>
      </x:c>
      <x:c r="N76" s="14" t="n">
        <x:v>7260</x:v>
      </x:c>
    </x:row>
    <x:row r="77">
      <x:c r="A77" s="12" t="n">
        <x:v>74</x:v>
      </x:c>
      <x:c r="B77" s="12" t="str">
        <x:v>نموذج ب</x:v>
      </x:c>
      <x:c r="C77" s="12" t="n">
        <x:v>420</x:v>
      </x:c>
      <x:c r="D77" s="12" t="str">
        <x:v>تحت التنفيذ</x:v>
      </x:c>
      <x:c r="E77" s="15" t="n">
        <x:v>0.68</x:v>
      </x:c>
      <x:c r="F77" s="14" t="n">
        <x:v>220000</x:v>
      </x:c>
      <x:c r="G77" s="14" t="n">
        <x:v>152592</x:v>
      </x:c>
      <x:c r="H77" s="14" t="n">
        <x:v>223520</x:v>
      </x:c>
      <x:c r="I77" s="14" t="n">
        <x:v>300000</x:v>
      </x:c>
      <x:c r="J77" s="14" t="n">
        <x:v>204000</x:v>
      </x:c>
      <x:c r="K77" s="14" t="n">
        <x:v>76480</x:v>
      </x:c>
      <x:c r="L77" s="12" t="n">
        <x:v>8</x:v>
      </x:c>
      <x:c r="M77" s="14" t="n">
        <x:v>5500</x:v>
      </x:c>
      <x:c r="N77" s="14" t="n">
        <x:v>7480</x:v>
      </x:c>
    </x:row>
    <x:row r="78">
      <x:c r="A78" s="12" t="n">
        <x:v>75</x:v>
      </x:c>
      <x:c r="B78" s="12" t="str">
        <x:v>نموذج ب</x:v>
      </x:c>
      <x:c r="C78" s="12" t="n">
        <x:v>420</x:v>
      </x:c>
      <x:c r="D78" s="12" t="str">
        <x:v>تحت التنفيذ</x:v>
      </x:c>
      <x:c r="E78" s="15" t="n">
        <x:v>0.72</x:v>
      </x:c>
      <x:c r="F78" s="14" t="n">
        <x:v>220000</x:v>
      </x:c>
      <x:c r="G78" s="14" t="n">
        <x:v>160776</x:v>
      </x:c>
      <x:c r="H78" s="14" t="n">
        <x:v>223520</x:v>
      </x:c>
      <x:c r="I78" s="14" t="n">
        <x:v>300000</x:v>
      </x:c>
      <x:c r="J78" s="14" t="n">
        <x:v>216000</x:v>
      </x:c>
      <x:c r="K78" s="14" t="n">
        <x:v>76480</x:v>
      </x:c>
      <x:c r="L78" s="12" t="n">
        <x:v>9</x:v>
      </x:c>
      <x:c r="M78" s="14" t="n">
        <x:v>5060</x:v>
      </x:c>
      <x:c r="N78" s="14" t="n">
        <x:v>6820</x:v>
      </x:c>
    </x:row>
    <x:row r="79">
      <x:c r="A79" s="12" t="n">
        <x:v>76</x:v>
      </x:c>
      <x:c r="B79" s="12" t="str">
        <x:v>نموذج ب</x:v>
      </x:c>
      <x:c r="C79" s="12" t="n">
        <x:v>420</x:v>
      </x:c>
      <x:c r="D79" s="12" t="str">
        <x:v>تحت التنفيذ</x:v>
      </x:c>
      <x:c r="E79" s="15" t="n">
        <x:v>0.58</x:v>
      </x:c>
      <x:c r="F79" s="14" t="n">
        <x:v>220000</x:v>
      </x:c>
      <x:c r="G79" s="14" t="n">
        <x:v>128876</x:v>
      </x:c>
      <x:c r="H79" s="14" t="n">
        <x:v>223520</x:v>
      </x:c>
      <x:c r="I79" s="14" t="n">
        <x:v>300000</x:v>
      </x:c>
      <x:c r="J79" s="14" t="n">
        <x:v>174000</x:v>
      </x:c>
      <x:c r="K79" s="14" t="n">
        <x:v>76480</x:v>
      </x:c>
      <x:c r="L79" s="12" t="n">
        <x:v>5</x:v>
      </x:c>
      <x:c r="M79" s="14" t="n">
        <x:v>4400</x:v>
      </x:c>
      <x:c r="N79" s="14" t="n">
        <x:v>5940</x:v>
      </x:c>
    </x:row>
    <x:row r="80">
      <x:c r="A80" s="12" t="n">
        <x:v>77</x:v>
      </x:c>
      <x:c r="B80" s="12" t="str">
        <x:v>نموذج ب</x:v>
      </x:c>
      <x:c r="C80" s="12" t="n">
        <x:v>420</x:v>
      </x:c>
      <x:c r="D80" s="12" t="str">
        <x:v>تحت التنفيذ</x:v>
      </x:c>
      <x:c r="E80" s="15" t="n">
        <x:v>0.62</x:v>
      </x:c>
      <x:c r="F80" s="14" t="n">
        <x:v>220000</x:v>
      </x:c>
      <x:c r="G80" s="14" t="n">
        <x:v>140492</x:v>
      </x:c>
      <x:c r="H80" s="14" t="n">
        <x:v>223520</x:v>
      </x:c>
      <x:c r="I80" s="14" t="n">
        <x:v>300000</x:v>
      </x:c>
      <x:c r="J80" s="14" t="n">
        <x:v>186000</x:v>
      </x:c>
      <x:c r="K80" s="14" t="n">
        <x:v>76480</x:v>
      </x:c>
      <x:c r="L80" s="12" t="n">
        <x:v>6</x:v>
      </x:c>
      <x:c r="M80" s="14" t="n">
        <x:v>4840</x:v>
      </x:c>
      <x:c r="N80" s="14" t="n">
        <x:v>6600</x:v>
      </x:c>
    </x:row>
    <x:row r="81">
      <x:c r="A81" s="12" t="n">
        <x:v>78</x:v>
      </x:c>
      <x:c r="B81" s="12" t="str">
        <x:v>نموذج ب</x:v>
      </x:c>
      <x:c r="C81" s="12" t="n">
        <x:v>420</x:v>
      </x:c>
      <x:c r="D81" s="12" t="str">
        <x:v>تحت التنفيذ</x:v>
      </x:c>
      <x:c r="E81" s="15" t="n">
        <x:v>0.65</x:v>
      </x:c>
      <x:c r="F81" s="14" t="n">
        <x:v>220000</x:v>
      </x:c>
      <x:c r="G81" s="14" t="n">
        <x:v>143000</x:v>
      </x:c>
      <x:c r="H81" s="14" t="n">
        <x:v>223520</x:v>
      </x:c>
      <x:c r="I81" s="14" t="n">
        <x:v>300000</x:v>
      </x:c>
      <x:c r="J81" s="14" t="n">
        <x:v>195000</x:v>
      </x:c>
      <x:c r="K81" s="14" t="n">
        <x:v>76480</x:v>
      </x:c>
      <x:c r="L81" s="12" t="n">
        <x:v>7</x:v>
      </x:c>
      <x:c r="M81" s="14" t="n">
        <x:v>5280</x:v>
      </x:c>
      <x:c r="N81" s="14" t="n">
        <x:v>7260</x:v>
      </x:c>
    </x:row>
    <x:row r="82">
      <x:c r="A82" s="12" t="n">
        <x:v>79</x:v>
      </x:c>
      <x:c r="B82" s="12" t="str">
        <x:v>نموذج ب</x:v>
      </x:c>
      <x:c r="C82" s="12" t="n">
        <x:v>420</x:v>
      </x:c>
      <x:c r="D82" s="12" t="str">
        <x:v>تحت التنفيذ</x:v>
      </x:c>
      <x:c r="E82" s="15" t="n">
        <x:v>0.68</x:v>
      </x:c>
      <x:c r="F82" s="14" t="n">
        <x:v>220000</x:v>
      </x:c>
      <x:c r="G82" s="14" t="n">
        <x:v>152592</x:v>
      </x:c>
      <x:c r="H82" s="14" t="n">
        <x:v>223520</x:v>
      </x:c>
      <x:c r="I82" s="14" t="n">
        <x:v>300000</x:v>
      </x:c>
      <x:c r="J82" s="14" t="n">
        <x:v>204000</x:v>
      </x:c>
      <x:c r="K82" s="14" t="n">
        <x:v>76480</x:v>
      </x:c>
      <x:c r="L82" s="12" t="n">
        <x:v>8</x:v>
      </x:c>
      <x:c r="M82" s="14" t="n">
        <x:v>5500</x:v>
      </x:c>
      <x:c r="N82" s="14" t="n">
        <x:v>7480</x:v>
      </x:c>
    </x:row>
    <x:row r="83">
      <x:c r="A83" s="12" t="n">
        <x:v>80</x:v>
      </x:c>
      <x:c r="B83" s="12" t="str">
        <x:v>نموذج ب</x:v>
      </x:c>
      <x:c r="C83" s="12" t="n">
        <x:v>420</x:v>
      </x:c>
      <x:c r="D83" s="12" t="str">
        <x:v>تحت التنفيذ</x:v>
      </x:c>
      <x:c r="E83" s="15" t="n">
        <x:v>0.72</x:v>
      </x:c>
      <x:c r="F83" s="14" t="n">
        <x:v>220000</x:v>
      </x:c>
      <x:c r="G83" s="14" t="n">
        <x:v>160776</x:v>
      </x:c>
      <x:c r="H83" s="14" t="n">
        <x:v>223520</x:v>
      </x:c>
      <x:c r="I83" s="14" t="n">
        <x:v>300000</x:v>
      </x:c>
      <x:c r="J83" s="14" t="n">
        <x:v>216000</x:v>
      </x:c>
      <x:c r="K83" s="14" t="n">
        <x:v>76480</x:v>
      </x:c>
      <x:c r="L83" s="12" t="n">
        <x:v>9</x:v>
      </x:c>
      <x:c r="M83" s="14" t="n">
        <x:v>5060</x:v>
      </x:c>
      <x:c r="N83" s="14" t="n">
        <x:v>6820</x:v>
      </x:c>
    </x:row>
    <x:row r="84">
      <x:c r="A84" s="12" t="n">
        <x:v>81</x:v>
      </x:c>
      <x:c r="B84" s="12" t="str">
        <x:v>نموذج ج</x:v>
      </x:c>
      <x:c r="C84" s="12" t="n">
        <x:v>460</x:v>
      </x:c>
      <x:c r="D84" s="12" t="str">
        <x:v>مرحلة مبكرة</x:v>
      </x:c>
      <x:c r="E84" s="15" t="n">
        <x:v>0.12</x:v>
      </x:c>
      <x:c r="F84" s="14" t="n">
        <x:v>235000</x:v>
      </x:c>
      <x:c r="G84" s="14" t="n">
        <x:v>27918</x:v>
      </x:c>
      <x:c r="H84" s="14" t="n">
        <x:v>237820</x:v>
      </x:c>
      <x:c r="I84" s="14" t="n">
        <x:v>325000</x:v>
      </x:c>
      <x:c r="J84" s="14" t="n">
        <x:v>39000</x:v>
      </x:c>
      <x:c r="K84" s="14" t="n">
        <x:v>87180</x:v>
      </x:c>
      <x:c r="L84" s="12" t="n">
        <x:v>2</x:v>
      </x:c>
      <x:c r="M84" s="14" t="n">
        <x:v>2350</x:v>
      </x:c>
      <x:c r="N84" s="14" t="n">
        <x:v>6580</x:v>
      </x:c>
    </x:row>
    <x:row r="85">
      <x:c r="A85" s="12" t="n">
        <x:v>82</x:v>
      </x:c>
      <x:c r="B85" s="12" t="str">
        <x:v>نموذج ج</x:v>
      </x:c>
      <x:c r="C85" s="12" t="n">
        <x:v>460</x:v>
      </x:c>
      <x:c r="D85" s="12" t="str">
        <x:v>مرحلة مبكرة</x:v>
      </x:c>
      <x:c r="E85" s="15" t="n">
        <x:v>0.16</x:v>
      </x:c>
      <x:c r="F85" s="14" t="n">
        <x:v>235000</x:v>
      </x:c>
      <x:c r="G85" s="14" t="n">
        <x:v>37976</x:v>
      </x:c>
      <x:c r="H85" s="14" t="n">
        <x:v>237820</x:v>
      </x:c>
      <x:c r="I85" s="14" t="n">
        <x:v>325000</x:v>
      </x:c>
      <x:c r="J85" s="14" t="n">
        <x:v>52000</x:v>
      </x:c>
      <x:c r="K85" s="14" t="n">
        <x:v>87180</x:v>
      </x:c>
      <x:c r="L85" s="12" t="n">
        <x:v>3</x:v>
      </x:c>
      <x:c r="M85" s="14" t="n">
        <x:v>2820</x:v>
      </x:c>
      <x:c r="N85" s="14" t="n">
        <x:v>7285</x:v>
      </x:c>
    </x:row>
    <x:row r="86">
      <x:c r="A86" s="12" t="n">
        <x:v>83</x:v>
      </x:c>
      <x:c r="B86" s="12" t="str">
        <x:v>نموذج ج</x:v>
      </x:c>
      <x:c r="C86" s="12" t="n">
        <x:v>460</x:v>
      </x:c>
      <x:c r="D86" s="12" t="str">
        <x:v>مرحلة مبكرة</x:v>
      </x:c>
      <x:c r="E86" s="15" t="n">
        <x:v>0.2</x:v>
      </x:c>
      <x:c r="F86" s="14" t="n">
        <x:v>235000</x:v>
      </x:c>
      <x:c r="G86" s="14" t="n">
        <x:v>47000</x:v>
      </x:c>
      <x:c r="H86" s="14" t="n">
        <x:v>237820</x:v>
      </x:c>
      <x:c r="I86" s="14" t="n">
        <x:v>325000</x:v>
      </x:c>
      <x:c r="J86" s="14" t="n">
        <x:v>65000</x:v>
      </x:c>
      <x:c r="K86" s="14" t="n">
        <x:v>87180</x:v>
      </x:c>
      <x:c r="L86" s="12" t="n">
        <x:v>4</x:v>
      </x:c>
      <x:c r="M86" s="14" t="n">
        <x:v>3055</x:v>
      </x:c>
      <x:c r="N86" s="14" t="n">
        <x:v>7990</x:v>
      </x:c>
    </x:row>
    <x:row r="87">
      <x:c r="A87" s="12" t="n">
        <x:v>84</x:v>
      </x:c>
      <x:c r="B87" s="12" t="str">
        <x:v>نموذج ج</x:v>
      </x:c>
      <x:c r="C87" s="12" t="n">
        <x:v>460</x:v>
      </x:c>
      <x:c r="D87" s="12" t="str">
        <x:v>مرحلة مبكرة</x:v>
      </x:c>
      <x:c r="E87" s="15" t="n">
        <x:v>0.24</x:v>
      </x:c>
      <x:c r="F87" s="14" t="n">
        <x:v>235000</x:v>
      </x:c>
      <x:c r="G87" s="14" t="n">
        <x:v>57528</x:v>
      </x:c>
      <x:c r="H87" s="14" t="n">
        <x:v>237820</x:v>
      </x:c>
      <x:c r="I87" s="14" t="n">
        <x:v>325000</x:v>
      </x:c>
      <x:c r="J87" s="14" t="n">
        <x:v>78000</x:v>
      </x:c>
      <x:c r="K87" s="14" t="n">
        <x:v>87180</x:v>
      </x:c>
      <x:c r="L87" s="12" t="n">
        <x:v>3</x:v>
      </x:c>
      <x:c r="M87" s="14" t="n">
        <x:v>2820</x:v>
      </x:c>
      <x:c r="N87" s="14" t="n">
        <x:v>7520</x:v>
      </x:c>
    </x:row>
    <x:row r="88">
      <x:c r="A88" s="12" t="n">
        <x:v>85</x:v>
      </x:c>
      <x:c r="B88" s="12" t="str">
        <x:v>نموذج ج</x:v>
      </x:c>
      <x:c r="C88" s="12" t="n">
        <x:v>460</x:v>
      </x:c>
      <x:c r="D88" s="12" t="str">
        <x:v>مرحلة مبكرة</x:v>
      </x:c>
      <x:c r="E88" s="15" t="n">
        <x:v>0.28</x:v>
      </x:c>
      <x:c r="F88" s="14" t="n">
        <x:v>235000</x:v>
      </x:c>
      <x:c r="G88" s="14" t="n">
        <x:v>66129</x:v>
      </x:c>
      <x:c r="H88" s="14" t="n">
        <x:v>237820</x:v>
      </x:c>
      <x:c r="I88" s="14" t="n">
        <x:v>325000</x:v>
      </x:c>
      <x:c r="J88" s="14" t="n">
        <x:v>91000</x:v>
      </x:c>
      <x:c r="K88" s="14" t="n">
        <x:v>87180</x:v>
      </x:c>
      <x:c r="L88" s="12" t="n">
        <x:v>2</x:v>
      </x:c>
      <x:c r="M88" s="14" t="n">
        <x:v>2585</x:v>
      </x:c>
      <x:c r="N88" s="14" t="n">
        <x:v>7050</x:v>
      </x:c>
    </x:row>
    <x:row r="89">
      <x:c r="A89" s="12" t="n">
        <x:v>86</x:v>
      </x:c>
      <x:c r="B89" s="12" t="str">
        <x:v>نموذج ج</x:v>
      </x:c>
      <x:c r="C89" s="12" t="n">
        <x:v>460</x:v>
      </x:c>
      <x:c r="D89" s="12" t="str">
        <x:v>مرحلة مبكرة</x:v>
      </x:c>
      <x:c r="E89" s="15" t="n">
        <x:v>0.12</x:v>
      </x:c>
      <x:c r="F89" s="14" t="n">
        <x:v>235000</x:v>
      </x:c>
      <x:c r="G89" s="14" t="n">
        <x:v>27918</x:v>
      </x:c>
      <x:c r="H89" s="14" t="n">
        <x:v>237820</x:v>
      </x:c>
      <x:c r="I89" s="14" t="n">
        <x:v>325000</x:v>
      </x:c>
      <x:c r="J89" s="14" t="n">
        <x:v>39000</x:v>
      </x:c>
      <x:c r="K89" s="14" t="n">
        <x:v>87180</x:v>
      </x:c>
      <x:c r="L89" s="12" t="n">
        <x:v>2</x:v>
      </x:c>
      <x:c r="M89" s="14" t="n">
        <x:v>2350</x:v>
      </x:c>
      <x:c r="N89" s="14" t="n">
        <x:v>6580</x:v>
      </x:c>
    </x:row>
    <x:row r="90">
      <x:c r="A90" s="12" t="n">
        <x:v>87</x:v>
      </x:c>
      <x:c r="B90" s="12" t="str">
        <x:v>نموذج ج</x:v>
      </x:c>
      <x:c r="C90" s="12" t="n">
        <x:v>460</x:v>
      </x:c>
      <x:c r="D90" s="12" t="str">
        <x:v>مرحلة مبكرة</x:v>
      </x:c>
      <x:c r="E90" s="15" t="n">
        <x:v>0.16</x:v>
      </x:c>
      <x:c r="F90" s="14" t="n">
        <x:v>235000</x:v>
      </x:c>
      <x:c r="G90" s="14" t="n">
        <x:v>37976</x:v>
      </x:c>
      <x:c r="H90" s="14" t="n">
        <x:v>237820</x:v>
      </x:c>
      <x:c r="I90" s="14" t="n">
        <x:v>325000</x:v>
      </x:c>
      <x:c r="J90" s="14" t="n">
        <x:v>52000</x:v>
      </x:c>
      <x:c r="K90" s="14" t="n">
        <x:v>87180</x:v>
      </x:c>
      <x:c r="L90" s="12" t="n">
        <x:v>3</x:v>
      </x:c>
      <x:c r="M90" s="14" t="n">
        <x:v>2820</x:v>
      </x:c>
      <x:c r="N90" s="14" t="n">
        <x:v>7285</x:v>
      </x:c>
    </x:row>
    <x:row r="91">
      <x:c r="A91" s="12" t="n">
        <x:v>88</x:v>
      </x:c>
      <x:c r="B91" s="12" t="str">
        <x:v>نموذج ج</x:v>
      </x:c>
      <x:c r="C91" s="12" t="n">
        <x:v>460</x:v>
      </x:c>
      <x:c r="D91" s="12" t="str">
        <x:v>مرحلة مبكرة</x:v>
      </x:c>
      <x:c r="E91" s="15" t="n">
        <x:v>0.2</x:v>
      </x:c>
      <x:c r="F91" s="14" t="n">
        <x:v>235000</x:v>
      </x:c>
      <x:c r="G91" s="14" t="n">
        <x:v>47000</x:v>
      </x:c>
      <x:c r="H91" s="14" t="n">
        <x:v>237820</x:v>
      </x:c>
      <x:c r="I91" s="14" t="n">
        <x:v>325000</x:v>
      </x:c>
      <x:c r="J91" s="14" t="n">
        <x:v>65000</x:v>
      </x:c>
      <x:c r="K91" s="14" t="n">
        <x:v>87180</x:v>
      </x:c>
      <x:c r="L91" s="12" t="n">
        <x:v>4</x:v>
      </x:c>
      <x:c r="M91" s="14" t="n">
        <x:v>3055</x:v>
      </x:c>
      <x:c r="N91" s="14" t="n">
        <x:v>7990</x:v>
      </x:c>
    </x:row>
    <x:row r="92">
      <x:c r="A92" s="12" t="n">
        <x:v>89</x:v>
      </x:c>
      <x:c r="B92" s="12" t="str">
        <x:v>نموذج ج</x:v>
      </x:c>
      <x:c r="C92" s="12" t="n">
        <x:v>460</x:v>
      </x:c>
      <x:c r="D92" s="12" t="str">
        <x:v>مرحلة مبكرة</x:v>
      </x:c>
      <x:c r="E92" s="15" t="n">
        <x:v>0.24</x:v>
      </x:c>
      <x:c r="F92" s="14" t="n">
        <x:v>235000</x:v>
      </x:c>
      <x:c r="G92" s="14" t="n">
        <x:v>57528</x:v>
      </x:c>
      <x:c r="H92" s="14" t="n">
        <x:v>237820</x:v>
      </x:c>
      <x:c r="I92" s="14" t="n">
        <x:v>325000</x:v>
      </x:c>
      <x:c r="J92" s="14" t="n">
        <x:v>78000</x:v>
      </x:c>
      <x:c r="K92" s="14" t="n">
        <x:v>87180</x:v>
      </x:c>
      <x:c r="L92" s="12" t="n">
        <x:v>3</x:v>
      </x:c>
      <x:c r="M92" s="14" t="n">
        <x:v>2820</x:v>
      </x:c>
      <x:c r="N92" s="14" t="n">
        <x:v>7520</x:v>
      </x:c>
    </x:row>
    <x:row r="93">
      <x:c r="A93" s="12" t="n">
        <x:v>90</x:v>
      </x:c>
      <x:c r="B93" s="12" t="str">
        <x:v>نموذج ج</x:v>
      </x:c>
      <x:c r="C93" s="12" t="n">
        <x:v>460</x:v>
      </x:c>
      <x:c r="D93" s="12" t="str">
        <x:v>مرحلة مبكرة</x:v>
      </x:c>
      <x:c r="E93" s="15" t="n">
        <x:v>0.28</x:v>
      </x:c>
      <x:c r="F93" s="14" t="n">
        <x:v>235000</x:v>
      </x:c>
      <x:c r="G93" s="14" t="n">
        <x:v>66129</x:v>
      </x:c>
      <x:c r="H93" s="14" t="n">
        <x:v>237820</x:v>
      </x:c>
      <x:c r="I93" s="14" t="n">
        <x:v>325000</x:v>
      </x:c>
      <x:c r="J93" s="14" t="n">
        <x:v>91000</x:v>
      </x:c>
      <x:c r="K93" s="14" t="n">
        <x:v>87180</x:v>
      </x:c>
      <x:c r="L93" s="12" t="n">
        <x:v>2</x:v>
      </x:c>
      <x:c r="M93" s="14" t="n">
        <x:v>2585</x:v>
      </x:c>
      <x:c r="N93" s="14" t="n">
        <x:v>7050</x:v>
      </x:c>
    </x:row>
    <x:row r="94">
      <x:c r="A94" s="12" t="n">
        <x:v>91</x:v>
      </x:c>
      <x:c r="B94" s="12" t="str">
        <x:v>نموذج ج</x:v>
      </x:c>
      <x:c r="C94" s="12" t="n">
        <x:v>460</x:v>
      </x:c>
      <x:c r="D94" s="12" t="str">
        <x:v>مرحلة مبكرة</x:v>
      </x:c>
      <x:c r="E94" s="15" t="n">
        <x:v>0.12</x:v>
      </x:c>
      <x:c r="F94" s="14" t="n">
        <x:v>235000</x:v>
      </x:c>
      <x:c r="G94" s="14" t="n">
        <x:v>27918</x:v>
      </x:c>
      <x:c r="H94" s="14" t="n">
        <x:v>237820</x:v>
      </x:c>
      <x:c r="I94" s="14" t="n">
        <x:v>325000</x:v>
      </x:c>
      <x:c r="J94" s="14" t="n">
        <x:v>39000</x:v>
      </x:c>
      <x:c r="K94" s="14" t="n">
        <x:v>87180</x:v>
      </x:c>
      <x:c r="L94" s="12" t="n">
        <x:v>2</x:v>
      </x:c>
      <x:c r="M94" s="14" t="n">
        <x:v>2350</x:v>
      </x:c>
      <x:c r="N94" s="14" t="n">
        <x:v>6580</x:v>
      </x:c>
    </x:row>
    <x:row r="95">
      <x:c r="A95" s="12" t="n">
        <x:v>92</x:v>
      </x:c>
      <x:c r="B95" s="12" t="str">
        <x:v>نموذج ج</x:v>
      </x:c>
      <x:c r="C95" s="12" t="n">
        <x:v>460</x:v>
      </x:c>
      <x:c r="D95" s="12" t="str">
        <x:v>مرحلة مبكرة</x:v>
      </x:c>
      <x:c r="E95" s="15" t="n">
        <x:v>0.16</x:v>
      </x:c>
      <x:c r="F95" s="14" t="n">
        <x:v>235000</x:v>
      </x:c>
      <x:c r="G95" s="14" t="n">
        <x:v>37976</x:v>
      </x:c>
      <x:c r="H95" s="14" t="n">
        <x:v>237820</x:v>
      </x:c>
      <x:c r="I95" s="14" t="n">
        <x:v>325000</x:v>
      </x:c>
      <x:c r="J95" s="14" t="n">
        <x:v>52000</x:v>
      </x:c>
      <x:c r="K95" s="14" t="n">
        <x:v>87180</x:v>
      </x:c>
      <x:c r="L95" s="12" t="n">
        <x:v>3</x:v>
      </x:c>
      <x:c r="M95" s="14" t="n">
        <x:v>2820</x:v>
      </x:c>
      <x:c r="N95" s="14" t="n">
        <x:v>7285</x:v>
      </x:c>
    </x:row>
    <x:row r="96">
      <x:c r="A96" s="12" t="n">
        <x:v>93</x:v>
      </x:c>
      <x:c r="B96" s="12" t="str">
        <x:v>نموذج ج</x:v>
      </x:c>
      <x:c r="C96" s="12" t="n">
        <x:v>460</x:v>
      </x:c>
      <x:c r="D96" s="12" t="str">
        <x:v>مرحلة مبكرة</x:v>
      </x:c>
      <x:c r="E96" s="15" t="n">
        <x:v>0.2</x:v>
      </x:c>
      <x:c r="F96" s="14" t="n">
        <x:v>235000</x:v>
      </x:c>
      <x:c r="G96" s="14" t="n">
        <x:v>47000</x:v>
      </x:c>
      <x:c r="H96" s="14" t="n">
        <x:v>237820</x:v>
      </x:c>
      <x:c r="I96" s="14" t="n">
        <x:v>325000</x:v>
      </x:c>
      <x:c r="J96" s="14" t="n">
        <x:v>65000</x:v>
      </x:c>
      <x:c r="K96" s="14" t="n">
        <x:v>87180</x:v>
      </x:c>
      <x:c r="L96" s="12" t="n">
        <x:v>4</x:v>
      </x:c>
      <x:c r="M96" s="14" t="n">
        <x:v>3055</x:v>
      </x:c>
      <x:c r="N96" s="14" t="n">
        <x:v>7990</x:v>
      </x:c>
    </x:row>
    <x:row r="97">
      <x:c r="A97" s="12" t="n">
        <x:v>94</x:v>
      </x:c>
      <x:c r="B97" s="12" t="str">
        <x:v>نموذج ج</x:v>
      </x:c>
      <x:c r="C97" s="12" t="n">
        <x:v>460</x:v>
      </x:c>
      <x:c r="D97" s="12" t="str">
        <x:v>مرحلة مبكرة</x:v>
      </x:c>
      <x:c r="E97" s="15" t="n">
        <x:v>0.24</x:v>
      </x:c>
      <x:c r="F97" s="14" t="n">
        <x:v>235000</x:v>
      </x:c>
      <x:c r="G97" s="14" t="n">
        <x:v>57528</x:v>
      </x:c>
      <x:c r="H97" s="14" t="n">
        <x:v>237820</x:v>
      </x:c>
      <x:c r="I97" s="14" t="n">
        <x:v>325000</x:v>
      </x:c>
      <x:c r="J97" s="14" t="n">
        <x:v>78000</x:v>
      </x:c>
      <x:c r="K97" s="14" t="n">
        <x:v>87180</x:v>
      </x:c>
      <x:c r="L97" s="12" t="n">
        <x:v>3</x:v>
      </x:c>
      <x:c r="M97" s="14" t="n">
        <x:v>2820</x:v>
      </x:c>
      <x:c r="N97" s="14" t="n">
        <x:v>7520</x:v>
      </x:c>
    </x:row>
    <x:row r="98">
      <x:c r="A98" s="12" t="n">
        <x:v>95</x:v>
      </x:c>
      <x:c r="B98" s="12" t="str">
        <x:v>نموذج ج</x:v>
      </x:c>
      <x:c r="C98" s="12" t="n">
        <x:v>460</x:v>
      </x:c>
      <x:c r="D98" s="12" t="str">
        <x:v>مرحلة مبكرة</x:v>
      </x:c>
      <x:c r="E98" s="15" t="n">
        <x:v>0.28</x:v>
      </x:c>
      <x:c r="F98" s="14" t="n">
        <x:v>235000</x:v>
      </x:c>
      <x:c r="G98" s="14" t="n">
        <x:v>66129</x:v>
      </x:c>
      <x:c r="H98" s="14" t="n">
        <x:v>237820</x:v>
      </x:c>
      <x:c r="I98" s="14" t="n">
        <x:v>325000</x:v>
      </x:c>
      <x:c r="J98" s="14" t="n">
        <x:v>91000</x:v>
      </x:c>
      <x:c r="K98" s="14" t="n">
        <x:v>87180</x:v>
      </x:c>
      <x:c r="L98" s="12" t="n">
        <x:v>2</x:v>
      </x:c>
      <x:c r="M98" s="14" t="n">
        <x:v>2585</x:v>
      </x:c>
      <x:c r="N98" s="14" t="n">
        <x:v>7050</x:v>
      </x:c>
    </x:row>
    <x:row r="99">
      <x:c r="A99" s="12" t="n">
        <x:v>96</x:v>
      </x:c>
      <x:c r="B99" s="12" t="str">
        <x:v>نموذج ج</x:v>
      </x:c>
      <x:c r="C99" s="12" t="n">
        <x:v>460</x:v>
      </x:c>
      <x:c r="D99" s="12" t="str">
        <x:v>مرحلة مبكرة</x:v>
      </x:c>
      <x:c r="E99" s="15" t="n">
        <x:v>0.12</x:v>
      </x:c>
      <x:c r="F99" s="14" t="n">
        <x:v>235000</x:v>
      </x:c>
      <x:c r="G99" s="14" t="n">
        <x:v>27918</x:v>
      </x:c>
      <x:c r="H99" s="14" t="n">
        <x:v>237820</x:v>
      </x:c>
      <x:c r="I99" s="14" t="n">
        <x:v>325000</x:v>
      </x:c>
      <x:c r="J99" s="14" t="n">
        <x:v>39000</x:v>
      </x:c>
      <x:c r="K99" s="14" t="n">
        <x:v>87180</x:v>
      </x:c>
      <x:c r="L99" s="12" t="n">
        <x:v>2</x:v>
      </x:c>
      <x:c r="M99" s="14" t="n">
        <x:v>2350</x:v>
      </x:c>
      <x:c r="N99" s="14" t="n">
        <x:v>6580</x:v>
      </x:c>
    </x:row>
    <x:row r="100">
      <x:c r="A100" s="12" t="n">
        <x:v>97</x:v>
      </x:c>
      <x:c r="B100" s="12" t="str">
        <x:v>نموذج ج</x:v>
      </x:c>
      <x:c r="C100" s="12" t="n">
        <x:v>460</x:v>
      </x:c>
      <x:c r="D100" s="12" t="str">
        <x:v>مرحلة مبكرة</x:v>
      </x:c>
      <x:c r="E100" s="15" t="n">
        <x:v>0.16</x:v>
      </x:c>
      <x:c r="F100" s="14" t="n">
        <x:v>235000</x:v>
      </x:c>
      <x:c r="G100" s="14" t="n">
        <x:v>37976</x:v>
      </x:c>
      <x:c r="H100" s="14" t="n">
        <x:v>237820</x:v>
      </x:c>
      <x:c r="I100" s="14" t="n">
        <x:v>325000</x:v>
      </x:c>
      <x:c r="J100" s="14" t="n">
        <x:v>52000</x:v>
      </x:c>
      <x:c r="K100" s="14" t="n">
        <x:v>87180</x:v>
      </x:c>
      <x:c r="L100" s="12" t="n">
        <x:v>3</x:v>
      </x:c>
      <x:c r="M100" s="14" t="n">
        <x:v>2820</x:v>
      </x:c>
      <x:c r="N100" s="14" t="n">
        <x:v>7285</x:v>
      </x:c>
    </x:row>
    <x:row r="101">
      <x:c r="A101" s="12" t="n">
        <x:v>98</x:v>
      </x:c>
      <x:c r="B101" s="12" t="str">
        <x:v>نموذج ج</x:v>
      </x:c>
      <x:c r="C101" s="12" t="n">
        <x:v>460</x:v>
      </x:c>
      <x:c r="D101" s="12" t="str">
        <x:v>مرحلة مبكرة</x:v>
      </x:c>
      <x:c r="E101" s="15" t="n">
        <x:v>0.2</x:v>
      </x:c>
      <x:c r="F101" s="14" t="n">
        <x:v>235000</x:v>
      </x:c>
      <x:c r="G101" s="14" t="n">
        <x:v>47000</x:v>
      </x:c>
      <x:c r="H101" s="14" t="n">
        <x:v>237820</x:v>
      </x:c>
      <x:c r="I101" s="14" t="n">
        <x:v>325000</x:v>
      </x:c>
      <x:c r="J101" s="14" t="n">
        <x:v>65000</x:v>
      </x:c>
      <x:c r="K101" s="14" t="n">
        <x:v>87180</x:v>
      </x:c>
      <x:c r="L101" s="12" t="n">
        <x:v>4</x:v>
      </x:c>
      <x:c r="M101" s="14" t="n">
        <x:v>3055</x:v>
      </x:c>
      <x:c r="N101" s="14" t="n">
        <x:v>7990</x:v>
      </x:c>
    </x:row>
    <x:row r="102">
      <x:c r="A102" s="12" t="n">
        <x:v>99</x:v>
      </x:c>
      <x:c r="B102" s="12" t="str">
        <x:v>نموذج ج</x:v>
      </x:c>
      <x:c r="C102" s="12" t="n">
        <x:v>460</x:v>
      </x:c>
      <x:c r="D102" s="12" t="str">
        <x:v>مرحلة مبكرة</x:v>
      </x:c>
      <x:c r="E102" s="15" t="n">
        <x:v>0.24</x:v>
      </x:c>
      <x:c r="F102" s="14" t="n">
        <x:v>235000</x:v>
      </x:c>
      <x:c r="G102" s="14" t="n">
        <x:v>57528</x:v>
      </x:c>
      <x:c r="H102" s="14" t="n">
        <x:v>237820</x:v>
      </x:c>
      <x:c r="I102" s="14" t="n">
        <x:v>325000</x:v>
      </x:c>
      <x:c r="J102" s="14" t="n">
        <x:v>78000</x:v>
      </x:c>
      <x:c r="K102" s="14" t="n">
        <x:v>87180</x:v>
      </x:c>
      <x:c r="L102" s="12" t="n">
        <x:v>3</x:v>
      </x:c>
      <x:c r="M102" s="14" t="n">
        <x:v>2820</x:v>
      </x:c>
      <x:c r="N102" s="14" t="n">
        <x:v>7520</x:v>
      </x:c>
    </x:row>
    <x:row r="103">
      <x:c r="A103" s="12" t="n">
        <x:v>100</x:v>
      </x:c>
      <x:c r="B103" s="12" t="str">
        <x:v>نموذج ج</x:v>
      </x:c>
      <x:c r="C103" s="12" t="n">
        <x:v>460</x:v>
      </x:c>
      <x:c r="D103" s="12" t="str">
        <x:v>مرحلة مبكرة</x:v>
      </x:c>
      <x:c r="E103" s="15" t="n">
        <x:v>0.28</x:v>
      </x:c>
      <x:c r="F103" s="14" t="n">
        <x:v>235000</x:v>
      </x:c>
      <x:c r="G103" s="14" t="n">
        <x:v>66129</x:v>
      </x:c>
      <x:c r="H103" s="14" t="n">
        <x:v>237820</x:v>
      </x:c>
      <x:c r="I103" s="14" t="n">
        <x:v>325000</x:v>
      </x:c>
      <x:c r="J103" s="14" t="n">
        <x:v>91000</x:v>
      </x:c>
      <x:c r="K103" s="14" t="n">
        <x:v>87180</x:v>
      </x:c>
      <x:c r="L103" s="12" t="n">
        <x:v>2</x:v>
      </x:c>
      <x:c r="M103" s="14" t="n">
        <x:v>2585</x:v>
      </x:c>
      <x:c r="N103" s="14" t="n">
        <x:v>7050</x:v>
      </x:c>
    </x:row>
    <x:row r="104">
      <x:c r="A104" s="12" t="n">
        <x:v>101</x:v>
      </x:c>
      <x:c r="B104" s="12" t="str">
        <x:v>نموذج ج</x:v>
      </x:c>
      <x:c r="C104" s="12" t="n">
        <x:v>460</x:v>
      </x:c>
      <x:c r="D104" s="12" t="str">
        <x:v>مرحلة مبكرة</x:v>
      </x:c>
      <x:c r="E104" s="15" t="n">
        <x:v>0.12</x:v>
      </x:c>
      <x:c r="F104" s="14" t="n">
        <x:v>235000</x:v>
      </x:c>
      <x:c r="G104" s="14" t="n">
        <x:v>27918</x:v>
      </x:c>
      <x:c r="H104" s="14" t="n">
        <x:v>237820</x:v>
      </x:c>
      <x:c r="I104" s="14" t="n">
        <x:v>325000</x:v>
      </x:c>
      <x:c r="J104" s="14" t="n">
        <x:v>39000</x:v>
      </x:c>
      <x:c r="K104" s="14" t="n">
        <x:v>87180</x:v>
      </x:c>
      <x:c r="L104" s="12" t="n">
        <x:v>2</x:v>
      </x:c>
      <x:c r="M104" s="14" t="n">
        <x:v>2350</x:v>
      </x:c>
      <x:c r="N104" s="14" t="n">
        <x:v>6580</x:v>
      </x:c>
    </x:row>
    <x:row r="105">
      <x:c r="A105" s="12" t="n">
        <x:v>102</x:v>
      </x:c>
      <x:c r="B105" s="12" t="str">
        <x:v>نموذج ج</x:v>
      </x:c>
      <x:c r="C105" s="12" t="n">
        <x:v>460</x:v>
      </x:c>
      <x:c r="D105" s="12" t="str">
        <x:v>مرحلة مبكرة</x:v>
      </x:c>
      <x:c r="E105" s="15" t="n">
        <x:v>0.16</x:v>
      </x:c>
      <x:c r="F105" s="14" t="n">
        <x:v>235000</x:v>
      </x:c>
      <x:c r="G105" s="14" t="n">
        <x:v>37976</x:v>
      </x:c>
      <x:c r="H105" s="14" t="n">
        <x:v>237820</x:v>
      </x:c>
      <x:c r="I105" s="14" t="n">
        <x:v>325000</x:v>
      </x:c>
      <x:c r="J105" s="14" t="n">
        <x:v>52000</x:v>
      </x:c>
      <x:c r="K105" s="14" t="n">
        <x:v>87180</x:v>
      </x:c>
      <x:c r="L105" s="12" t="n">
        <x:v>3</x:v>
      </x:c>
      <x:c r="M105" s="14" t="n">
        <x:v>2820</x:v>
      </x:c>
      <x:c r="N105" s="14" t="n">
        <x:v>7285</x:v>
      </x:c>
    </x:row>
    <x:row r="106">
      <x:c r="A106" s="12" t="n">
        <x:v>103</x:v>
      </x:c>
      <x:c r="B106" s="12" t="str">
        <x:v>نموذج ج</x:v>
      </x:c>
      <x:c r="C106" s="12" t="n">
        <x:v>460</x:v>
      </x:c>
      <x:c r="D106" s="12" t="str">
        <x:v>مرحلة مبكرة</x:v>
      </x:c>
      <x:c r="E106" s="15" t="n">
        <x:v>0.2</x:v>
      </x:c>
      <x:c r="F106" s="14" t="n">
        <x:v>235000</x:v>
      </x:c>
      <x:c r="G106" s="14" t="n">
        <x:v>47000</x:v>
      </x:c>
      <x:c r="H106" s="14" t="n">
        <x:v>237820</x:v>
      </x:c>
      <x:c r="I106" s="14" t="n">
        <x:v>325000</x:v>
      </x:c>
      <x:c r="J106" s="14" t="n">
        <x:v>65000</x:v>
      </x:c>
      <x:c r="K106" s="14" t="n">
        <x:v>87180</x:v>
      </x:c>
      <x:c r="L106" s="12" t="n">
        <x:v>4</x:v>
      </x:c>
      <x:c r="M106" s="14" t="n">
        <x:v>3055</x:v>
      </x:c>
      <x:c r="N106" s="14" t="n">
        <x:v>7990</x:v>
      </x:c>
    </x:row>
    <x:row r="107">
      <x:c r="A107" s="12" t="n">
        <x:v>104</x:v>
      </x:c>
      <x:c r="B107" s="12" t="str">
        <x:v>نموذج ج</x:v>
      </x:c>
      <x:c r="C107" s="12" t="n">
        <x:v>460</x:v>
      </x:c>
      <x:c r="D107" s="12" t="str">
        <x:v>مرحلة مبكرة</x:v>
      </x:c>
      <x:c r="E107" s="15" t="n">
        <x:v>0.24</x:v>
      </x:c>
      <x:c r="F107" s="14" t="n">
        <x:v>235000</x:v>
      </x:c>
      <x:c r="G107" s="14" t="n">
        <x:v>57528</x:v>
      </x:c>
      <x:c r="H107" s="14" t="n">
        <x:v>237820</x:v>
      </x:c>
      <x:c r="I107" s="14" t="n">
        <x:v>325000</x:v>
      </x:c>
      <x:c r="J107" s="14" t="n">
        <x:v>78000</x:v>
      </x:c>
      <x:c r="K107" s="14" t="n">
        <x:v>87180</x:v>
      </x:c>
      <x:c r="L107" s="12" t="n">
        <x:v>3</x:v>
      </x:c>
      <x:c r="M107" s="14" t="n">
        <x:v>2820</x:v>
      </x:c>
      <x:c r="N107" s="14" t="n">
        <x:v>7520</x:v>
      </x:c>
    </x:row>
    <x:row r="108">
      <x:c r="A108" s="12" t="n">
        <x:v>105</x:v>
      </x:c>
      <x:c r="B108" s="12" t="str">
        <x:v>نموذج ج</x:v>
      </x:c>
      <x:c r="C108" s="12" t="n">
        <x:v>460</x:v>
      </x:c>
      <x:c r="D108" s="12" t="str">
        <x:v>مرحلة مبكرة</x:v>
      </x:c>
      <x:c r="E108" s="15" t="n">
        <x:v>0.28</x:v>
      </x:c>
      <x:c r="F108" s="14" t="n">
        <x:v>235000</x:v>
      </x:c>
      <x:c r="G108" s="14" t="n">
        <x:v>66129</x:v>
      </x:c>
      <x:c r="H108" s="14" t="n">
        <x:v>237820</x:v>
      </x:c>
      <x:c r="I108" s="14" t="n">
        <x:v>325000</x:v>
      </x:c>
      <x:c r="J108" s="14" t="n">
        <x:v>91000</x:v>
      </x:c>
      <x:c r="K108" s="14" t="n">
        <x:v>87180</x:v>
      </x:c>
      <x:c r="L108" s="12" t="n">
        <x:v>2</x:v>
      </x:c>
      <x:c r="M108" s="14" t="n">
        <x:v>2585</x:v>
      </x:c>
      <x:c r="N108" s="14" t="n">
        <x:v>7050</x:v>
      </x:c>
    </x:row>
    <x:row r="109">
      <x:c r="A109" s="12" t="n">
        <x:v>106</x:v>
      </x:c>
      <x:c r="B109" s="12" t="str">
        <x:v>نموذج ج</x:v>
      </x:c>
      <x:c r="C109" s="12" t="n">
        <x:v>460</x:v>
      </x:c>
      <x:c r="D109" s="12" t="str">
        <x:v>مرحلة مبكرة</x:v>
      </x:c>
      <x:c r="E109" s="15" t="n">
        <x:v>0.12</x:v>
      </x:c>
      <x:c r="F109" s="14" t="n">
        <x:v>235000</x:v>
      </x:c>
      <x:c r="G109" s="14" t="n">
        <x:v>27918</x:v>
      </x:c>
      <x:c r="H109" s="14" t="n">
        <x:v>237820</x:v>
      </x:c>
      <x:c r="I109" s="14" t="n">
        <x:v>325000</x:v>
      </x:c>
      <x:c r="J109" s="14" t="n">
        <x:v>39000</x:v>
      </x:c>
      <x:c r="K109" s="14" t="n">
        <x:v>87180</x:v>
      </x:c>
      <x:c r="L109" s="12" t="n">
        <x:v>2</x:v>
      </x:c>
      <x:c r="M109" s="14" t="n">
        <x:v>2350</x:v>
      </x:c>
      <x:c r="N109" s="14" t="n">
        <x:v>6580</x:v>
      </x:c>
    </x:row>
    <x:row r="110">
      <x:c r="A110" s="12" t="n">
        <x:v>107</x:v>
      </x:c>
      <x:c r="B110" s="12" t="str">
        <x:v>نموذج ج</x:v>
      </x:c>
      <x:c r="C110" s="12" t="n">
        <x:v>460</x:v>
      </x:c>
      <x:c r="D110" s="12" t="str">
        <x:v>مرحلة مبكرة</x:v>
      </x:c>
      <x:c r="E110" s="15" t="n">
        <x:v>0.16</x:v>
      </x:c>
      <x:c r="F110" s="14" t="n">
        <x:v>235000</x:v>
      </x:c>
      <x:c r="G110" s="14" t="n">
        <x:v>37976</x:v>
      </x:c>
      <x:c r="H110" s="14" t="n">
        <x:v>237820</x:v>
      </x:c>
      <x:c r="I110" s="14" t="n">
        <x:v>325000</x:v>
      </x:c>
      <x:c r="J110" s="14" t="n">
        <x:v>52000</x:v>
      </x:c>
      <x:c r="K110" s="14" t="n">
        <x:v>87180</x:v>
      </x:c>
      <x:c r="L110" s="12" t="n">
        <x:v>3</x:v>
      </x:c>
      <x:c r="M110" s="14" t="n">
        <x:v>2820</x:v>
      </x:c>
      <x:c r="N110" s="14" t="n">
        <x:v>7285</x:v>
      </x:c>
    </x:row>
    <x:row r="111">
      <x:c r="A111" s="12" t="n">
        <x:v>108</x:v>
      </x:c>
      <x:c r="B111" s="12" t="str">
        <x:v>نموذج ج</x:v>
      </x:c>
      <x:c r="C111" s="12" t="n">
        <x:v>460</x:v>
      </x:c>
      <x:c r="D111" s="12" t="str">
        <x:v>مرحلة مبكرة</x:v>
      </x:c>
      <x:c r="E111" s="15" t="n">
        <x:v>0.2</x:v>
      </x:c>
      <x:c r="F111" s="14" t="n">
        <x:v>235000</x:v>
      </x:c>
      <x:c r="G111" s="14" t="n">
        <x:v>47000</x:v>
      </x:c>
      <x:c r="H111" s="14" t="n">
        <x:v>237820</x:v>
      </x:c>
      <x:c r="I111" s="14" t="n">
        <x:v>325000</x:v>
      </x:c>
      <x:c r="J111" s="14" t="n">
        <x:v>65000</x:v>
      </x:c>
      <x:c r="K111" s="14" t="n">
        <x:v>87180</x:v>
      </x:c>
      <x:c r="L111" s="12" t="n">
        <x:v>4</x:v>
      </x:c>
      <x:c r="M111" s="14" t="n">
        <x:v>3055</x:v>
      </x:c>
      <x:c r="N111" s="14" t="n">
        <x:v>7990</x:v>
      </x:c>
    </x:row>
    <x:row r="112">
      <x:c r="A112" s="12" t="n">
        <x:v>109</x:v>
      </x:c>
      <x:c r="B112" s="12" t="str">
        <x:v>نموذج ج</x:v>
      </x:c>
      <x:c r="C112" s="12" t="n">
        <x:v>460</x:v>
      </x:c>
      <x:c r="D112" s="12" t="str">
        <x:v>مرحلة مبكرة</x:v>
      </x:c>
      <x:c r="E112" s="15" t="n">
        <x:v>0.24</x:v>
      </x:c>
      <x:c r="F112" s="14" t="n">
        <x:v>235000</x:v>
      </x:c>
      <x:c r="G112" s="14" t="n">
        <x:v>57528</x:v>
      </x:c>
      <x:c r="H112" s="14" t="n">
        <x:v>237820</x:v>
      </x:c>
      <x:c r="I112" s="14" t="n">
        <x:v>325000</x:v>
      </x:c>
      <x:c r="J112" s="14" t="n">
        <x:v>78000</x:v>
      </x:c>
      <x:c r="K112" s="14" t="n">
        <x:v>87180</x:v>
      </x:c>
      <x:c r="L112" s="12" t="n">
        <x:v>3</x:v>
      </x:c>
      <x:c r="M112" s="14" t="n">
        <x:v>2820</x:v>
      </x:c>
      <x:c r="N112" s="14" t="n">
        <x:v>7520</x:v>
      </x:c>
    </x:row>
    <x:row r="113">
      <x:c r="A113" s="12" t="n">
        <x:v>110</x:v>
      </x:c>
      <x:c r="B113" s="12" t="str">
        <x:v>نموذج ج</x:v>
      </x:c>
      <x:c r="C113" s="12" t="n">
        <x:v>460</x:v>
      </x:c>
      <x:c r="D113" s="12" t="str">
        <x:v>مرحلة مبكرة</x:v>
      </x:c>
      <x:c r="E113" s="15" t="n">
        <x:v>0.28</x:v>
      </x:c>
      <x:c r="F113" s="14" t="n">
        <x:v>235000</x:v>
      </x:c>
      <x:c r="G113" s="14" t="n">
        <x:v>66129</x:v>
      </x:c>
      <x:c r="H113" s="14" t="n">
        <x:v>237820</x:v>
      </x:c>
      <x:c r="I113" s="14" t="n">
        <x:v>325000</x:v>
      </x:c>
      <x:c r="J113" s="14" t="n">
        <x:v>91000</x:v>
      </x:c>
      <x:c r="K113" s="14" t="n">
        <x:v>87180</x:v>
      </x:c>
      <x:c r="L113" s="12" t="n">
        <x:v>2</x:v>
      </x:c>
      <x:c r="M113" s="14" t="n">
        <x:v>2585</x:v>
      </x:c>
      <x:c r="N113" s="14" t="n">
        <x:v>7050</x:v>
      </x:c>
    </x:row>
    <x:row r="114">
      <x:c r="A114" s="12" t="n">
        <x:v>111</x:v>
      </x:c>
      <x:c r="B114" s="12" t="str">
        <x:v>نموذج ج</x:v>
      </x:c>
      <x:c r="C114" s="12" t="n">
        <x:v>460</x:v>
      </x:c>
      <x:c r="D114" s="12" t="str">
        <x:v>مرحلة مبكرة</x:v>
      </x:c>
      <x:c r="E114" s="15" t="n">
        <x:v>0.12</x:v>
      </x:c>
      <x:c r="F114" s="14" t="n">
        <x:v>235000</x:v>
      </x:c>
      <x:c r="G114" s="14" t="n">
        <x:v>27918</x:v>
      </x:c>
      <x:c r="H114" s="14" t="n">
        <x:v>237820</x:v>
      </x:c>
      <x:c r="I114" s="14" t="n">
        <x:v>325000</x:v>
      </x:c>
      <x:c r="J114" s="14" t="n">
        <x:v>39000</x:v>
      </x:c>
      <x:c r="K114" s="14" t="n">
        <x:v>87180</x:v>
      </x:c>
      <x:c r="L114" s="12" t="n">
        <x:v>2</x:v>
      </x:c>
      <x:c r="M114" s="14" t="n">
        <x:v>2350</x:v>
      </x:c>
      <x:c r="N114" s="14" t="n">
        <x:v>6580</x:v>
      </x:c>
    </x:row>
    <x:row r="115">
      <x:c r="A115" s="12" t="n">
        <x:v>112</x:v>
      </x:c>
      <x:c r="B115" s="12" t="str">
        <x:v>نموذج ج</x:v>
      </x:c>
      <x:c r="C115" s="12" t="n">
        <x:v>460</x:v>
      </x:c>
      <x:c r="D115" s="12" t="str">
        <x:v>مرحلة مبكرة</x:v>
      </x:c>
      <x:c r="E115" s="15" t="n">
        <x:v>0.16</x:v>
      </x:c>
      <x:c r="F115" s="14" t="n">
        <x:v>235000</x:v>
      </x:c>
      <x:c r="G115" s="14" t="n">
        <x:v>37976</x:v>
      </x:c>
      <x:c r="H115" s="14" t="n">
        <x:v>237820</x:v>
      </x:c>
      <x:c r="I115" s="14" t="n">
        <x:v>325000</x:v>
      </x:c>
      <x:c r="J115" s="14" t="n">
        <x:v>52000</x:v>
      </x:c>
      <x:c r="K115" s="14" t="n">
        <x:v>87180</x:v>
      </x:c>
      <x:c r="L115" s="12" t="n">
        <x:v>3</x:v>
      </x:c>
      <x:c r="M115" s="14" t="n">
        <x:v>2820</x:v>
      </x:c>
      <x:c r="N115" s="14" t="n">
        <x:v>7285</x:v>
      </x:c>
    </x:row>
    <x:row r="116">
      <x:c r="A116" s="12" t="n">
        <x:v>113</x:v>
      </x:c>
      <x:c r="B116" s="12" t="str">
        <x:v>نموذج ج</x:v>
      </x:c>
      <x:c r="C116" s="12" t="n">
        <x:v>460</x:v>
      </x:c>
      <x:c r="D116" s="12" t="str">
        <x:v>مرحلة مبكرة</x:v>
      </x:c>
      <x:c r="E116" s="15" t="n">
        <x:v>0.2</x:v>
      </x:c>
      <x:c r="F116" s="14" t="n">
        <x:v>235000</x:v>
      </x:c>
      <x:c r="G116" s="14" t="n">
        <x:v>47000</x:v>
      </x:c>
      <x:c r="H116" s="14" t="n">
        <x:v>237820</x:v>
      </x:c>
      <x:c r="I116" s="14" t="n">
        <x:v>325000</x:v>
      </x:c>
      <x:c r="J116" s="14" t="n">
        <x:v>65000</x:v>
      </x:c>
      <x:c r="K116" s="14" t="n">
        <x:v>87180</x:v>
      </x:c>
      <x:c r="L116" s="12" t="n">
        <x:v>4</x:v>
      </x:c>
      <x:c r="M116" s="14" t="n">
        <x:v>3055</x:v>
      </x:c>
      <x:c r="N116" s="14" t="n">
        <x:v>7990</x:v>
      </x:c>
    </x:row>
    <x:row r="117">
      <x:c r="A117" s="12" t="n">
        <x:v>114</x:v>
      </x:c>
      <x:c r="B117" s="12" t="str">
        <x:v>نموذج ج</x:v>
      </x:c>
      <x:c r="C117" s="12" t="n">
        <x:v>460</x:v>
      </x:c>
      <x:c r="D117" s="12" t="str">
        <x:v>مرحلة مبكرة</x:v>
      </x:c>
      <x:c r="E117" s="15" t="n">
        <x:v>0.24</x:v>
      </x:c>
      <x:c r="F117" s="14" t="n">
        <x:v>235000</x:v>
      </x:c>
      <x:c r="G117" s="14" t="n">
        <x:v>57528</x:v>
      </x:c>
      <x:c r="H117" s="14" t="n">
        <x:v>237820</x:v>
      </x:c>
      <x:c r="I117" s="14" t="n">
        <x:v>325000</x:v>
      </x:c>
      <x:c r="J117" s="14" t="n">
        <x:v>78000</x:v>
      </x:c>
      <x:c r="K117" s="14" t="n">
        <x:v>87180</x:v>
      </x:c>
      <x:c r="L117" s="12" t="n">
        <x:v>3</x:v>
      </x:c>
      <x:c r="M117" s="14" t="n">
        <x:v>2820</x:v>
      </x:c>
      <x:c r="N117" s="14" t="n">
        <x:v>7520</x:v>
      </x:c>
    </x:row>
    <x:row r="118">
      <x:c r="A118" s="12" t="n">
        <x:v>115</x:v>
      </x:c>
      <x:c r="B118" s="12" t="str">
        <x:v>نموذج ج</x:v>
      </x:c>
      <x:c r="C118" s="12" t="n">
        <x:v>460</x:v>
      </x:c>
      <x:c r="D118" s="12" t="str">
        <x:v>مرحلة مبكرة</x:v>
      </x:c>
      <x:c r="E118" s="15" t="n">
        <x:v>0.28</x:v>
      </x:c>
      <x:c r="F118" s="14" t="n">
        <x:v>235000</x:v>
      </x:c>
      <x:c r="G118" s="14" t="n">
        <x:v>66129</x:v>
      </x:c>
      <x:c r="H118" s="14" t="n">
        <x:v>237820</x:v>
      </x:c>
      <x:c r="I118" s="14" t="n">
        <x:v>325000</x:v>
      </x:c>
      <x:c r="J118" s="14" t="n">
        <x:v>91000</x:v>
      </x:c>
      <x:c r="K118" s="14" t="n">
        <x:v>87180</x:v>
      </x:c>
      <x:c r="L118" s="12" t="n">
        <x:v>2</x:v>
      </x:c>
      <x:c r="M118" s="14" t="n">
        <x:v>2585</x:v>
      </x:c>
      <x:c r="N118" s="14" t="n">
        <x:v>7050</x:v>
      </x:c>
    </x:row>
    <x:row r="119">
      <x:c r="A119" s="12" t="n">
        <x:v>116</x:v>
      </x:c>
      <x:c r="B119" s="12" t="str">
        <x:v>نموذج ج</x:v>
      </x:c>
      <x:c r="C119" s="12" t="n">
        <x:v>460</x:v>
      </x:c>
      <x:c r="D119" s="12" t="str">
        <x:v>مرحلة مبكرة</x:v>
      </x:c>
      <x:c r="E119" s="15" t="n">
        <x:v>0.12</x:v>
      </x:c>
      <x:c r="F119" s="14" t="n">
        <x:v>235000</x:v>
      </x:c>
      <x:c r="G119" s="14" t="n">
        <x:v>27918</x:v>
      </x:c>
      <x:c r="H119" s="14" t="n">
        <x:v>237820</x:v>
      </x:c>
      <x:c r="I119" s="14" t="n">
        <x:v>325000</x:v>
      </x:c>
      <x:c r="J119" s="14" t="n">
        <x:v>39000</x:v>
      </x:c>
      <x:c r="K119" s="14" t="n">
        <x:v>87180</x:v>
      </x:c>
      <x:c r="L119" s="12" t="n">
        <x:v>2</x:v>
      </x:c>
      <x:c r="M119" s="14" t="n">
        <x:v>2350</x:v>
      </x:c>
      <x:c r="N119" s="14" t="n">
        <x:v>6580</x:v>
      </x:c>
    </x:row>
    <x:row r="120">
      <x:c r="A120" s="12" t="n">
        <x:v>117</x:v>
      </x:c>
      <x:c r="B120" s="12" t="str">
        <x:v>نموذج ج</x:v>
      </x:c>
      <x:c r="C120" s="12" t="n">
        <x:v>460</x:v>
      </x:c>
      <x:c r="D120" s="12" t="str">
        <x:v>مرحلة مبكرة</x:v>
      </x:c>
      <x:c r="E120" s="15" t="n">
        <x:v>0.16</x:v>
      </x:c>
      <x:c r="F120" s="14" t="n">
        <x:v>235000</x:v>
      </x:c>
      <x:c r="G120" s="14" t="n">
        <x:v>37976</x:v>
      </x:c>
      <x:c r="H120" s="14" t="n">
        <x:v>237820</x:v>
      </x:c>
      <x:c r="I120" s="14" t="n">
        <x:v>325000</x:v>
      </x:c>
      <x:c r="J120" s="14" t="n">
        <x:v>52000</x:v>
      </x:c>
      <x:c r="K120" s="14" t="n">
        <x:v>87180</x:v>
      </x:c>
      <x:c r="L120" s="12" t="n">
        <x:v>3</x:v>
      </x:c>
      <x:c r="M120" s="14" t="n">
        <x:v>2820</x:v>
      </x:c>
      <x:c r="N120" s="14" t="n">
        <x:v>7285</x:v>
      </x:c>
    </x:row>
    <x:row r="121">
      <x:c r="A121" s="12" t="n">
        <x:v>118</x:v>
      </x:c>
      <x:c r="B121" s="12" t="str">
        <x:v>نموذج ج</x:v>
      </x:c>
      <x:c r="C121" s="12" t="n">
        <x:v>460</x:v>
      </x:c>
      <x:c r="D121" s="12" t="str">
        <x:v>مرحلة مبكرة</x:v>
      </x:c>
      <x:c r="E121" s="15" t="n">
        <x:v>0.2</x:v>
      </x:c>
      <x:c r="F121" s="14" t="n">
        <x:v>235000</x:v>
      </x:c>
      <x:c r="G121" s="14" t="n">
        <x:v>47000</x:v>
      </x:c>
      <x:c r="H121" s="14" t="n">
        <x:v>237820</x:v>
      </x:c>
      <x:c r="I121" s="14" t="n">
        <x:v>325000</x:v>
      </x:c>
      <x:c r="J121" s="14" t="n">
        <x:v>65000</x:v>
      </x:c>
      <x:c r="K121" s="14" t="n">
        <x:v>87180</x:v>
      </x:c>
      <x:c r="L121" s="12" t="n">
        <x:v>4</x:v>
      </x:c>
      <x:c r="M121" s="14" t="n">
        <x:v>3055</x:v>
      </x:c>
      <x:c r="N121" s="14" t="n">
        <x:v>7990</x:v>
      </x:c>
    </x:row>
    <x:row r="122">
      <x:c r="A122" s="12" t="n">
        <x:v>119</x:v>
      </x:c>
      <x:c r="B122" s="12" t="str">
        <x:v>نموذج ج</x:v>
      </x:c>
      <x:c r="C122" s="12" t="n">
        <x:v>460</x:v>
      </x:c>
      <x:c r="D122" s="12" t="str">
        <x:v>مرحلة مبكرة</x:v>
      </x:c>
      <x:c r="E122" s="15" t="n">
        <x:v>0.24</x:v>
      </x:c>
      <x:c r="F122" s="14" t="n">
        <x:v>235000</x:v>
      </x:c>
      <x:c r="G122" s="14" t="n">
        <x:v>57528</x:v>
      </x:c>
      <x:c r="H122" s="14" t="n">
        <x:v>237820</x:v>
      </x:c>
      <x:c r="I122" s="14" t="n">
        <x:v>325000</x:v>
      </x:c>
      <x:c r="J122" s="14" t="n">
        <x:v>78000</x:v>
      </x:c>
      <x:c r="K122" s="14" t="n">
        <x:v>87180</x:v>
      </x:c>
      <x:c r="L122" s="12" t="n">
        <x:v>3</x:v>
      </x:c>
      <x:c r="M122" s="14" t="n">
        <x:v>2820</x:v>
      </x:c>
      <x:c r="N122" s="14" t="n">
        <x:v>7520</x:v>
      </x:c>
    </x:row>
    <x:row r="123">
      <x:c r="A123" s="12" t="n">
        <x:v>120</x:v>
      </x:c>
      <x:c r="B123" s="12" t="str">
        <x:v>نموذج ج</x:v>
      </x:c>
      <x:c r="C123" s="12" t="n">
        <x:v>460</x:v>
      </x:c>
      <x:c r="D123" s="12" t="str">
        <x:v>مرحلة مبكرة</x:v>
      </x:c>
      <x:c r="E123" s="15" t="n">
        <x:v>0.28</x:v>
      </x:c>
      <x:c r="F123" s="14" t="n">
        <x:v>235000</x:v>
      </x:c>
      <x:c r="G123" s="14" t="n">
        <x:v>66129</x:v>
      </x:c>
      <x:c r="H123" s="14" t="n">
        <x:v>237820</x:v>
      </x:c>
      <x:c r="I123" s="14" t="n">
        <x:v>325000</x:v>
      </x:c>
      <x:c r="J123" s="14" t="n">
        <x:v>91000</x:v>
      </x:c>
      <x:c r="K123" s="14" t="n">
        <x:v>87180</x:v>
      </x:c>
      <x:c r="L123" s="12" t="n">
        <x:v>2</x:v>
      </x:c>
      <x:c r="M123" s="14" t="n">
        <x:v>2585</x:v>
      </x:c>
      <x:c r="N123" s="14" t="n">
        <x:v>7050</x:v>
      </x:c>
    </x:row>
  </x:sheetData>
  <x:mergeCells>
    <x:mergeCell ref="A1:N1"/>
  </x:mergeCells>
  <x:conditionalFormatting sqref="D4:D123">
    <x:cfRule type="expression" dxfId="1" priority="1">
      <x:formula>D4="مكتملة"</x:formula>
    </x:cfRule>
    <x:cfRule type="expression" dxfId="2" priority="2">
      <x:formula>D4="تحت التنفيذ"</x:formula>
    </x:cfRule>
    <x:cfRule type="expression" dxfId="3" priority="3">
      <x:formula>D4="مرحلة مبكرة"</x:formula>
    </x:cfRule>
  </x:conditionalFormatting>
  <x:conditionalFormatting sqref="E4:E123">
    <x:cfRule type="dataBar" priority="4">
      <x:dataBar>
        <x:cfvo type="min"/>
        <x:cfvo type="max"/>
        <x:color rgb="5B9BD5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0cc7752a3a343b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.43000030517578" hidden="0" customWidth="1"/>
    <x:col min="2" max="2" width="32.290000915527344" hidden="0" customWidth="1"/>
    <x:col min="3" max="3" width="17.43000030517578" hidden="0" customWidth="1"/>
    <x:col min="4" max="4" width="23" hidden="0" customWidth="1"/>
    <x:col min="5" max="5" width="19.139999389648438" hidden="0" customWidth="1"/>
    <x:col min="6" max="6" width="23.56999969482422" hidden="0" customWidth="1"/>
    <x:col min="7" max="7" width="15.569999694824219" hidden="0" customWidth="1"/>
    <x:col min="8" max="8" width="33" hidden="0" customWidth="1"/>
    <x:col min="9" max="9" width="33.43000030517578" hidden="0" customWidth="1"/>
    <x:col min="10" max="10" width="41.43000030517578" hidden="0" customWidth="1"/>
  </x:cols>
  <x:sheetData>
    <x:row r="1">
      <x:c r="A1" s="11" t="str">
        <x:v>هيكل التكاليف التفصيلي على مستوى المشروع</x:v>
      </x:c>
      <x:c r="B1" s="12"/>
      <x:c r="C1" s="12"/>
      <x:c r="D1" s="12"/>
      <x:c r="E1" s="12"/>
      <x:c r="F1" s="12"/>
      <x:c r="G1" s="12"/>
      <x:c r="H1" s="12"/>
      <x:c r="I1" s="12"/>
      <x:c r="J1" s="12"/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</x:row>
    <x:row r="3">
      <x:c r="A3" s="13" t="str">
        <x:v>المستوى الأول</x:v>
      </x:c>
      <x:c r="B3" s="13" t="str">
        <x:v>المستوى الثاني</x:v>
      </x:c>
      <x:c r="C3" s="13" t="str">
        <x:v>الميزانية الأصلية</x:v>
      </x:c>
      <x:c r="D3" s="13" t="str">
        <x:v>التكلفة المعاد تقديرها</x:v>
      </x:c>
      <x:c r="E3" s="13" t="str">
        <x:v>المنفذ حتى تاريخه</x:v>
      </x:c>
      <x:c r="F3" s="13" t="str">
        <x:v>الانحراف عن الميزانية</x:v>
      </x:c>
      <x:c r="G3" s="13" t="str">
        <x:v>نسبة الانحراف</x:v>
      </x:c>
      <x:c r="H3" s="13" t="str">
        <x:v>نسبة الصرف من المعاد تقديره</x:v>
      </x:c>
      <x:c r="I3" s="13" t="str">
        <x:v>حصة البند من إجمالي المشروع</x:v>
      </x:c>
      <x:c r="J3" s="13" t="str">
        <x:v>ملاحظات تنفيذية</x:v>
      </x:c>
    </x:row>
    <x:row r="4">
      <x:c r="A4" s="12" t="str">
        <x:v>أعمال تمهيدية</x:v>
      </x:c>
      <x:c r="B4" s="12" t="str">
        <x:v>تجهيز الموقع والرفع المساحي</x:v>
      </x:c>
      <x:c r="C4" s="14" t="n">
        <x:v>420000</x:v>
      </x:c>
      <x:c r="D4" s="14" t="n">
        <x:v>445000</x:v>
      </x:c>
      <x:c r="E4" s="14" t="n">
        <x:v>432000</x:v>
      </x:c>
      <x:c r="F4" s="14" t="n">
        <x:f>D4-C4</x:f>
        <x:v>25000</x:v>
      </x:c>
      <x:c r="G4" s="15" t="n">
        <x:f>IF(C4=0,0,F4/C4)</x:f>
        <x:v>0.05952380952380952</x:v>
      </x:c>
      <x:c r="H4" s="15" t="n">
        <x:f>IF(D4=0,0,E4/D4)</x:f>
        <x:v>0.9707865168539326</x:v>
      </x:c>
      <x:c r="I4" s="14" t="n">
        <x:f>IF(SUM($D$4:$D$24)=0,0,D4/SUM($D$4:$D$24))</x:f>
        <x:v>0.015540422559804435</x:v>
      </x:c>
      <x:c r="J4" s="12" t="str">
        <x:v>زيادة بسبب تحسينات تسوية الموقع</x:v>
      </x:c>
    </x:row>
    <x:row r="5">
      <x:c r="A5" s="12" t="str">
        <x:v>أعمال تمهيدية</x:v>
      </x:c>
      <x:c r="B5" s="12" t="str">
        <x:v>مرافق مؤقتة وسياج ومكاتب</x:v>
      </x:c>
      <x:c r="C5" s="14" t="n">
        <x:v>310000</x:v>
      </x:c>
      <x:c r="D5" s="14" t="n">
        <x:v>325000</x:v>
      </x:c>
      <x:c r="E5" s="14" t="n">
        <x:v>315500</x:v>
      </x:c>
      <x:c r="F5" s="14" t="n">
        <x:f>D5-C5</x:f>
        <x:v>15000</x:v>
      </x:c>
      <x:c r="G5" s="15" t="n">
        <x:f>IF(C5=0,0,F5/C5)</x:f>
        <x:v>0.04838709677419355</x:v>
      </x:c>
      <x:c r="H5" s="15" t="n">
        <x:f>IF(D5=0,0,E5/D5)</x:f>
        <x:v>0.9707692307692307</x:v>
      </x:c>
      <x:c r="I5" s="14" t="n">
        <x:f>IF(SUM($D$4:$D$24)=0,0,D5/SUM($D$4:$D$24))</x:f>
        <x:v>0.011349746813340318</x:v>
      </x:c>
      <x:c r="J5" s="12" t="str">
        <x:v>ضمن الحدود المقبولة</x:v>
      </x:c>
    </x:row>
    <x:row r="6">
      <x:c r="A6" s="12" t="str">
        <x:v>الأعمال الإنشائية</x:v>
      </x:c>
      <x:c r="B6" s="12" t="str">
        <x:v>حفر وردم</x:v>
      </x:c>
      <x:c r="C6" s="14" t="n">
        <x:v>1320000</x:v>
      </x:c>
      <x:c r="D6" s="14" t="n">
        <x:v>1360000</x:v>
      </x:c>
      <x:c r="E6" s="14" t="n">
        <x:v>1316000</x:v>
      </x:c>
      <x:c r="F6" s="14" t="n">
        <x:f>D6-C6</x:f>
        <x:v>40000</x:v>
      </x:c>
      <x:c r="G6" s="15" t="n">
        <x:f>IF(C6=0,0,F6/C6)</x:f>
        <x:v>0.030303030303030304</x:v>
      </x:c>
      <x:c r="H6" s="15" t="n">
        <x:f>IF(D6=0,0,E6/D6)</x:f>
        <x:v>0.9676470588235294</x:v>
      </x:c>
      <x:c r="I6" s="14" t="n">
        <x:f>IF(SUM($D$4:$D$24)=0,0,D6/SUM($D$4:$D$24))</x:f>
        <x:v>0.04749432512659333</x:v>
      </x:c>
      <x:c r="J6" s="12" t="str">
        <x:v>زيادة طفيفة في كميات الردم</x:v>
      </x:c>
    </x:row>
    <x:row r="7">
      <x:c r="A7" s="12" t="str">
        <x:v>الأعمال الإنشائية</x:v>
      </x:c>
      <x:c r="B7" s="12" t="str">
        <x:v>أساسات</x:v>
      </x:c>
      <x:c r="C7" s="14" t="n">
        <x:v>2480000</x:v>
      </x:c>
      <x:c r="D7" s="14" t="n">
        <x:v>2525000</x:v>
      </x:c>
      <x:c r="E7" s="14" t="n">
        <x:v>2442000</x:v>
      </x:c>
      <x:c r="F7" s="14" t="n">
        <x:f>D7-C7</x:f>
        <x:v>45000</x:v>
      </x:c>
      <x:c r="G7" s="15" t="n">
        <x:f>IF(C7=0,0,F7/C7)</x:f>
        <x:v>0.018145161290322582</x:v>
      </x:c>
      <x:c r="H7" s="15" t="n">
        <x:f>IF(D7=0,0,E7/D7)</x:f>
        <x:v>0.9671287128712871</x:v>
      </x:c>
      <x:c r="I7" s="14" t="n">
        <x:f>IF(SUM($D$4:$D$24)=0,0,D7/SUM($D$4:$D$24))</x:f>
        <x:v>0.08817880216518247</x:v>
      </x:c>
      <x:c r="J7" s="12" t="str">
        <x:v>مستقرة</x:v>
      </x:c>
    </x:row>
    <x:row r="8">
      <x:c r="A8" s="12" t="str">
        <x:v>الأعمال الإنشائية</x:v>
      </x:c>
      <x:c r="B8" s="12" t="str">
        <x:v>هيكل خرساني</x:v>
      </x:c>
      <x:c r="C8" s="14" t="n">
        <x:v>5660000</x:v>
      </x:c>
      <x:c r="D8" s="14" t="n">
        <x:v>5790000</x:v>
      </x:c>
      <x:c r="E8" s="14" t="n">
        <x:v>3914000</x:v>
      </x:c>
      <x:c r="F8" s="14" t="n">
        <x:f>D8-C8</x:f>
        <x:v>130000</x:v>
      </x:c>
      <x:c r="G8" s="15" t="n">
        <x:f>IF(C8=0,0,F8/C8)</x:f>
        <x:v>0.022968197879858657</x:v>
      </x:c>
      <x:c r="H8" s="15" t="n">
        <x:f>IF(D8=0,0,E8/D8)</x:f>
        <x:v>0.6759930915371329</x:v>
      </x:c>
      <x:c r="I8" s="14" t="n">
        <x:f>IF(SUM($D$4:$D$24)=0,0,D8/SUM($D$4:$D$24))</x:f>
        <x:v>0.20220010476689365</x:v>
      </x:c>
      <x:c r="J8" s="12" t="str">
        <x:v>تأثير سعر الخرسانة والتسليح</x:v>
      </x:c>
    </x:row>
    <x:row r="9">
      <x:c r="A9" s="12" t="str">
        <x:v>الأعمال المعمارية</x:v>
      </x:c>
      <x:c r="B9" s="12" t="str">
        <x:v>مباني وبلوك</x:v>
      </x:c>
      <x:c r="C9" s="14" t="n">
        <x:v>1680000</x:v>
      </x:c>
      <x:c r="D9" s="14" t="n">
        <x:v>1720000</x:v>
      </x:c>
      <x:c r="E9" s="14" t="n">
        <x:v>1180000</x:v>
      </x:c>
      <x:c r="F9" s="14" t="n">
        <x:f>D9-C9</x:f>
        <x:v>40000</x:v>
      </x:c>
      <x:c r="G9" s="15" t="n">
        <x:f>IF(C9=0,0,F9/C9)</x:f>
        <x:v>0.023809523809523808</x:v>
      </x:c>
      <x:c r="H9" s="15" t="n">
        <x:f>IF(D9=0,0,E9/D9)</x:f>
        <x:v>0.686046511627907</x:v>
      </x:c>
      <x:c r="I9" s="14" t="n">
        <x:f>IF(SUM($D$4:$D$24)=0,0,D9/SUM($D$4:$D$24))</x:f>
        <x:v>0.06006635236598568</x:v>
      </x:c>
      <x:c r="J9" s="12" t="str">
        <x:v>متناسق مع التقدم</x:v>
      </x:c>
    </x:row>
    <x:row r="10">
      <x:c r="A10" s="12" t="str">
        <x:v>الأعمال المعمارية</x:v>
      </x:c>
      <x:c r="B10" s="12" t="str">
        <x:v>لياسة ومحارة</x:v>
      </x:c>
      <x:c r="C10" s="14" t="n">
        <x:v>1320000</x:v>
      </x:c>
      <x:c r="D10" s="14" t="n">
        <x:v>1375000</x:v>
      </x:c>
      <x:c r="E10" s="14" t="n">
        <x:v>821000</x:v>
      </x:c>
      <x:c r="F10" s="14" t="n">
        <x:f>D10-C10</x:f>
        <x:v>55000</x:v>
      </x:c>
      <x:c r="G10" s="15" t="n">
        <x:f>IF(C10=0,0,F10/C10)</x:f>
        <x:v>0.041666666666666664</x:v>
      </x:c>
      <x:c r="H10" s="15" t="n">
        <x:f>IF(D10=0,0,E10/D10)</x:f>
        <x:v>0.5970909090909091</x:v>
      </x:c>
      <x:c r="I10" s="14" t="n">
        <x:f>IF(SUM($D$4:$D$24)=0,0,D10/SUM($D$4:$D$24))</x:f>
        <x:v>0.04801815959490134</x:v>
      </x:c>
      <x:c r="J10" s="12" t="str">
        <x:v>ارتباط مباشر بمعدلات الإنتاجية</x:v>
      </x:c>
    </x:row>
    <x:row r="11">
      <x:c r="A11" s="12" t="str">
        <x:v>الأعمال المعمارية</x:v>
      </x:c>
      <x:c r="B11" s="12" t="str">
        <x:v>أرضيات وكسوات</x:v>
      </x:c>
      <x:c r="C11" s="14" t="n">
        <x:v>1860000</x:v>
      </x:c>
      <x:c r="D11" s="14" t="n">
        <x:v>1920000</x:v>
      </x:c>
      <x:c r="E11" s="14" t="n">
        <x:v>861000</x:v>
      </x:c>
      <x:c r="F11" s="14" t="n">
        <x:f>D11-C11</x:f>
        <x:v>60000</x:v>
      </x:c>
      <x:c r="G11" s="15" t="n">
        <x:f>IF(C11=0,0,F11/C11)</x:f>
        <x:v>0.03225806451612903</x:v>
      </x:c>
      <x:c r="H11" s="15" t="n">
        <x:f>IF(D11=0,0,E11/D11)</x:f>
        <x:v>0.4484375</x:v>
      </x:c>
      <x:c r="I11" s="14" t="n">
        <x:f>IF(SUM($D$4:$D$24)=0,0,D11/SUM($D$4:$D$24))</x:f>
        <x:v>0.06705081194342588</x:v>
      </x:c>
      <x:c r="J11" s="12" t="str">
        <x:v>جزء كبير لم يبدأ بعد</x:v>
      </x:c>
    </x:row>
    <x:row r="12">
      <x:c r="A12" s="12" t="str">
        <x:v>الأعمال المعمارية</x:v>
      </x:c>
      <x:c r="B12" s="12" t="str">
        <x:v>دهانات وأسقف</x:v>
      </x:c>
      <x:c r="C12" s="14" t="n">
        <x:v>980000</x:v>
      </x:c>
      <x:c r="D12" s="14" t="n">
        <x:v>1015000</x:v>
      </x:c>
      <x:c r="E12" s="14" t="n">
        <x:v>344000</x:v>
      </x:c>
      <x:c r="F12" s="14" t="n">
        <x:f>D12-C12</x:f>
        <x:v>35000</x:v>
      </x:c>
      <x:c r="G12" s="15" t="n">
        <x:f>IF(C12=0,0,F12/C12)</x:f>
        <x:v>0.03571428571428571</x:v>
      </x:c>
      <x:c r="H12" s="15" t="n">
        <x:f>IF(D12=0,0,E12/D12)</x:f>
        <x:v>0.3389162561576355</x:v>
      </x:c>
      <x:c r="I12" s="14" t="n">
        <x:f>IF(SUM($D$4:$D$24)=0,0,D12/SUM($D$4:$D$24))</x:f>
        <x:v>0.035446132355508995</x:v>
      </x:c>
      <x:c r="J12" s="12" t="str">
        <x:v>مرحلة لاحقة</x:v>
      </x:c>
    </x:row>
    <x:row r="13">
      <x:c r="A13" s="12" t="str">
        <x:v>الأعمال الكهروميكانيكية</x:v>
      </x:c>
      <x:c r="B13" s="12" t="str">
        <x:v>كهرباء</x:v>
      </x:c>
      <x:c r="C13" s="14" t="n">
        <x:v>2380000</x:v>
      </x:c>
      <x:c r="D13" s="14" t="n">
        <x:v>2425000</x:v>
      </x:c>
      <x:c r="E13" s="14" t="n">
        <x:v>1284000</x:v>
      </x:c>
      <x:c r="F13" s="14" t="n">
        <x:f>D13-C13</x:f>
        <x:v>45000</x:v>
      </x:c>
      <x:c r="G13" s="15" t="n">
        <x:f>IF(C13=0,0,F13/C13)</x:f>
        <x:v>0.018907563025210083</x:v>
      </x:c>
      <x:c r="H13" s="15" t="n">
        <x:f>IF(D13=0,0,E13/D13)</x:f>
        <x:v>0.5294845360824743</x:v>
      </x:c>
      <x:c r="I13" s="14" t="n">
        <x:f>IF(SUM($D$4:$D$24)=0,0,D13/SUM($D$4:$D$24))</x:f>
        <x:v>0.08468657237646238</x:v>
      </x:c>
      <x:c r="J13" s="12" t="str">
        <x:v>زيادة محدودة في بعض المخارج</x:v>
      </x:c>
    </x:row>
    <x:row r="14">
      <x:c r="A14" s="12" t="str">
        <x:v>الأعمال الكهروميكانيكية</x:v>
      </x:c>
      <x:c r="B14" s="12" t="str">
        <x:v>سباكة وصرف</x:v>
      </x:c>
      <x:c r="C14" s="14" t="n">
        <x:v>1540000</x:v>
      </x:c>
      <x:c r="D14" s="14" t="n">
        <x:v>1580000</x:v>
      </x:c>
      <x:c r="E14" s="14" t="n">
        <x:v>912000</x:v>
      </x:c>
      <x:c r="F14" s="14" t="n">
        <x:f>D14-C14</x:f>
        <x:v>40000</x:v>
      </x:c>
      <x:c r="G14" s="15" t="n">
        <x:f>IF(C14=0,0,F14/C14)</x:f>
        <x:v>0.025974025974025976</x:v>
      </x:c>
      <x:c r="H14" s="15" t="n">
        <x:f>IF(D14=0,0,E14/D14)</x:f>
        <x:v>0.5772151898734177</x:v>
      </x:c>
      <x:c r="I14" s="14" t="n">
        <x:f>IF(SUM($D$4:$D$24)=0,0,D14/SUM($D$4:$D$24))</x:f>
        <x:v>0.05517723066177754</x:v>
      </x:c>
      <x:c r="J14" s="12" t="str">
        <x:v>ضمن المتوقع</x:v>
      </x:c>
    </x:row>
    <x:row r="15">
      <x:c r="A15" s="12" t="str">
        <x:v>الأعمال الكهروميكانيكية</x:v>
      </x:c>
      <x:c r="B15" s="12" t="str">
        <x:v>تكييف وتهوية</x:v>
      </x:c>
      <x:c r="C15" s="14" t="n">
        <x:v>920000</x:v>
      </x:c>
      <x:c r="D15" s="14" t="n">
        <x:v>980000</x:v>
      </x:c>
      <x:c r="E15" s="14" t="n">
        <x:v>412000</x:v>
      </x:c>
      <x:c r="F15" s="14" t="n">
        <x:f>D15-C15</x:f>
        <x:v>60000</x:v>
      </x:c>
      <x:c r="G15" s="15" t="n">
        <x:f>IF(C15=0,0,F15/C15)</x:f>
        <x:v>0.06521739130434782</x:v>
      </x:c>
      <x:c r="H15" s="15" t="n">
        <x:f>IF(D15=0,0,E15/D15)</x:f>
        <x:v>0.4204081632653061</x:v>
      </x:c>
      <x:c r="I15" s="14" t="n">
        <x:f>IF(SUM($D$4:$D$24)=0,0,D15/SUM($D$4:$D$24))</x:f>
        <x:v>0.034223851929456955</x:v>
      </x:c>
      <x:c r="J15" s="12" t="str">
        <x:v>تحسن مع اتفاقيات الشراء</x:v>
      </x:c>
    </x:row>
    <x:row r="16">
      <x:c r="A16" s="12" t="str">
        <x:v>الأعمال الخارجية</x:v>
      </x:c>
      <x:c r="B16" s="12" t="str">
        <x:v>طرق وأرصفة</x:v>
      </x:c>
      <x:c r="C16" s="14" t="n">
        <x:v>1180000</x:v>
      </x:c>
      <x:c r="D16" s="14" t="n">
        <x:v>1230000</x:v>
      </x:c>
      <x:c r="E16" s="14" t="n">
        <x:v>684000</x:v>
      </x:c>
      <x:c r="F16" s="14" t="n">
        <x:f>D16-C16</x:f>
        <x:v>50000</x:v>
      </x:c>
      <x:c r="G16" s="15" t="n">
        <x:f>IF(C16=0,0,F16/C16)</x:f>
        <x:v>0.0423728813559322</x:v>
      </x:c>
      <x:c r="H16" s="15" t="n">
        <x:f>IF(D16=0,0,E16/D16)</x:f>
        <x:v>0.5560975609756098</x:v>
      </x:c>
      <x:c r="I16" s="14" t="n">
        <x:f>IF(SUM($D$4:$D$24)=0,0,D16/SUM($D$4:$D$24))</x:f>
        <x:v>0.042954426401257205</x:v>
      </x:c>
      <x:c r="J16" s="12" t="str">
        <x:v>مربوط بالمناطق المكتملة</x:v>
      </x:c>
    </x:row>
    <x:row r="17">
      <x:c r="A17" s="12" t="str">
        <x:v>الأعمال الخارجية</x:v>
      </x:c>
      <x:c r="B17" s="12" t="str">
        <x:v>أسوار وبوابات</x:v>
      </x:c>
      <x:c r="C17" s="14" t="n">
        <x:v>740000</x:v>
      </x:c>
      <x:c r="D17" s="14" t="n">
        <x:v>775000</x:v>
      </x:c>
      <x:c r="E17" s="14" t="n">
        <x:v>468000</x:v>
      </x:c>
      <x:c r="F17" s="14" t="n">
        <x:f>D17-C17</x:f>
        <x:v>35000</x:v>
      </x:c>
      <x:c r="G17" s="15" t="n">
        <x:f>IF(C17=0,0,F17/C17)</x:f>
        <x:v>0.0472972972972973</x:v>
      </x:c>
      <x:c r="H17" s="15" t="n">
        <x:f>IF(D17=0,0,E17/D17)</x:f>
        <x:v>0.6038709677419355</x:v>
      </x:c>
      <x:c r="I17" s="14" t="n">
        <x:f>IF(SUM($D$4:$D$24)=0,0,D17/SUM($D$4:$D$24))</x:f>
        <x:v>0.027064780862580757</x:v>
      </x:c>
      <x:c r="J17" s="12" t="str">
        <x:v>زيادة بسبب متطلبات زخرفية</x:v>
      </x:c>
    </x:row>
    <x:row r="18">
      <x:c r="A18" s="12" t="str">
        <x:v>الأعمال الخارجية</x:v>
      </x:c>
      <x:c r="B18" s="12" t="str">
        <x:v>لاندسكيب وري</x:v>
      </x:c>
      <x:c r="C18" s="14" t="n">
        <x:v>860000</x:v>
      </x:c>
      <x:c r="D18" s="14" t="n">
        <x:v>905000</x:v>
      </x:c>
      <x:c r="E18" s="14" t="n">
        <x:v>352000</x:v>
      </x:c>
      <x:c r="F18" s="14" t="n">
        <x:f>D18-C18</x:f>
        <x:v>45000</x:v>
      </x:c>
      <x:c r="G18" s="15" t="n">
        <x:f>IF(C18=0,0,F18/C18)</x:f>
        <x:v>0.05232558139534884</x:v>
      </x:c>
      <x:c r="H18" s="15" t="n">
        <x:f>IF(D18=0,0,E18/D18)</x:f>
        <x:v>0.3889502762430939</x:v>
      </x:c>
      <x:c r="I18" s="14" t="n">
        <x:f>IF(SUM($D$4:$D$24)=0,0,D18/SUM($D$4:$D$24))</x:f>
        <x:v>0.031604679587916885</x:v>
      </x:c>
      <x:c r="J18" s="12" t="str">
        <x:v>مرحلة أخيرة</x:v>
      </x:c>
    </x:row>
    <x:row r="19">
      <x:c r="A19" s="12" t="str">
        <x:v>الإدارة غير المباشرة</x:v>
      </x:c>
      <x:c r="B19" s="12" t="str">
        <x:v>إدارة المشروع والإشراف</x:v>
      </x:c>
      <x:c r="C19" s="14" t="n">
        <x:v>1260000</x:v>
      </x:c>
      <x:c r="D19" s="14" t="n">
        <x:v>1330000</x:v>
      </x:c>
      <x:c r="E19" s="14" t="n">
        <x:v>1610000</x:v>
      </x:c>
      <x:c r="F19" s="14" t="n">
        <x:f>D19-C19</x:f>
        <x:v>70000</x:v>
      </x:c>
      <x:c r="G19" s="15" t="n">
        <x:f>IF(C19=0,0,F19/C19)</x:f>
        <x:v>0.05555555555555555</x:v>
      </x:c>
      <x:c r="H19" s="15" t="n">
        <x:f>IF(D19=0,0,E19/D19)</x:f>
        <x:v>1.2105263157894737</x:v>
      </x:c>
      <x:c r="I19" s="14" t="n">
        <x:f>IF(SUM($D$4:$D$24)=0,0,D19/SUM($D$4:$D$24))</x:f>
        <x:v>0.0464466561899773</x:v>
      </x:c>
      <x:c r="J19" s="12" t="str">
        <x:v>الصرف الحالي أعلى بسبب طول المدة</x:v>
      </x:c>
    </x:row>
    <x:row r="20">
      <x:c r="A20" s="12" t="str">
        <x:v>الجودة والاختبارات</x:v>
      </x:c>
      <x:c r="B20" s="12" t="str">
        <x:v>فحوصات واختبارات</x:v>
      </x:c>
      <x:c r="C20" s="14" t="n">
        <x:v>260000</x:v>
      </x:c>
      <x:c r="D20" s="14" t="n">
        <x:v>295000</x:v>
      </x:c>
      <x:c r="E20" s="14" t="n">
        <x:v>221000</x:v>
      </x:c>
      <x:c r="F20" s="14" t="n">
        <x:f>D20-C20</x:f>
        <x:v>35000</x:v>
      </x:c>
      <x:c r="G20" s="15" t="n">
        <x:f>IF(C20=0,0,F20/C20)</x:f>
        <x:v>0.1346153846153846</x:v>
      </x:c>
      <x:c r="H20" s="15" t="n">
        <x:f>IF(D20=0,0,E20/D20)</x:f>
        <x:v>0.7491525423728813</x:v>
      </x:c>
      <x:c r="I20" s="14" t="n">
        <x:f>IF(SUM($D$4:$D$24)=0,0,D20/SUM($D$4:$D$24))</x:f>
        <x:v>0.010302077876724288</x:v>
      </x:c>
      <x:c r="J20" s="12" t="str">
        <x:v>زيادة نتيجة كثافة الفحوصات</x:v>
      </x:c>
    </x:row>
    <x:row r="21">
      <x:c r="A21" s="12" t="str">
        <x:v>الجودة والاختبارات</x:v>
      </x:c>
      <x:c r="B21" s="12" t="str">
        <x:v>إعادة العمل والمعالجات</x:v>
      </x:c>
      <x:c r="C21" s="14" t="n">
        <x:v>240000</x:v>
      </x:c>
      <x:c r="D21" s="14" t="n">
        <x:v>460000</x:v>
      </x:c>
      <x:c r="E21" s="14" t="n">
        <x:v>460000</x:v>
      </x:c>
      <x:c r="F21" s="14" t="n">
        <x:f>D21-C21</x:f>
        <x:v>220000</x:v>
      </x:c>
      <x:c r="G21" s="15" t="n">
        <x:f>IF(C21=0,0,F21/C21)</x:f>
        <x:v>0.9166666666666666</x:v>
      </x:c>
      <x:c r="H21" s="15" t="n">
        <x:f>IF(D21=0,0,E21/D21)</x:f>
        <x:v>1</x:v>
      </x:c>
      <x:c r="I21" s="14" t="n">
        <x:f>IF(SUM($D$4:$D$24)=0,0,D21/SUM($D$4:$D$24))</x:f>
        <x:v>0.01606425702811245</x:v>
      </x:c>
      <x:c r="J21" s="12" t="str">
        <x:v>مرتبطة بملف الجودة</x:v>
      </x:c>
    </x:row>
    <x:row r="22">
      <x:c r="A22" s="12" t="str">
        <x:v>الهدر والفاقد</x:v>
      </x:c>
      <x:c r="B22" s="12" t="str">
        <x:v>تكلفة هدر مواد</x:v>
      </x:c>
      <x:c r="C22" s="14" t="n">
        <x:v>430000</x:v>
      </x:c>
      <x:c r="D22" s="14" t="n">
        <x:v>820000</x:v>
      </x:c>
      <x:c r="E22" s="14" t="n">
        <x:v>610000</x:v>
      </x:c>
      <x:c r="F22" s="14" t="n">
        <x:f>D22-C22</x:f>
        <x:v>390000</x:v>
      </x:c>
      <x:c r="G22" s="15" t="n">
        <x:f>IF(C22=0,0,F22/C22)</x:f>
        <x:v>0.9069767441860465</x:v>
      </x:c>
      <x:c r="H22" s="15" t="n">
        <x:f>IF(D22=0,0,E22/D22)</x:f>
        <x:v>0.7439024390243902</x:v>
      </x:c>
      <x:c r="I22" s="14" t="n">
        <x:f>IF(SUM($D$4:$D$24)=0,0,D22/SUM($D$4:$D$24))</x:f>
        <x:v>0.0286362842675048</x:v>
      </x:c>
      <x:c r="J22" s="12" t="str">
        <x:v>ناتجة عن الهدر الفعلي</x:v>
      </x:c>
    </x:row>
    <x:row r="23">
      <x:c r="A23" s="12" t="str">
        <x:v>الاحتياطيات</x:v>
      </x:c>
      <x:c r="B23" s="12" t="str">
        <x:v>احتياطي مخاطر</x:v>
      </x:c>
      <x:c r="C23" s="14" t="n">
        <x:v>1200000</x:v>
      </x:c>
      <x:c r="D23" s="14" t="n">
        <x:v>880000</x:v>
      </x:c>
      <x:c r="E23" s="14" t="n">
        <x:v>320000</x:v>
      </x:c>
      <x:c r="F23" s="14" t="n">
        <x:f>D23-C23</x:f>
        <x:v>-320000</x:v>
      </x:c>
      <x:c r="G23" s="15" t="n">
        <x:f>IF(C23=0,0,F23/C23)</x:f>
        <x:v>-0.26666666666666666</x:v>
      </x:c>
      <x:c r="H23" s="15" t="n">
        <x:f>IF(D23=0,0,E23/D23)</x:f>
        <x:v>0.36363636363636365</x:v>
      </x:c>
      <x:c r="I23" s="14" t="n">
        <x:f>IF(SUM($D$4:$D$24)=0,0,D23/SUM($D$4:$D$24))</x:f>
        <x:v>0.03073162214073686</x:v>
      </x:c>
      <x:c r="J23" s="12" t="str">
        <x:v>تم استخدام جزء من الاحتياطي</x:v>
      </x:c>
    </x:row>
    <x:row r="24">
      <x:c r="A24" s="12" t="str">
        <x:v>الاحتياطيات</x:v>
      </x:c>
      <x:c r="B24" s="12" t="str">
        <x:v>احتياطي تضخم</x:v>
      </x:c>
      <x:c r="C24" s="14" t="n">
        <x:v>600000</x:v>
      </x:c>
      <x:c r="D24" s="14" t="n">
        <x:v>480000</x:v>
      </x:c>
      <x:c r="E24" s="14" t="n">
        <x:v>180000</x:v>
      </x:c>
      <x:c r="F24" s="14" t="n">
        <x:f>D24-C24</x:f>
        <x:v>-120000</x:v>
      </x:c>
      <x:c r="G24" s="15" t="n">
        <x:f>IF(C24=0,0,F24/C24)</x:f>
        <x:v>-0.2</x:v>
      </x:c>
      <x:c r="H24" s="15" t="n">
        <x:f>IF(D24=0,0,E24/D24)</x:f>
        <x:v>0.375</x:v>
      </x:c>
      <x:c r="I24" s="14" t="n">
        <x:f>IF(SUM($D$4:$D$24)=0,0,D24/SUM($D$4:$D$24))</x:f>
        <x:v>0.01676270298585647</x:v>
      </x:c>
      <x:c r="J24" s="12" t="str">
        <x:v>إعادة تقييم متبقي الاحتياطي</x:v>
      </x:c>
    </x:row>
  </x:sheetData>
  <x:mergeCells>
    <x:mergeCell ref="A1:J1"/>
  </x:mergeCells>
  <x:conditionalFormatting sqref="G4:G24">
    <x:cfRule type="colorScale" priority="1">
      <x:colorScale>
        <x:cfvo type="min"/>
        <x:cfvo type="percentile" val="50"/>
        <x:cfvo type="max"/>
        <x:color rgb="D9EAD3"/>
        <x:color rgb="FFF2CC"/>
        <x:color rgb="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51e72f0d9f6421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.859999656677246" hidden="0" customWidth="1"/>
    <x:col min="2" max="2" width="18.139999389648438" hidden="0" customWidth="1"/>
    <x:col min="3" max="3" width="16" hidden="0" customWidth="1"/>
    <x:col min="4" max="4" width="24.709999084472656" hidden="0" customWidth="1"/>
    <x:col min="5" max="5" width="23.860000610351562" hidden="0" customWidth="1"/>
    <x:col min="6" max="6" width="24.709999084472656" hidden="0" customWidth="1"/>
    <x:col min="7" max="7" width="24.43000030517578" hidden="0" customWidth="1"/>
    <x:col min="8" max="8" width="25.56999969482422" hidden="0" customWidth="1"/>
    <x:col min="9" max="9" width="34.56999969482422" hidden="0" customWidth="1"/>
    <x:col min="10" max="10" width="12" hidden="0" customWidth="1"/>
  </x:cols>
  <x:sheetData>
    <x:row r="1">
      <x:c r="A1" s="11" t="str">
        <x:v>التدفقات النقدية الشهرية المخططة والفعلية</x:v>
      </x:c>
      <x:c r="B1" s="12"/>
      <x:c r="C1" s="12"/>
      <x:c r="D1" s="12"/>
      <x:c r="E1" s="12"/>
      <x:c r="F1" s="12"/>
      <x:c r="G1" s="12"/>
      <x:c r="H1" s="12"/>
      <x:c r="I1" s="12"/>
      <x:c r="J1" s="12"/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</x:row>
    <x:row r="3">
      <x:c r="A3" s="13" t="str">
        <x:v>الشهر</x:v>
      </x:c>
      <x:c r="B3" s="13" t="str">
        <x:v>الصرف المخطط</x:v>
      </x:c>
      <x:c r="C3" s="13" t="str">
        <x:v>الصرف الفعلي</x:v>
      </x:c>
      <x:c r="D3" s="13" t="str">
        <x:v>إيراد المبيعات المحصل</x:v>
      </x:c>
      <x:c r="E3" s="13" t="str">
        <x:v>صافي التدفق الشهري</x:v>
      </x:c>
      <x:c r="F3" s="13" t="str">
        <x:v>صافي التدفق التراكمي</x:v>
      </x:c>
      <x:c r="G3" s="13" t="str">
        <x:v>نسبة الصرف التراكمية</x:v>
      </x:c>
      <x:c r="H3" s="13" t="str">
        <x:v>نسبة التحصيل التراكمية</x:v>
      </x:c>
      <x:c r="I3" s="13" t="str">
        <x:v>ملاحظات</x:v>
      </x:c>
      <x:c r="J3" s="13" t="str">
        <x:v>حالة الشهر</x:v>
      </x:c>
    </x:row>
    <x:row r="4">
      <x:c r="A4" s="12" t="str">
        <x:v>2025-01</x:v>
      </x:c>
      <x:c r="B4" s="14" t="n">
        <x:v>850000</x:v>
      </x:c>
      <x:c r="C4" s="14" t="n">
        <x:v>820000</x:v>
      </x:c>
      <x:c r="D4" s="14" t="n">
        <x:v>400000</x:v>
      </x:c>
      <x:c r="E4" s="14" t="n">
        <x:f>D4-C4</x:f>
        <x:v>-420000</x:v>
      </x:c>
      <x:c r="F4" s="14" t="n">
        <x:f>E4</x:f>
        <x:v>-420000</x:v>
      </x:c>
      <x:c r="G4" s="15" t="n">
        <x:f>C4/SUM($B$4:$B$27)</x:f>
        <x:v>0.046857142857142854</x:v>
      </x:c>
      <x:c r="H4" s="15" t="n">
        <x:f>D4/36000000</x:f>
        <x:v>0.011111111111111112</x:v>
      </x:c>
      <x:c r="I4" s="12" t="str">
        <x:v>مصروفات فعلية</x:v>
      </x:c>
      <x:c r="J4" s="12" t="str">
        <x:v>منقضي</x:v>
      </x:c>
    </x:row>
    <x:row r="5">
      <x:c r="A5" s="12" t="str">
        <x:v>2025-01</x:v>
      </x:c>
      <x:c r="B5" s="14" t="n">
        <x:v>900000</x:v>
      </x:c>
      <x:c r="C5" s="14" t="n">
        <x:v>915000</x:v>
      </x:c>
      <x:c r="D5" s="14" t="n">
        <x:v>650000</x:v>
      </x:c>
      <x:c r="E5" s="14" t="n">
        <x:f>D5-C5</x:f>
        <x:v>-265000</x:v>
      </x:c>
      <x:c r="F5" s="14" t="n">
        <x:f>F4+E5</x:f>
        <x:v>-685000</x:v>
      </x:c>
      <x:c r="G5" s="15" t="n">
        <x:f>SUM($C$4:C5)/SUM($B$4:$B$27)</x:f>
        <x:v>0.09914285714285714</x:v>
      </x:c>
      <x:c r="H5" s="15" t="n">
        <x:f>SUM($D$4:D5)/36000000</x:f>
        <x:v>0.029166666666666667</x:v>
      </x:c>
      <x:c r="I5" s="12" t="str">
        <x:v>مصروفات فعلية</x:v>
      </x:c>
      <x:c r="J5" s="12" t="str">
        <x:v>منقضي</x:v>
      </x:c>
    </x:row>
    <x:row r="6">
      <x:c r="A6" s="12" t="str">
        <x:v>2025-03</x:v>
      </x:c>
      <x:c r="B6" s="14" t="n">
        <x:v>980000</x:v>
      </x:c>
      <x:c r="C6" s="14" t="n">
        <x:v>990000</x:v>
      </x:c>
      <x:c r="D6" s="14" t="n">
        <x:v>720000</x:v>
      </x:c>
      <x:c r="E6" s="14" t="n">
        <x:f>D6-C6</x:f>
        <x:v>-270000</x:v>
      </x:c>
      <x:c r="F6" s="14" t="n">
        <x:f>F5+E6</x:f>
        <x:v>-955000</x:v>
      </x:c>
      <x:c r="G6" s="15" t="n">
        <x:f>SUM($C$4:C6)/SUM($B$4:$B$27)</x:f>
        <x:v>0.15571428571428572</x:v>
      </x:c>
      <x:c r="H6" s="15" t="n">
        <x:f>SUM($D$4:D6)/36000000</x:f>
        <x:v>0.049166666666666664</x:v>
      </x:c>
      <x:c r="I6" s="12" t="str">
        <x:v>مصروفات فعلية</x:v>
      </x:c>
      <x:c r="J6" s="12" t="str">
        <x:v>منقضي</x:v>
      </x:c>
    </x:row>
    <x:row r="7">
      <x:c r="A7" s="12" t="str">
        <x:v>2025-04</x:v>
      </x:c>
      <x:c r="B7" s="14" t="n">
        <x:v>1050000</x:v>
      </x:c>
      <x:c r="C7" s="14" t="n">
        <x:v>1085000</x:v>
      </x:c>
      <x:c r="D7" s="14" t="n">
        <x:v>850000</x:v>
      </x:c>
      <x:c r="E7" s="14" t="n">
        <x:f>D7-C7</x:f>
        <x:v>-235000</x:v>
      </x:c>
      <x:c r="F7" s="14" t="n">
        <x:f>F6+E7</x:f>
        <x:v>-1190000</x:v>
      </x:c>
      <x:c r="G7" s="15" t="n">
        <x:f>SUM($C$4:C7)/SUM($B$4:$B$27)</x:f>
        <x:v>0.21771428571428572</x:v>
      </x:c>
      <x:c r="H7" s="15" t="n">
        <x:f>SUM($D$4:D7)/36000000</x:f>
        <x:v>0.07277777777777777</x:v>
      </x:c>
      <x:c r="I7" s="12" t="str">
        <x:v>مصروفات فعلية</x:v>
      </x:c>
      <x:c r="J7" s="12" t="str">
        <x:v>منقضي</x:v>
      </x:c>
    </x:row>
    <x:row r="8">
      <x:c r="A8" s="12" t="str">
        <x:v>2025-05</x:v>
      </x:c>
      <x:c r="B8" s="14" t="n">
        <x:v>1100000</x:v>
      </x:c>
      <x:c r="C8" s="14" t="n">
        <x:v>1120000</x:v>
      </x:c>
      <x:c r="D8" s="14" t="n">
        <x:v>1100000</x:v>
      </x:c>
      <x:c r="E8" s="14" t="n">
        <x:f>D8-C8</x:f>
        <x:v>-20000</x:v>
      </x:c>
      <x:c r="F8" s="14" t="n">
        <x:f>F7+E8</x:f>
        <x:v>-1210000</x:v>
      </x:c>
      <x:c r="G8" s="15" t="n">
        <x:f>SUM($C$4:C8)/SUM($B$4:$B$27)</x:f>
        <x:v>0.2817142857142857</x:v>
      </x:c>
      <x:c r="H8" s="15" t="n">
        <x:f>SUM($D$4:D8)/36000000</x:f>
        <x:v>0.10333333333333333</x:v>
      </x:c>
      <x:c r="I8" s="12" t="str">
        <x:v>مصروفات فعلية</x:v>
      </x:c>
      <x:c r="J8" s="12" t="str">
        <x:v>منقضي</x:v>
      </x:c>
    </x:row>
    <x:row r="9">
      <x:c r="A9" s="12" t="str">
        <x:v>2025-05</x:v>
      </x:c>
      <x:c r="B9" s="14" t="n">
        <x:v>1180000</x:v>
      </x:c>
      <x:c r="C9" s="14" t="n">
        <x:v>1175000</x:v>
      </x:c>
      <x:c r="D9" s="14" t="n">
        <x:v>1250000</x:v>
      </x:c>
      <x:c r="E9" s="14" t="n">
        <x:f>D9-C9</x:f>
        <x:v>75000</x:v>
      </x:c>
      <x:c r="F9" s="14" t="n">
        <x:f>F8+E9</x:f>
        <x:v>-1135000</x:v>
      </x:c>
      <x:c r="G9" s="15" t="n">
        <x:f>SUM($C$4:C9)/SUM($B$4:$B$27)</x:f>
        <x:v>0.34885714285714287</x:v>
      </x:c>
      <x:c r="H9" s="15" t="n">
        <x:f>SUM($D$4:D9)/36000000</x:f>
        <x:v>0.13805555555555554</x:v>
      </x:c>
      <x:c r="I9" s="12" t="str">
        <x:v>مصروفات فعلية</x:v>
      </x:c>
      <x:c r="J9" s="12" t="str">
        <x:v>منقضي</x:v>
      </x:c>
    </x:row>
    <x:row r="10">
      <x:c r="A10" s="12" t="str">
        <x:v>2025-06</x:v>
      </x:c>
      <x:c r="B10" s="14" t="n">
        <x:v>1240000</x:v>
      </x:c>
      <x:c r="C10" s="14" t="n">
        <x:v>1260000</x:v>
      </x:c>
      <x:c r="D10" s="14" t="n">
        <x:v>1380000</x:v>
      </x:c>
      <x:c r="E10" s="14" t="n">
        <x:f>D10-C10</x:f>
        <x:v>120000</x:v>
      </x:c>
      <x:c r="F10" s="14" t="n">
        <x:f>F9+E10</x:f>
        <x:v>-1015000</x:v>
      </x:c>
      <x:c r="G10" s="15" t="n">
        <x:f>SUM($C$4:C10)/SUM($B$4:$B$27)</x:f>
        <x:v>0.4208571428571429</x:v>
      </x:c>
      <x:c r="H10" s="15" t="n">
        <x:f>SUM($D$4:D10)/36000000</x:f>
        <x:v>0.1763888888888889</x:v>
      </x:c>
      <x:c r="I10" s="12" t="str">
        <x:v>مصروفات فعلية</x:v>
      </x:c>
      <x:c r="J10" s="12" t="str">
        <x:v>منقضي</x:v>
      </x:c>
    </x:row>
    <x:row r="11">
      <x:c r="A11" s="12" t="str">
        <x:v>2025-07</x:v>
      </x:c>
      <x:c r="B11" s="14" t="n">
        <x:v>1310000</x:v>
      </x:c>
      <x:c r="C11" s="14" t="n">
        <x:v>1335000</x:v>
      </x:c>
      <x:c r="D11" s="14" t="n">
        <x:v>1420000</x:v>
      </x:c>
      <x:c r="E11" s="14" t="n">
        <x:f>D11-C11</x:f>
        <x:v>85000</x:v>
      </x:c>
      <x:c r="F11" s="14" t="n">
        <x:f>F10+E11</x:f>
        <x:v>-930000</x:v>
      </x:c>
      <x:c r="G11" s="15" t="n">
        <x:f>SUM($C$4:C11)/SUM($B$4:$B$27)</x:f>
        <x:v>0.49714285714285716</x:v>
      </x:c>
      <x:c r="H11" s="15" t="n">
        <x:f>SUM($D$4:D11)/36000000</x:f>
        <x:v>0.21583333333333332</x:v>
      </x:c>
      <x:c r="I11" s="12" t="str">
        <x:v>مصروفات فعلية</x:v>
      </x:c>
      <x:c r="J11" s="12" t="str">
        <x:v>منقضي</x:v>
      </x:c>
    </x:row>
    <x:row r="12">
      <x:c r="A12" s="12" t="str">
        <x:v>2025-08</x:v>
      </x:c>
      <x:c r="B12" s="14" t="n">
        <x:v>1370000</x:v>
      </x:c>
      <x:c r="C12" s="14" t="n">
        <x:v>1385000</x:v>
      </x:c>
      <x:c r="D12" s="14" t="n">
        <x:v>1510000</x:v>
      </x:c>
      <x:c r="E12" s="14" t="n">
        <x:f>D12-C12</x:f>
        <x:v>125000</x:v>
      </x:c>
      <x:c r="F12" s="14" t="n">
        <x:f>F11+E12</x:f>
        <x:v>-805000</x:v>
      </x:c>
      <x:c r="G12" s="15" t="n">
        <x:f>SUM($C$4:C12)/SUM($B$4:$B$27)</x:f>
        <x:v>0.5762857142857143</x:v>
      </x:c>
      <x:c r="H12" s="15" t="n">
        <x:f>SUM($D$4:D12)/36000000</x:f>
        <x:v>0.2577777777777778</x:v>
      </x:c>
      <x:c r="I12" s="12" t="str">
        <x:v>مصروفات فعلية</x:v>
      </x:c>
      <x:c r="J12" s="12" t="str">
        <x:v>منقضي</x:v>
      </x:c>
    </x:row>
    <x:row r="13">
      <x:c r="A13" s="12" t="str">
        <x:v>2025-09</x:v>
      </x:c>
      <x:c r="B13" s="14" t="n">
        <x:v>1420000</x:v>
      </x:c>
      <x:c r="C13" s="14" t="n">
        <x:v>1440000</x:v>
      </x:c>
      <x:c r="D13" s="14" t="n">
        <x:v>1600000</x:v>
      </x:c>
      <x:c r="E13" s="14" t="n">
        <x:f>D13-C13</x:f>
        <x:v>160000</x:v>
      </x:c>
      <x:c r="F13" s="14" t="n">
        <x:f>F12+E13</x:f>
        <x:v>-645000</x:v>
      </x:c>
      <x:c r="G13" s="15" t="n">
        <x:f>SUM($C$4:C13)/SUM($B$4:$B$27)</x:f>
        <x:v>0.6585714285714286</x:v>
      </x:c>
      <x:c r="H13" s="15" t="n">
        <x:f>SUM($D$4:D13)/36000000</x:f>
        <x:v>0.3022222222222222</x:v>
      </x:c>
      <x:c r="I13" s="12" t="str">
        <x:v>مصروفات فعلية</x:v>
      </x:c>
      <x:c r="J13" s="12" t="str">
        <x:v>منقضي</x:v>
      </x:c>
    </x:row>
    <x:row r="14">
      <x:c r="A14" s="12" t="str">
        <x:v>2025-10</x:v>
      </x:c>
      <x:c r="B14" s="14" t="n">
        <x:v>1480000</x:v>
      </x:c>
      <x:c r="C14" s="14" t="n">
        <x:v>1505000</x:v>
      </x:c>
      <x:c r="D14" s="14" t="n">
        <x:v>1710000</x:v>
      </x:c>
      <x:c r="E14" s="14" t="n">
        <x:f>D14-C14</x:f>
        <x:v>205000</x:v>
      </x:c>
      <x:c r="F14" s="14" t="n">
        <x:f>F13+E14</x:f>
        <x:v>-440000</x:v>
      </x:c>
      <x:c r="G14" s="15" t="n">
        <x:f>SUM($C$4:C14)/SUM($B$4:$B$27)</x:f>
        <x:v>0.7445714285714286</x:v>
      </x:c>
      <x:c r="H14" s="15" t="n">
        <x:f>SUM($D$4:D14)/36000000</x:f>
        <x:v>0.3497222222222222</x:v>
      </x:c>
      <x:c r="I14" s="12" t="str">
        <x:v>مصروفات فعلية</x:v>
      </x:c>
      <x:c r="J14" s="12" t="str">
        <x:v>منقضي</x:v>
      </x:c>
    </x:row>
    <x:row r="15">
      <x:c r="A15" s="12" t="str">
        <x:v>2025-11</x:v>
      </x:c>
      <x:c r="B15" s="14" t="n">
        <x:v>1510000</x:v>
      </x:c>
      <x:c r="C15" s="14" t="n">
        <x:v>1520000</x:v>
      </x:c>
      <x:c r="D15" s="14" t="n">
        <x:v>1830000</x:v>
      </x:c>
      <x:c r="E15" s="14" t="n">
        <x:f>D15-C15</x:f>
        <x:v>310000</x:v>
      </x:c>
      <x:c r="F15" s="14" t="n">
        <x:f>F14+E15</x:f>
        <x:v>-130000</x:v>
      </x:c>
      <x:c r="G15" s="15" t="n">
        <x:f>SUM($C$4:C15)/SUM($B$4:$B$27)</x:f>
        <x:v>0.8314285714285714</x:v>
      </x:c>
      <x:c r="H15" s="15" t="n">
        <x:f>SUM($D$4:D15)/36000000</x:f>
        <x:v>0.40055555555555555</x:v>
      </x:c>
      <x:c r="I15" s="12" t="str">
        <x:v>مصروفات فعلية</x:v>
      </x:c>
      <x:c r="J15" s="12" t="str">
        <x:v>منقضي</x:v>
      </x:c>
    </x:row>
    <x:row r="16">
      <x:c r="A16" s="12" t="str">
        <x:v>2025-12</x:v>
      </x:c>
      <x:c r="B16" s="14" t="n">
        <x:v>1540000</x:v>
      </x:c>
      <x:c r="C16" s="14" t="n">
        <x:v>1565000</x:v>
      </x:c>
      <x:c r="D16" s="14" t="n">
        <x:v>1900000</x:v>
      </x:c>
      <x:c r="E16" s="14" t="n">
        <x:f>D16-C16</x:f>
        <x:v>335000</x:v>
      </x:c>
      <x:c r="F16" s="14" t="n">
        <x:f>F15+E16</x:f>
        <x:v>205000</x:v>
      </x:c>
      <x:c r="G16" s="15" t="n">
        <x:f>SUM($C$4:C16)/SUM($B$4:$B$27)</x:f>
        <x:v>0.9208571428571428</x:v>
      </x:c>
      <x:c r="H16" s="15" t="n">
        <x:f>SUM($D$4:D16)/36000000</x:f>
        <x:v>0.4533333333333333</x:v>
      </x:c>
      <x:c r="I16" s="12" t="str">
        <x:v>مصروفات فعلية</x:v>
      </x:c>
      <x:c r="J16" s="12" t="str">
        <x:v>منقضي</x:v>
      </x:c>
    </x:row>
    <x:row r="17">
      <x:c r="A17" s="12" t="str">
        <x:v>2026-01</x:v>
      </x:c>
      <x:c r="B17" s="14" t="n">
        <x:v>1570000</x:v>
      </x:c>
      <x:c r="C17" s="14" t="n">
        <x:v>1595000</x:v>
      </x:c>
      <x:c r="D17" s="14" t="n">
        <x:v>2010000</x:v>
      </x:c>
      <x:c r="E17" s="14" t="n">
        <x:f>D17-C17</x:f>
        <x:v>415000</x:v>
      </x:c>
      <x:c r="F17" s="14" t="n">
        <x:f>F16+E17</x:f>
        <x:v>620000</x:v>
      </x:c>
      <x:c r="G17" s="15" t="n">
        <x:f>SUM($C$4:C17)/SUM($B$4:$B$27)</x:f>
        <x:v>1.012</x:v>
      </x:c>
      <x:c r="H17" s="15" t="n">
        <x:f>SUM($D$4:D17)/36000000</x:f>
        <x:v>0.5091666666666667</x:v>
      </x:c>
      <x:c r="I17" s="12" t="str">
        <x:v>مصروفات فعلية</x:v>
      </x:c>
      <x:c r="J17" s="12" t="str">
        <x:v>منقضي</x:v>
      </x:c>
    </x:row>
    <x:row r="18">
      <x:c r="A18" s="12" t="str">
        <x:v>2026-02</x:v>
      </x:c>
      <x:c r="B18" s="14" t="n">
        <x:v>0</x:v>
      </x:c>
      <x:c r="C18" s="14" t="n">
        <x:v>0</x:v>
      </x:c>
      <x:c r="D18" s="14" t="n">
        <x:v>0</x:v>
      </x:c>
      <x:c r="E18" s="14" t="n">
        <x:f>D18-C18</x:f>
        <x:v>0</x:v>
      </x:c>
      <x:c r="F18" s="14" t="n">
        <x:f>F17+E18</x:f>
        <x:v>620000</x:v>
      </x:c>
      <x:c r="G18" s="15" t="n">
        <x:f>SUM($C$4:C18)/SUM($B$4:$B$27)</x:f>
        <x:v>1.012</x:v>
      </x:c>
      <x:c r="H18" s="15" t="n">
        <x:f>SUM($D$4:D18)/36000000</x:f>
        <x:v>0.5091666666666667</x:v>
      </x:c>
      <x:c r="I18" s="12" t="str">
        <x:v>أشهر مستقبلية ستملأ بالتوقعات</x:v>
      </x:c>
      <x:c r="J18" s="12" t="str">
        <x:v>مستقبلي</x:v>
      </x:c>
    </x:row>
    <x:row r="19">
      <x:c r="A19" s="12" t="str">
        <x:v>2026-03</x:v>
      </x:c>
      <x:c r="B19" s="14" t="n">
        <x:v>0</x:v>
      </x:c>
      <x:c r="C19" s="14" t="n">
        <x:v>0</x:v>
      </x:c>
      <x:c r="D19" s="14" t="n">
        <x:v>0</x:v>
      </x:c>
      <x:c r="E19" s="14" t="n">
        <x:f>D19-C19</x:f>
        <x:v>0</x:v>
      </x:c>
      <x:c r="F19" s="14" t="n">
        <x:f>F18+E19</x:f>
        <x:v>620000</x:v>
      </x:c>
      <x:c r="G19" s="15" t="n">
        <x:f>SUM($C$4:C19)/SUM($B$4:$B$27)</x:f>
        <x:v>1.012</x:v>
      </x:c>
      <x:c r="H19" s="15" t="n">
        <x:f>SUM($D$4:D19)/36000000</x:f>
        <x:v>0.5091666666666667</x:v>
      </x:c>
      <x:c r="I19" s="12" t="str">
        <x:v>أشهر مستقبلية ستملأ بالتوقعات</x:v>
      </x:c>
      <x:c r="J19" s="12" t="str">
        <x:v>مستقبلي</x:v>
      </x:c>
    </x:row>
    <x:row r="20">
      <x:c r="A20" s="12" t="str">
        <x:v>2026-04</x:v>
      </x:c>
      <x:c r="B20" s="14" t="n">
        <x:v>0</x:v>
      </x:c>
      <x:c r="C20" s="14" t="n">
        <x:v>0</x:v>
      </x:c>
      <x:c r="D20" s="14" t="n">
        <x:v>0</x:v>
      </x:c>
      <x:c r="E20" s="14" t="n">
        <x:f>D20-C20</x:f>
        <x:v>0</x:v>
      </x:c>
      <x:c r="F20" s="14" t="n">
        <x:f>F19+E20</x:f>
        <x:v>620000</x:v>
      </x:c>
      <x:c r="G20" s="15" t="n">
        <x:f>SUM($C$4:C20)/SUM($B$4:$B$27)</x:f>
        <x:v>1.012</x:v>
      </x:c>
      <x:c r="H20" s="15" t="n">
        <x:f>SUM($D$4:D20)/36000000</x:f>
        <x:v>0.5091666666666667</x:v>
      </x:c>
      <x:c r="I20" s="12" t="str">
        <x:v>أشهر مستقبلية ستملأ بالتوقعات</x:v>
      </x:c>
      <x:c r="J20" s="12" t="str">
        <x:v>مستقبلي</x:v>
      </x:c>
    </x:row>
    <x:row r="21">
      <x:c r="A21" s="12" t="str">
        <x:v>2026-05</x:v>
      </x:c>
      <x:c r="B21" s="14" t="n">
        <x:v>0</x:v>
      </x:c>
      <x:c r="C21" s="14" t="n">
        <x:v>0</x:v>
      </x:c>
      <x:c r="D21" s="14" t="n">
        <x:v>0</x:v>
      </x:c>
      <x:c r="E21" s="14" t="n">
        <x:f>D21-C21</x:f>
        <x:v>0</x:v>
      </x:c>
      <x:c r="F21" s="14" t="n">
        <x:f>F20+E21</x:f>
        <x:v>620000</x:v>
      </x:c>
      <x:c r="G21" s="15" t="n">
        <x:f>SUM($C$4:C21)/SUM($B$4:$B$27)</x:f>
        <x:v>1.012</x:v>
      </x:c>
      <x:c r="H21" s="15" t="n">
        <x:f>SUM($D$4:D21)/36000000</x:f>
        <x:v>0.5091666666666667</x:v>
      </x:c>
      <x:c r="I21" s="12" t="str">
        <x:v>أشهر مستقبلية ستملأ بالتوقعات</x:v>
      </x:c>
      <x:c r="J21" s="12" t="str">
        <x:v>مستقبلي</x:v>
      </x:c>
    </x:row>
    <x:row r="22">
      <x:c r="A22" s="12" t="str">
        <x:v>2026-06</x:v>
      </x:c>
      <x:c r="B22" s="14" t="n">
        <x:v>0</x:v>
      </x:c>
      <x:c r="C22" s="14" t="n">
        <x:v>0</x:v>
      </x:c>
      <x:c r="D22" s="14" t="n">
        <x:v>0</x:v>
      </x:c>
      <x:c r="E22" s="14" t="n">
        <x:f>D22-C22</x:f>
        <x:v>0</x:v>
      </x:c>
      <x:c r="F22" s="14" t="n">
        <x:f>F21+E22</x:f>
        <x:v>620000</x:v>
      </x:c>
      <x:c r="G22" s="15" t="n">
        <x:f>SUM($C$4:C22)/SUM($B$4:$B$27)</x:f>
        <x:v>1.012</x:v>
      </x:c>
      <x:c r="H22" s="15" t="n">
        <x:f>SUM($D$4:D22)/36000000</x:f>
        <x:v>0.5091666666666667</x:v>
      </x:c>
      <x:c r="I22" s="12" t="str">
        <x:v>أشهر مستقبلية ستملأ بالتوقعات</x:v>
      </x:c>
      <x:c r="J22" s="12" t="str">
        <x:v>مستقبلي</x:v>
      </x:c>
    </x:row>
    <x:row r="23">
      <x:c r="A23" s="12" t="str">
        <x:v>2026-07</x:v>
      </x:c>
      <x:c r="B23" s="14" t="n">
        <x:v>0</x:v>
      </x:c>
      <x:c r="C23" s="14" t="n">
        <x:v>0</x:v>
      </x:c>
      <x:c r="D23" s="14" t="n">
        <x:v>0</x:v>
      </x:c>
      <x:c r="E23" s="14" t="n">
        <x:f>D23-C23</x:f>
        <x:v>0</x:v>
      </x:c>
      <x:c r="F23" s="14" t="n">
        <x:f>F22+E23</x:f>
        <x:v>620000</x:v>
      </x:c>
      <x:c r="G23" s="15" t="n">
        <x:f>SUM($C$4:C23)/SUM($B$4:$B$27)</x:f>
        <x:v>1.012</x:v>
      </x:c>
      <x:c r="H23" s="15" t="n">
        <x:f>SUM($D$4:D23)/36000000</x:f>
        <x:v>0.5091666666666667</x:v>
      </x:c>
      <x:c r="I23" s="12" t="str">
        <x:v>أشهر مستقبلية ستملأ بالتوقعات</x:v>
      </x:c>
      <x:c r="J23" s="12" t="str">
        <x:v>مستقبلي</x:v>
      </x:c>
    </x:row>
    <x:row r="24">
      <x:c r="A24" s="12" t="str">
        <x:v>2026-08</x:v>
      </x:c>
      <x:c r="B24" s="14" t="n">
        <x:v>0</x:v>
      </x:c>
      <x:c r="C24" s="14" t="n">
        <x:v>0</x:v>
      </x:c>
      <x:c r="D24" s="14" t="n">
        <x:v>0</x:v>
      </x:c>
      <x:c r="E24" s="14" t="n">
        <x:f>D24-C24</x:f>
        <x:v>0</x:v>
      </x:c>
      <x:c r="F24" s="14" t="n">
        <x:f>F23+E24</x:f>
        <x:v>620000</x:v>
      </x:c>
      <x:c r="G24" s="15" t="n">
        <x:f>SUM($C$4:C24)/SUM($B$4:$B$27)</x:f>
        <x:v>1.012</x:v>
      </x:c>
      <x:c r="H24" s="15" t="n">
        <x:f>SUM($D$4:D24)/36000000</x:f>
        <x:v>0.5091666666666667</x:v>
      </x:c>
      <x:c r="I24" s="12" t="str">
        <x:v>أشهر مستقبلية ستملأ بالتوقعات</x:v>
      </x:c>
      <x:c r="J24" s="12" t="str">
        <x:v>مستقبلي</x:v>
      </x:c>
    </x:row>
    <x:row r="25">
      <x:c r="A25" s="12" t="str">
        <x:v>2026-09</x:v>
      </x:c>
      <x:c r="B25" s="14" t="n">
        <x:v>0</x:v>
      </x:c>
      <x:c r="C25" s="14" t="n">
        <x:v>0</x:v>
      </x:c>
      <x:c r="D25" s="14" t="n">
        <x:v>0</x:v>
      </x:c>
      <x:c r="E25" s="14" t="n">
        <x:f>D25-C25</x:f>
        <x:v>0</x:v>
      </x:c>
      <x:c r="F25" s="14" t="n">
        <x:f>F24+E25</x:f>
        <x:v>620000</x:v>
      </x:c>
      <x:c r="G25" s="15" t="n">
        <x:f>SUM($C$4:C25)/SUM($B$4:$B$27)</x:f>
        <x:v>1.012</x:v>
      </x:c>
      <x:c r="H25" s="15" t="n">
        <x:f>SUM($D$4:D25)/36000000</x:f>
        <x:v>0.5091666666666667</x:v>
      </x:c>
      <x:c r="I25" s="12" t="str">
        <x:v>أشهر مستقبلية ستملأ بالتوقعات</x:v>
      </x:c>
      <x:c r="J25" s="12" t="str">
        <x:v>مستقبلي</x:v>
      </x:c>
    </x:row>
    <x:row r="26">
      <x:c r="A26" s="12" t="str">
        <x:v>2026-10</x:v>
      </x:c>
      <x:c r="B26" s="14" t="n">
        <x:v>0</x:v>
      </x:c>
      <x:c r="C26" s="14" t="n">
        <x:v>0</x:v>
      </x:c>
      <x:c r="D26" s="14" t="n">
        <x:v>0</x:v>
      </x:c>
      <x:c r="E26" s="14" t="n">
        <x:f>D26-C26</x:f>
        <x:v>0</x:v>
      </x:c>
      <x:c r="F26" s="14" t="n">
        <x:f>F25+E26</x:f>
        <x:v>620000</x:v>
      </x:c>
      <x:c r="G26" s="15" t="n">
        <x:f>SUM($C$4:C26)/SUM($B$4:$B$27)</x:f>
        <x:v>1.012</x:v>
      </x:c>
      <x:c r="H26" s="15" t="n">
        <x:f>SUM($D$4:D26)/36000000</x:f>
        <x:v>0.5091666666666667</x:v>
      </x:c>
      <x:c r="I26" s="12" t="str">
        <x:v>أشهر مستقبلية ستملأ بالتوقعات</x:v>
      </x:c>
      <x:c r="J26" s="12" t="str">
        <x:v>مستقبلي</x:v>
      </x:c>
    </x:row>
    <x:row r="27">
      <x:c r="A27" s="12" t="str">
        <x:v>2026-11</x:v>
      </x:c>
      <x:c r="B27" s="14" t="n">
        <x:v>0</x:v>
      </x:c>
      <x:c r="C27" s="14" t="n">
        <x:v>0</x:v>
      </x:c>
      <x:c r="D27" s="14" t="n">
        <x:v>0</x:v>
      </x:c>
      <x:c r="E27" s="14" t="n">
        <x:f>D27-C27</x:f>
        <x:v>0</x:v>
      </x:c>
      <x:c r="F27" s="14" t="n">
        <x:f>F26+E27</x:f>
        <x:v>620000</x:v>
      </x:c>
      <x:c r="G27" s="15" t="n">
        <x:f>SUM($C$4:C27)/SUM($B$4:$B$27)</x:f>
        <x:v>1.012</x:v>
      </x:c>
      <x:c r="H27" s="15" t="n">
        <x:f>SUM($D$4:D27)/36000000</x:f>
        <x:v>0.5091666666666667</x:v>
      </x:c>
      <x:c r="I27" s="12" t="str">
        <x:v>أشهر مستقبلية ستملأ بالتوقعات</x:v>
      </x:c>
      <x:c r="J27" s="12" t="str">
        <x:v>مستقبلي</x:v>
      </x:c>
    </x:row>
  </x:sheetData>
  <x:mergeCells>
    <x:mergeCell ref="A1:J1"/>
  </x:mergeCells>
  <x:conditionalFormatting sqref="J4:J27">
    <x:cfRule type="expression" dxfId="4" priority="1">
      <x:formula>J4="منقضي"</x:formula>
    </x:cfRule>
    <x:cfRule type="expression" dxfId="5" priority="2">
      <x:formula>J4="مستقبلي"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7.860000133514404" hidden="0" customWidth="1"/>
    <x:col min="3" max="3" width="9.289999961853027" hidden="0" customWidth="1"/>
    <x:col min="4" max="4" width="36.709999084472656" hidden="0" customWidth="1"/>
    <x:col min="5" max="5" width="26.290000915527344" hidden="0" customWidth="1"/>
    <x:col min="6" max="6" width="6.570000171661377" hidden="0" customWidth="1"/>
    <x:col min="7" max="7" width="30.860000610351562" hidden="0" customWidth="1"/>
    <x:col min="8" max="8" width="14.140000343322754" hidden="0" customWidth="1"/>
    <x:col min="9" max="9" width="27.290000915527344" hidden="0" customWidth="1"/>
  </x:cols>
  <x:sheetData>
    <x:row r="1">
      <x:c r="A1" s="11" t="str">
        <x:v>تحليل الإيرادات والربحية على مستوى المشروع والفيلات</x:v>
      </x:c>
      <x:c r="B1" s="12"/>
      <x:c r="C1" s="12"/>
      <x:c r="D1" s="12"/>
      <x:c r="E1" s="12"/>
      <x:c r="F1" s="12"/>
      <x:c r="G1" s="12"/>
      <x:c r="H1" s="12"/>
      <x:c r="I1" s="12"/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</x:row>
    <x:row r="3">
      <x:c r="A3" s="13" t="str">
        <x:v>الفئة</x:v>
      </x:c>
      <x:c r="B3" s="13" t="str">
        <x:v>القيمة</x:v>
      </x:c>
      <x:c r="C3" s="13" t="str">
        <x:v>المعادلة/الأساس</x:v>
      </x:c>
      <x:c r="D3" s="13" t="str">
        <x:v>المؤشر</x:v>
      </x:c>
      <x:c r="E3" s="13" t="str">
        <x:v>القيمة</x:v>
      </x:c>
      <x:c r="F3" s="13" t="str">
        <x:v>المعادلة/الأساس</x:v>
      </x:c>
      <x:c r="G3" s="13" t="str">
        <x:v>المؤشر</x:v>
      </x:c>
      <x:c r="H3" s="13" t="str">
        <x:v>القيمة</x:v>
      </x:c>
      <x:c r="I3" s="13" t="str">
        <x:v>تعليق</x:v>
      </x:c>
    </x:row>
    <x:row r="4">
      <x:c r="A4" s="12" t="str">
        <x:v>إجمالي الإيرادات التعاقدية</x:v>
      </x:c>
      <x:c r="B4" s="14" t="n">
        <x:v>36000000</x:v>
      </x:c>
      <x:c r="C4" s="12" t="str">
        <x:v>120 × متوسط سعر البيع</x:v>
      </x:c>
      <x:c r="D4" s="12" t="str">
        <x:v>إجمالي الميزانية الأصلية</x:v>
      </x:c>
      <x:c r="E4" s="14" t="n">
        <x:v>26400000</x:v>
      </x:c>
      <x:c r="F4" s="12" t="str">
        <x:v>مرجع التمويل</x:v>
      </x:c>
      <x:c r="G4" s="12" t="str">
        <x:v>الربح الإجمالي المخطط</x:v>
      </x:c>
      <x:c r="H4" s="14" t="n">
        <x:v>9600000</x:v>
      </x:c>
      <x:c r="I4" s="12" t="str">
        <x:v>قبل الانحرافات</x:v>
      </x:c>
    </x:row>
    <x:row r="5">
      <x:c r="A5" s="12" t="str">
        <x:v>الإيراد المعترف به حتى تاريخه</x:v>
      </x:c>
      <x:c r="B5" s="14" t="n">
        <x:v>20880000</x:v>
      </x:c>
      <x:c r="C5" s="12" t="str">
        <x:v>58% من الإيرادات التعاقدية</x:v>
      </x:c>
      <x:c r="D5" s="12" t="str">
        <x:v>التكلفة الفعلية حتى تاريخه</x:v>
      </x:c>
      <x:c r="E5" s="14" t="n">
        <x:v>17584500</x:v>
      </x:c>
      <x:c r="F5" s="12" t="str">
        <x:v>من الصرف الفعلي</x:v>
      </x:c>
      <x:c r="G5" s="12" t="str">
        <x:v>الربح المحقق حتى تاريخه</x:v>
      </x:c>
      <x:c r="H5" s="14" t="n">
        <x:v>3295500</x:v>
      </x:c>
      <x:c r="I5" s="12" t="str">
        <x:v>قبل المصروفات التمويلية</x:v>
      </x:c>
    </x:row>
    <x:row r="6">
      <x:c r="A6" s="12" t="str">
        <x:v>التكلفة المتوقعة عند الإنجاز</x:v>
      </x:c>
      <x:c r="B6" s="14" t="n">
        <x:v>26884000</x:v>
      </x:c>
      <x:c r="C6" s="12" t="str">
        <x:v>إعادة التقدير الحالية</x:v>
      </x:c>
      <x:c r="D6" s="12" t="str">
        <x:v>الربح المتوقع النهائي</x:v>
      </x:c>
      <x:c r="E6" s="14" t="n">
        <x:v>9116000</x:v>
      </x:c>
      <x:c r="F6" s="12" t="str">
        <x:v>الإيرادات - EAC</x:v>
      </x:c>
      <x:c r="G6" s="12" t="str">
        <x:v>هامش الربح المتوقع</x:v>
      </x:c>
      <x:c r="H6" s="15" t="n">
        <x:v>0.2532</x:v>
      </x:c>
      <x:c r="I6" s="12" t="str">
        <x:v>مقبول</x:v>
      </x:c>
    </x:row>
    <x:row r="7">
      <x:c r="A7" s="12" t="str">
        <x:v>متوسط سعر البيع للفيلا</x:v>
      </x:c>
      <x:c r="B7" s="14" t="n">
        <x:v>300000</x:v>
      </x:c>
      <x:c r="C7" s="12" t="str">
        <x:v>معدل موزون</x:v>
      </x:c>
      <x:c r="D7" s="12" t="str">
        <x:v>متوسط التكلفة النهائية المتوقعة للفيلا</x:v>
      </x:c>
      <x:c r="E7" s="14" t="n">
        <x:v>224033.33</x:v>
      </x:c>
      <x:c r="F7" s="12" t="str">
        <x:v>EAC ÷ 120</x:v>
      </x:c>
      <x:c r="G7" s="12" t="str">
        <x:v>متوسط الربح للفيلا</x:v>
      </x:c>
      <x:c r="H7" s="14" t="n">
        <x:v>75966.67</x:v>
      </x:c>
      <x:c r="I7" s="12" t="str">
        <x:v>مؤشر جيد</x:v>
      </x:c>
    </x:row>
    <x:row r="8">
      <x:c r="A8" s="12" t="str">
        <x:v>إيرادات الفيلات المكتملة</x:v>
      </x:c>
      <x:c r="B8" s="14" t="n">
        <x:v>8850000</x:v>
      </x:c>
      <x:c r="C8" s="12" t="str">
        <x:v>30 فيلا حسب النماذج</x:v>
      </x:c>
      <x:c r="D8" s="12" t="str">
        <x:v>تكلفتها النهائية المتوقعة</x:v>
      </x:c>
      <x:c r="E8" s="14" t="n">
        <x:v>6681000</x:v>
      </x:c>
      <x:c r="F8" s="12" t="str">
        <x:v>من توزيع الفيلات</x:v>
      </x:c>
      <x:c r="G8" s="12" t="str">
        <x:v>ربح الفيلات المكتملة</x:v>
      </x:c>
      <x:c r="H8" s="14" t="n">
        <x:v>2169000</x:v>
      </x:c>
      <x:c r="I8" s="12" t="str">
        <x:v>يعكس نتائج أولية فعلية</x:v>
      </x:c>
    </x:row>
    <x:row r="9">
      <x:c r="A9" s="12" t="str">
        <x:v>إيرادات الفيلات تحت التنفيذ</x:v>
      </x:c>
      <x:c r="B9" s="14" t="n">
        <x:v>15000000</x:v>
      </x:c>
      <x:c r="C9" s="12" t="str">
        <x:v>50 فيلا حسب النماذج</x:v>
      </x:c>
      <x:c r="D9" s="12" t="str">
        <x:v>تكلفتها المتوقعة</x:v>
      </x:c>
      <x:c r="E9" s="14" t="n">
        <x:v>11200000</x:v>
      </x:c>
      <x:c r="F9" s="12" t="str">
        <x:v>من توزيع الفيلات</x:v>
      </x:c>
      <x:c r="G9" s="12" t="str">
        <x:v>ربحها المتوقع</x:v>
      </x:c>
      <x:c r="H9" s="14" t="n">
        <x:v>3800000</x:v>
      </x:c>
      <x:c r="I9" s="12" t="str">
        <x:v>أكبر كتلة ربح</x:v>
      </x:c>
    </x:row>
    <x:row r="10">
      <x:c r="A10" s="12" t="str">
        <x:v>إيرادات الفيلات المبكرة</x:v>
      </x:c>
      <x:c r="B10" s="14" t="n">
        <x:v>12150000</x:v>
      </x:c>
      <x:c r="C10" s="12" t="str">
        <x:v>40 فيلا حسب النماذج</x:v>
      </x:c>
      <x:c r="D10" s="12" t="str">
        <x:v>تكلفتها المتوقعة</x:v>
      </x:c>
      <x:c r="E10" s="14" t="n">
        <x:v>9023000</x:v>
      </x:c>
      <x:c r="F10" s="12" t="str">
        <x:v>من توزيع الفيلات</x:v>
      </x:c>
      <x:c r="G10" s="12" t="str">
        <x:v>ربحها المتوقع</x:v>
      </x:c>
      <x:c r="H10" s="14" t="n">
        <x:v>3127000</x:v>
      </x:c>
      <x:c r="I10" s="12" t="str">
        <x:v>قابلة للتحسن</x:v>
      </x:c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</x:row>
    <x:row r="13">
      <x:c r="A13" s="25" t="str">
        <x:v>مؤشرات الربحية الحساسة للإدارة العليا</x:v>
      </x:c>
      <x:c r="B13" s="12"/>
      <x:c r="C13" s="12"/>
      <x:c r="D13" s="12"/>
      <x:c r="E13" s="12"/>
      <x:c r="F13" s="12"/>
      <x:c r="G13" s="12"/>
      <x:c r="H13" s="12"/>
      <x:c r="I13" s="12"/>
    </x:row>
    <x:row r="14">
      <x:c r="A14" s="13" t="str">
        <x:v>المؤشر</x:v>
      </x:c>
      <x:c r="B14" s="13" t="str">
        <x:v>القيمة</x:v>
      </x:c>
      <x:c r="C14" s="13" t="str">
        <x:v>الوحدة</x:v>
      </x:c>
      <x:c r="D14" s="13" t="str">
        <x:v>صيغة الحساب</x:v>
      </x:c>
      <x:c r="E14" s="13" t="str">
        <x:v>القراءة التنفيذية</x:v>
      </x:c>
      <x:c r="F14" s="13" t="str">
        <x:v>الوضع</x:v>
      </x:c>
      <x:c r="G14" s="13" t="str">
        <x:v>توصية</x:v>
      </x:c>
      <x:c r="H14" s="12"/>
      <x:c r="I14" s="12"/>
    </x:row>
    <x:row r="15">
      <x:c r="A15" s="12" t="str">
        <x:v>هامش الربح المتوقع</x:v>
      </x:c>
      <x:c r="B15" s="15" t="n">
        <x:v>0.2532</x:v>
      </x:c>
      <x:c r="C15" s="12" t="str">
        <x:v>نسبة</x:v>
      </x:c>
      <x:c r="D15" s="12" t="str">
        <x:v>الربح المتوقع ÷ الإيرادات</x:v>
      </x:c>
      <x:c r="E15" s="12" t="str">
        <x:v>أعلى من 25%</x:v>
      </x:c>
      <x:c r="F15" s="12" t="str">
        <x:v>جيد</x:v>
      </x:c>
      <x:c r="G15" s="12" t="str">
        <x:v>الحفاظ على ضبط الهدر</x:v>
      </x:c>
      <x:c r="H15" s="12"/>
      <x:c r="I15" s="12"/>
    </x:row>
    <x:row r="16">
      <x:c r="A16" s="12" t="str">
        <x:v>تكلفة المتر المربع المتوقعة</x:v>
      </x:c>
      <x:c r="B16" s="14" t="n">
        <x:v>533.41</x:v>
      </x:c>
      <x:c r="C16" s="12" t="str">
        <x:v>دولار/م2</x:v>
      </x:c>
      <x:c r="D16" s="12" t="str">
        <x:v>EAC ÷ إجمالي المساحة</x:v>
      </x:c>
      <x:c r="E16" s="12" t="str">
        <x:v>ضمن النطاق المستهدف</x:v>
      </x:c>
      <x:c r="F16" s="12" t="str">
        <x:v>جيد</x:v>
      </x:c>
      <x:c r="G16" s="12" t="str">
        <x:v>مراجعة البنود عالية الانحراف</x:v>
      </x:c>
      <x:c r="H16" s="12"/>
      <x:c r="I16" s="12"/>
    </x:row>
    <x:row r="17">
      <x:c r="A17" s="12" t="str">
        <x:v>عائد المشروع على التكلفة</x:v>
      </x:c>
      <x:c r="B17" s="14" t="n">
        <x:v>0.3391</x:v>
      </x:c>
      <x:c r="C17" s="12" t="str">
        <x:v>نسبة</x:v>
      </x:c>
      <x:c r="D17" s="12" t="str">
        <x:v>الربح المتوقع ÷ EAC</x:v>
      </x:c>
      <x:c r="E17" s="12" t="str">
        <x:v>مرضٍ</x:v>
      </x:c>
      <x:c r="F17" s="12" t="str">
        <x:v>جيد</x:v>
      </x:c>
      <x:c r="G17" s="12" t="str">
        <x:v>تحسين التحصيلات</x:v>
      </x:c>
      <x:c r="H17" s="12"/>
      <x:c r="I17" s="12"/>
    </x:row>
    <x:row r="18">
      <x:c r="A18" s="12" t="str">
        <x:v>تكلفة إعادة العمل من الميزانية</x:v>
      </x:c>
      <x:c r="B18" s="15" t="n">
        <x:v>0.0174</x:v>
      </x:c>
      <x:c r="C18" s="12" t="str">
        <x:v>نسبة</x:v>
      </x:c>
      <x:c r="D18" s="12" t="str">
        <x:v>460,000 ÷ 26,400,000</x:v>
      </x:c>
      <x:c r="E18" s="12" t="str">
        <x:v>مرتفعة نسبيًا</x:v>
      </x:c>
      <x:c r="F18" s="12" t="str">
        <x:v>تحذير</x:v>
      </x:c>
      <x:c r="G18" s="12" t="str">
        <x:v>خفض العيوب المتكررة</x:v>
      </x:c>
      <x:c r="H18" s="12"/>
      <x:c r="I18" s="12"/>
    </x:row>
    <x:row r="19">
      <x:c r="A19" s="12" t="str">
        <x:v>تكلفة الهدر من الميزانية</x:v>
      </x:c>
      <x:c r="B19" s="15" t="n">
        <x:v>0.0311</x:v>
      </x:c>
      <x:c r="C19" s="12" t="str">
        <x:v>نسبة</x:v>
      </x:c>
      <x:c r="D19" s="12" t="str">
        <x:v>820,000 ÷ 26,400,000</x:v>
      </x:c>
      <x:c r="E19" s="12" t="str">
        <x:v>أعلى من الهدف</x:v>
      </x:c>
      <x:c r="F19" s="12" t="str">
        <x:v>تحذير</x:v>
      </x:c>
      <x:c r="G19" s="12" t="str">
        <x:v>تعزيز الرقابة على المواد</x:v>
      </x:c>
      <x:c r="H19" s="12"/>
      <x:c r="I19" s="12"/>
    </x:row>
    <x:row r="20">
      <x:c r="A20" s="12" t="str">
        <x:v>التحصيل إلى الصرف</x:v>
      </x:c>
      <x:c r="B20" s="15" t="n">
        <x:v>0.8258</x:v>
      </x:c>
      <x:c r="C20" s="12" t="str">
        <x:v>نسبة</x:v>
      </x:c>
      <x:c r="D20" s="12" t="str">
        <x:v>التحصيل المحقق ÷ الصرف الفعلي</x:v>
      </x:c>
      <x:c r="E20" s="12" t="str">
        <x:v>يحتاج شدًا تجاريًا</x:v>
      </x:c>
      <x:c r="F20" s="12" t="str">
        <x:v>تحذير</x:v>
      </x:c>
      <x:c r="G20" s="12" t="str">
        <x:v>تسريع التعاقد والتحصيل</x:v>
      </x:c>
      <x:c r="H20" s="12"/>
      <x:c r="I20" s="12"/>
    </x:row>
  </x:sheetData>
  <x:mergeCells>
    <x:mergeCell ref="A1:I1"/>
    <x:mergeCell ref="A13:G1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5.56999969482422" hidden="0" customWidth="1"/>
    <x:col min="4" max="4" width="24.139999389648438" hidden="0" customWidth="1"/>
    <x:col min="5" max="5" width="7.139999866485596" hidden="0" customWidth="1"/>
    <x:col min="6" max="6" width="65.56999969482422" hidden="0" customWidth="1"/>
    <x:col min="7" max="7" width="13" hidden="0" customWidth="1"/>
    <x:col min="8" max="8" width="12" hidden="0" customWidth="1"/>
    <x:col min="9" max="9" width="17" hidden="0" customWidth="1"/>
    <x:col min="10" max="10" width="42.290000915527344" hidden="0" customWidth="1"/>
  </x:cols>
  <x:sheetData>
    <x:row r="1">
      <x:c r="A1" s="11" t="str">
        <x:v>تحليل هدر الموارد والفاقد المرتبط بالجودة والتنفيذ</x:v>
      </x:c>
      <x:c r="B1" s="12"/>
      <x:c r="C1" s="12"/>
      <x:c r="D1" s="12"/>
      <x:c r="E1" s="12"/>
      <x:c r="F1" s="12"/>
      <x:c r="G1" s="12"/>
      <x:c r="H1" s="12"/>
      <x:c r="I1" s="12"/>
      <x:c r="J1" s="12"/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</x:row>
    <x:row r="3">
      <x:c r="A3" s="13" t="str">
        <x:v>المورد</x:v>
      </x:c>
      <x:c r="B3" s="13" t="str">
        <x:v>الوحدة</x:v>
      </x:c>
      <x:c r="C3" s="13" t="str">
        <x:v>الكمية المخططة</x:v>
      </x:c>
      <x:c r="D3" s="13" t="str">
        <x:v>الكمية المستهلكة</x:v>
      </x:c>
      <x:c r="E3" s="13" t="str">
        <x:v>الكمية المهدرة</x:v>
      </x:c>
      <x:c r="F3" s="13" t="str">
        <x:v>نسبة الهدر</x:v>
      </x:c>
      <x:c r="G3" s="13" t="str">
        <x:v>سعر الوحدة</x:v>
      </x:c>
      <x:c r="H3" s="13" t="str">
        <x:v>تكلفة الهدر</x:v>
      </x:c>
      <x:c r="I3" s="13" t="str">
        <x:v>الحد المستهدف</x:v>
      </x:c>
      <x:c r="J3" s="13" t="str">
        <x:v>تعليق</x:v>
      </x:c>
    </x:row>
    <x:row r="4">
      <x:c r="A4" s="12" t="str">
        <x:v>خرسانة</x:v>
      </x:c>
      <x:c r="B4" s="12" t="str">
        <x:v>م3</x:v>
      </x:c>
      <x:c r="C4" s="12" t="n">
        <x:v>10000</x:v>
      </x:c>
      <x:c r="D4" s="12" t="n">
        <x:v>10280</x:v>
      </x:c>
      <x:c r="E4" s="12" t="n">
        <x:v>280</x:v>
      </x:c>
      <x:c r="F4" s="15" t="n">
        <x:f>IF(C4=0,0,E4/C4)</x:f>
        <x:v>0.028</x:v>
      </x:c>
      <x:c r="G4" s="14" t="n">
        <x:v>112</x:v>
      </x:c>
      <x:c r="H4" s="14" t="n">
        <x:v>31360</x:v>
      </x:c>
      <x:c r="I4" s="15" t="n">
        <x:v>0.02</x:v>
      </x:c>
      <x:c r="J4" s="12" t="str">
        <x:v>ارتفاع محدود بسبب إعادة صب موضعي</x:v>
      </x:c>
    </x:row>
    <x:row r="5">
      <x:c r="A5" s="12" t="str">
        <x:v>حديد تسليح</x:v>
      </x:c>
      <x:c r="B5" s="12" t="str">
        <x:v>طن</x:v>
      </x:c>
      <x:c r="C5" s="12" t="n">
        <x:v>1980</x:v>
      </x:c>
      <x:c r="D5" s="12" t="n">
        <x:v>2036</x:v>
      </x:c>
      <x:c r="E5" s="12" t="n">
        <x:v>56</x:v>
      </x:c>
      <x:c r="F5" s="15" t="n">
        <x:f>IF(C5=0,0,E5/C5)</x:f>
        <x:v>0.028282828282828285</x:v>
      </x:c>
      <x:c r="G5" s="14" t="n">
        <x:v>925</x:v>
      </x:c>
      <x:c r="H5" s="14" t="n">
        <x:v>51800</x:v>
      </x:c>
      <x:c r="I5" s="15" t="n">
        <x:v>0.018</x:v>
      </x:c>
      <x:c r="J5" s="12" t="str">
        <x:v>فواقد قص وتقطيع</x:v>
      </x:c>
    </x:row>
    <x:row r="6">
      <x:c r="A6" s="12" t="str">
        <x:v>بلوك ومباني</x:v>
      </x:c>
      <x:c r="B6" s="12" t="str">
        <x:v>م2</x:v>
      </x:c>
      <x:c r="C6" s="12" t="n">
        <x:v>54000</x:v>
      </x:c>
      <x:c r="D6" s="12" t="n">
        <x:v>55485</x:v>
      </x:c>
      <x:c r="E6" s="12" t="n">
        <x:v>1485</x:v>
      </x:c>
      <x:c r="F6" s="15" t="n">
        <x:f>IF(C6=0,0,E6/C6)</x:f>
        <x:v>0.0275</x:v>
      </x:c>
      <x:c r="G6" s="14" t="n">
        <x:v>8.5</x:v>
      </x:c>
      <x:c r="H6" s="14" t="n">
        <x:v>12622.5</x:v>
      </x:c>
      <x:c r="I6" s="15" t="n">
        <x:v>0.022</x:v>
      </x:c>
      <x:c r="J6" s="12" t="str">
        <x:v>هدر ناتج عن تلف ومناولة</x:v>
      </x:c>
    </x:row>
    <x:row r="7">
      <x:c r="A7" s="12" t="str">
        <x:v>محارة</x:v>
      </x:c>
      <x:c r="B7" s="12" t="str">
        <x:v>م2</x:v>
      </x:c>
      <x:c r="C7" s="12" t="n">
        <x:v>51000</x:v>
      </x:c>
      <x:c r="D7" s="12" t="n">
        <x:v>52530</x:v>
      </x:c>
      <x:c r="E7" s="12" t="n">
        <x:v>1530</x:v>
      </x:c>
      <x:c r="F7" s="15" t="n">
        <x:f>IF(C7=0,0,E7/C7)</x:f>
        <x:v>0.03</x:v>
      </x:c>
      <x:c r="G7" s="14" t="n">
        <x:v>6.2</x:v>
      </x:c>
      <x:c r="H7" s="14" t="n">
        <x:v>9486</x:v>
      </x:c>
      <x:c r="I7" s="15" t="n">
        <x:v>0.025</x:v>
      </x:c>
      <x:c r="J7" s="12" t="str">
        <x:v>زيادة طفيفة</x:v>
      </x:c>
    </x:row>
    <x:row r="8">
      <x:c r="A8" s="12" t="str">
        <x:v>سيراميك وبورسلان</x:v>
      </x:c>
      <x:c r="B8" s="12" t="str">
        <x:v>م2</x:v>
      </x:c>
      <x:c r="C8" s="12" t="n">
        <x:v>25200</x:v>
      </x:c>
      <x:c r="D8" s="12" t="n">
        <x:v>26056</x:v>
      </x:c>
      <x:c r="E8" s="12" t="n">
        <x:v>856</x:v>
      </x:c>
      <x:c r="F8" s="15" t="n">
        <x:f>IF(C8=0,0,E8/C8)</x:f>
        <x:v>0.03396825396825397</x:v>
      </x:c>
      <x:c r="G8" s="14" t="n">
        <x:v>19</x:v>
      </x:c>
      <x:c r="H8" s="14" t="n">
        <x:v>16264</x:v>
      </x:c>
      <x:c r="I8" s="15" t="n">
        <x:v>0.025</x:v>
      </x:c>
      <x:c r="J8" s="12" t="str">
        <x:v>فاقد تقطيع وتركيب</x:v>
      </x:c>
    </x:row>
    <x:row r="9">
      <x:c r="A9" s="12" t="str">
        <x:v>دهانات</x:v>
      </x:c>
      <x:c r="B9" s="12" t="str">
        <x:v>لتر</x:v>
      </x:c>
      <x:c r="C9" s="12" t="n">
        <x:v>48000</x:v>
      </x:c>
      <x:c r="D9" s="12" t="n">
        <x:v>49680</x:v>
      </x:c>
      <x:c r="E9" s="12" t="n">
        <x:v>1680</x:v>
      </x:c>
      <x:c r="F9" s="15" t="n">
        <x:f>IF(C9=0,0,E9/C9)</x:f>
        <x:v>0.035</x:v>
      </x:c>
      <x:c r="G9" s="14" t="n">
        <x:v>4.8</x:v>
      </x:c>
      <x:c r="H9" s="14" t="n">
        <x:v>8064</x:v>
      </x:c>
      <x:c r="I9" s="15" t="n">
        <x:v>0.02</x:v>
      </x:c>
      <x:c r="J9" s="12" t="str">
        <x:v>هدر أعلى من المستهدف</x:v>
      </x:c>
    </x:row>
    <x:row r="10">
      <x:c r="A10" s="12" t="str">
        <x:v>كيابل وأسلاك</x:v>
      </x:c>
      <x:c r="B10" s="12" t="str">
        <x:v>متر</x:v>
      </x:c>
      <x:c r="C10" s="12" t="n">
        <x:v>390000</x:v>
      </x:c>
      <x:c r="D10" s="12" t="n">
        <x:v>399750</x:v>
      </x:c>
      <x:c r="E10" s="12" t="n">
        <x:v>9750</x:v>
      </x:c>
      <x:c r="F10" s="15" t="n">
        <x:f>IF(C10=0,0,E10/C10)</x:f>
        <x:v>0.025</x:v>
      </x:c>
      <x:c r="G10" s="14" t="n">
        <x:v>1.35</x:v>
      </x:c>
      <x:c r="H10" s="14" t="n">
        <x:v>13162.5</x:v>
      </x:c>
      <x:c r="I10" s="15" t="n">
        <x:v>0.018</x:v>
      </x:c>
      <x:c r="J10" s="12" t="str">
        <x:v>نتيجة زيادة أطوال فعلية</x:v>
      </x:c>
    </x:row>
    <x:row r="11">
      <x:c r="A11" s="12" t="str">
        <x:v>مواسير وتوصيلات</x:v>
      </x:c>
      <x:c r="B11" s="12" t="str">
        <x:v>متر</x:v>
      </x:c>
      <x:c r="C11" s="12" t="n">
        <x:v>86000</x:v>
      </x:c>
      <x:c r="D11" s="12" t="n">
        <x:v>88236</x:v>
      </x:c>
      <x:c r="E11" s="12" t="n">
        <x:v>2236</x:v>
      </x:c>
      <x:c r="F11" s="15" t="n">
        <x:f>IF(C11=0,0,E11/C11)</x:f>
        <x:v>0.026</x:v>
      </x:c>
      <x:c r="G11" s="14" t="n">
        <x:v>2.9</x:v>
      </x:c>
      <x:c r="H11" s="14" t="n">
        <x:v>6484.4</x:v>
      </x:c>
      <x:c r="I11" s="15" t="n">
        <x:v>0.02</x:v>
      </x:c>
      <x:c r="J11" s="12" t="str">
        <x:v>ضمن نطاق مقبول</x:v>
      </x:c>
    </x:row>
    <x:row r="12">
      <x:c r="A12" s="12" t="str">
        <x:v>عزل مائي</x:v>
      </x:c>
      <x:c r="B12" s="12" t="str">
        <x:v>م2</x:v>
      </x:c>
      <x:c r="C12" s="12" t="n">
        <x:v>18800</x:v>
      </x:c>
      <x:c r="D12" s="12" t="n">
        <x:v>19364</x:v>
      </x:c>
      <x:c r="E12" s="12" t="n">
        <x:v>564</x:v>
      </x:c>
      <x:c r="F12" s="15" t="n">
        <x:f>IF(C12=0,0,E12/C12)</x:f>
        <x:v>0.03</x:v>
      </x:c>
      <x:c r="G12" s="14" t="n">
        <x:v>7.4</x:v>
      </x:c>
      <x:c r="H12" s="14" t="n">
        <x:v>4173.6</x:v>
      </x:c>
      <x:c r="I12" s="15" t="n">
        <x:v>0.02</x:v>
      </x:c>
      <x:c r="J12" s="12" t="str">
        <x:v>زيادة بسبب مناطق إضافية</x:v>
      </x:c>
    </x:row>
    <x:row r="13">
      <x:c r="A13" s="12" t="str">
        <x:v>أخشاب وشدات</x:v>
      </x:c>
      <x:c r="B13" s="12" t="str">
        <x:v>م2</x:v>
      </x:c>
      <x:c r="C13" s="12" t="n">
        <x:v>22400</x:v>
      </x:c>
      <x:c r="D13" s="12" t="n">
        <x:v>23120</x:v>
      </x:c>
      <x:c r="E13" s="12" t="n">
        <x:v>720</x:v>
      </x:c>
      <x:c r="F13" s="15" t="n">
        <x:f>IF(C13=0,0,E13/C13)</x:f>
        <x:v>0.03214285714285714</x:v>
      </x:c>
      <x:c r="G13" s="14" t="n">
        <x:v>5.1</x:v>
      </x:c>
      <x:c r="H13" s="14" t="n">
        <x:v>3672</x:v>
      </x:c>
      <x:c r="I13" s="15" t="n">
        <x:v>0.025</x:v>
      </x:c>
      <x:c r="J13" s="12" t="str">
        <x:v>تحسن في الدورة الأخيرة</x:v>
      </x:c>
    </x:row>
    <x:row r="14">
      <x:c r="A14" s="12" t="str">
        <x:v>وقت عمالة مباشرة</x:v>
      </x:c>
      <x:c r="B14" s="12" t="str">
        <x:v>ساعة</x:v>
      </x:c>
      <x:c r="C14" s="12" t="n">
        <x:v>420000</x:v>
      </x:c>
      <x:c r="D14" s="12" t="n">
        <x:v>433500</x:v>
      </x:c>
      <x:c r="E14" s="12" t="n">
        <x:v>13500</x:v>
      </x:c>
      <x:c r="F14" s="15" t="n">
        <x:f>IF(C14=0,0,E14/C14)</x:f>
        <x:v>0.03214285714285714</x:v>
      </x:c>
      <x:c r="G14" s="14" t="n">
        <x:v>9.2</x:v>
      </x:c>
      <x:c r="H14" s="14" t="n">
        <x:v>124200</x:v>
      </x:c>
      <x:c r="I14" s="15" t="n">
        <x:v>0.02</x:v>
      </x:c>
      <x:c r="J14" s="12" t="str">
        <x:v>تأثير إعادة العمل والانتظار</x:v>
      </x:c>
    </x:row>
    <x:row r="15">
      <x:c r="A15" s="12" t="str">
        <x:v>معدات ومناولة</x:v>
      </x:c>
      <x:c r="B15" s="12" t="str">
        <x:v>ساعة</x:v>
      </x:c>
      <x:c r="C15" s="12" t="n">
        <x:v>16800</x:v>
      </x:c>
      <x:c r="D15" s="12" t="n">
        <x:v>17385</x:v>
      </x:c>
      <x:c r="E15" s="12" t="n">
        <x:v>585</x:v>
      </x:c>
      <x:c r="F15" s="15" t="n">
        <x:f>IF(C15=0,0,E15/C15)</x:f>
        <x:v>0.03482142857142857</x:v>
      </x:c>
      <x:c r="G15" s="14" t="n">
        <x:v>38</x:v>
      </x:c>
      <x:c r="H15" s="14" t="n">
        <x:v>22230</x:v>
      </x:c>
      <x:c r="I15" s="15" t="n">
        <x:v>0.02</x:v>
      </x:c>
      <x:c r="J15" s="12" t="str">
        <x:v>ضعف تنسيق بعض الجبهات</x:v>
      </x:c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</x:row>
    <x:row r="18">
      <x:c r="A18" s="25" t="str">
        <x:v>ملخص هدر المواد والوقت</x:v>
      </x:c>
      <x:c r="B18" s="12"/>
      <x:c r="C18" s="12"/>
      <x:c r="D18" s="12"/>
      <x:c r="E18" s="12"/>
      <x:c r="F18" s="12"/>
      <x:c r="G18" s="12"/>
      <x:c r="H18" s="12"/>
      <x:c r="I18" s="12"/>
      <x:c r="J18" s="12"/>
    </x:row>
    <x:row r="19">
      <x:c r="A19" s="13" t="str">
        <x:v>الإجمالي</x:v>
      </x:c>
      <x:c r="B19" s="13" t="str">
        <x:v>تكلفة الهدر</x:v>
      </x:c>
      <x:c r="C19" s="13" t="str">
        <x:v>نسبة الهدر من الميزانية</x:v>
      </x:c>
      <x:c r="D19" s="13" t="str">
        <x:v>نسبة الهدر المستهدفة</x:v>
      </x:c>
      <x:c r="E19" s="13" t="str">
        <x:v>الفجوة</x:v>
      </x:c>
      <x:c r="F19" s="13" t="str">
        <x:v>قراءة</x:v>
      </x:c>
      <x:c r="G19" s="12"/>
      <x:c r="H19" s="12"/>
      <x:c r="I19" s="12"/>
      <x:c r="J19" s="12"/>
    </x:row>
    <x:row r="20">
      <x:c r="A20" s="12" t="str">
        <x:v>إجمالي الهدر</x:v>
      </x:c>
      <x:c r="B20" s="14" t="n">
        <x:v>820000</x:v>
      </x:c>
      <x:c r="C20" s="15" t="n">
        <x:v>0.0311</x:v>
      </x:c>
      <x:c r="D20" s="15" t="n">
        <x:v>0.025</x:v>
      </x:c>
      <x:c r="E20" s="15" t="n">
        <x:v>0.0061</x:v>
      </x:c>
      <x:c r="F20" s="12" t="str">
        <x:v>الهدر أعلى من المستهدف ويستلزم إجراءات تصحيحية مركزة</x:v>
      </x:c>
      <x:c r="G20" s="12"/>
      <x:c r="H20" s="12"/>
      <x:c r="I20" s="12"/>
      <x:c r="J20" s="12"/>
    </x:row>
  </x:sheetData>
  <x:mergeCells>
    <x:mergeCell ref="A1:J1"/>
    <x:mergeCell ref="A18:F18"/>
  </x:mergeCells>
  <x:conditionalFormatting sqref="F4:F15">
    <x:cfRule type="colorScale" priority="1">
      <x:colorScale>
        <x:cfvo type="min"/>
        <x:cfvo type="percentile" val="50"/>
        <x:cfvo type="max"/>
        <x:color rgb="D9EAD3"/>
        <x:color rgb="FFF2CC"/>
        <x:color rgb="F4CCCC"/>
      </x:colorScale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.860000610351562" hidden="0" customWidth="1"/>
    <x:col min="2" max="2" width="31.290000915527344" hidden="0" customWidth="1"/>
    <x:col min="3" max="3" width="14.140000343322754" hidden="0" customWidth="1"/>
    <x:col min="4" max="4" width="23.43000030517578" hidden="0" customWidth="1"/>
    <x:col min="5" max="5" width="29" hidden="0" customWidth="1"/>
    <x:col min="6" max="6" width="20.139999389648438" hidden="0" customWidth="1"/>
    <x:col min="7" max="7" width="22" hidden="0" customWidth="1"/>
    <x:col min="8" max="8" width="19" hidden="0" customWidth="1"/>
    <x:col min="9" max="9" width="13.430000305175781" hidden="0" customWidth="1"/>
    <x:col min="10" max="10" width="38.13999938964844" hidden="0" customWidth="1"/>
  </x:cols>
  <x:sheetData>
    <x:row r="1">
      <x:c r="A1" s="11" t="str">
        <x:v>أداء المقاولين من منظور مالي وتشغيلي وجودة</x:v>
      </x:c>
      <x:c r="B1" s="12"/>
      <x:c r="C1" s="12"/>
      <x:c r="D1" s="12"/>
      <x:c r="E1" s="12"/>
      <x:c r="F1" s="12"/>
      <x:c r="G1" s="12"/>
      <x:c r="H1" s="12"/>
      <x:c r="I1" s="12"/>
      <x:c r="J1" s="12"/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</x:row>
    <x:row r="3">
      <x:c r="A3" s="13" t="str">
        <x:v>المقاول</x:v>
      </x:c>
      <x:c r="B3" s="13" t="str">
        <x:v>نطاق العمل</x:v>
      </x:c>
      <x:c r="C3" s="13" t="str">
        <x:v>قيمة العقد</x:v>
      </x:c>
      <x:c r="D3" s="13" t="str">
        <x:v>المصروف حتى تاريخه</x:v>
      </x:c>
      <x:c r="E3" s="13" t="str">
        <x:v>التكلفة المتوقعة عند الإنجاز</x:v>
      </x:c>
      <x:c r="F3" s="13" t="str">
        <x:v>الانحراف عن العقد</x:v>
      </x:c>
      <x:c r="G3" s="13" t="str">
        <x:v>نسبة الهدر المنسوبة</x:v>
      </x:c>
      <x:c r="H3" s="13" t="str">
        <x:v>تكلفة إعادة العمل</x:v>
      </x:c>
      <x:c r="I3" s="13" t="str">
        <x:v>تقييم الجودة</x:v>
      </x:c>
      <x:c r="J3" s="13" t="str">
        <x:v>قراءة الإدارة</x:v>
      </x:c>
    </x:row>
    <x:row r="4">
      <x:c r="A4" s="12" t="str">
        <x:v>مقاول الهيكل</x:v>
      </x:c>
      <x:c r="B4" s="12" t="str">
        <x:v>الأعمال الإنشائية</x:v>
      </x:c>
      <x:c r="C4" s="14" t="n">
        <x:v>9800000</x:v>
      </x:c>
      <x:c r="D4" s="14" t="n">
        <x:v>6864000</x:v>
      </x:c>
      <x:c r="E4" s="14" t="n">
        <x:v>9950000</x:v>
      </x:c>
      <x:c r="F4" s="14" t="n">
        <x:f>E4-C4</x:f>
        <x:v>150000</x:v>
      </x:c>
      <x:c r="G4" s="15" t="n">
        <x:v>0.029</x:v>
      </x:c>
      <x:c r="H4" s="12" t="n">
        <x:v>168000</x:v>
      </x:c>
      <x:c r="I4" s="21" t="n">
        <x:v>82</x:v>
      </x:c>
      <x:c r="J4" s="12" t="str">
        <x:v>التنفيذ قوي مع بعض تجاوزات المواد</x:v>
      </x:c>
    </x:row>
    <x:row r="5">
      <x:c r="A5" s="12" t="str">
        <x:v>مقاول التشطيبات</x:v>
      </x:c>
      <x:c r="B5" s="12" t="str">
        <x:v>الأعمال المعمارية</x:v>
      </x:c>
      <x:c r="C5" s="14" t="n">
        <x:v>7900000</x:v>
      </x:c>
      <x:c r="D5" s="14" t="n">
        <x:v>3206000</x:v>
      </x:c>
      <x:c r="E5" s="14" t="n">
        <x:v>8085000</x:v>
      </x:c>
      <x:c r="F5" s="14" t="n">
        <x:f>E5-C5</x:f>
        <x:v>185000</x:v>
      </x:c>
      <x:c r="G5" s="15" t="n">
        <x:v>0.036</x:v>
      </x:c>
      <x:c r="H5" s="12" t="n">
        <x:v>172000</x:v>
      </x:c>
      <x:c r="I5" s="21" t="n">
        <x:v>76</x:v>
      </x:c>
      <x:c r="J5" s="12" t="str">
        <x:v>أعلى هدر وإعادة عمل</x:v>
      </x:c>
    </x:row>
    <x:row r="6">
      <x:c r="A6" s="12" t="str">
        <x:v>مقاول الكهروميكانيك</x:v>
      </x:c>
      <x:c r="B6" s="12" t="str">
        <x:v>أعمال الكهرباء والميكانيكا</x:v>
      </x:c>
      <x:c r="C6" s="14" t="n">
        <x:v>4700000</x:v>
      </x:c>
      <x:c r="D6" s="14" t="n">
        <x:v>2608000</x:v>
      </x:c>
      <x:c r="E6" s="14" t="n">
        <x:v>4795000</x:v>
      </x:c>
      <x:c r="F6" s="14" t="n">
        <x:f>E6-C6</x:f>
        <x:v>95000</x:v>
      </x:c>
      <x:c r="G6" s="15" t="n">
        <x:v>0.024</x:v>
      </x:c>
      <x:c r="H6" s="12" t="n">
        <x:v>78000</x:v>
      </x:c>
      <x:c r="I6" s="21" t="n">
        <x:v>85</x:v>
      </x:c>
      <x:c r="J6" s="12" t="str">
        <x:v>مستقر نسبيًا</x:v>
      </x:c>
    </x:row>
    <x:row r="7">
      <x:c r="A7" s="12" t="str">
        <x:v>مقاول البنية الخارجية</x:v>
      </x:c>
      <x:c r="B7" s="12" t="str">
        <x:v>الطرق واللاندسكيب والأسوار</x:v>
      </x:c>
      <x:c r="C7" s="14" t="n">
        <x:v>2600000</x:v>
      </x:c>
      <x:c r="D7" s="14" t="n">
        <x:v>1504000</x:v>
      </x:c>
      <x:c r="E7" s="14" t="n">
        <x:v>2740000</x:v>
      </x:c>
      <x:c r="F7" s="14" t="n">
        <x:f>E7-C7</x:f>
        <x:v>140000</x:v>
      </x:c>
      <x:c r="G7" s="15" t="n">
        <x:v>0.028</x:v>
      </x:c>
      <x:c r="H7" s="12" t="n">
        <x:v>42000</x:v>
      </x:c>
      <x:c r="I7" s="21" t="n">
        <x:v>80</x:v>
      </x:c>
      <x:c r="J7" s="12" t="str">
        <x:v>زيادة طفيفة في البنود التجميلية</x:v>
      </x:c>
    </x:row>
  </x:sheetData>
  <x:mergeCells>
    <x:mergeCell ref="A1:J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1.290000915527344" hidden="0" customWidth="1"/>
    <x:col min="3" max="3" width="28.139999389648438" hidden="0" customWidth="1"/>
    <x:col min="4" max="4" width="10.710000038146973" hidden="0" customWidth="1"/>
    <x:col min="5" max="5" width="19.43000030517578" hidden="0" customWidth="1"/>
    <x:col min="6" max="6" width="10.859999656677246" hidden="0" customWidth="1"/>
    <x:col min="7" max="7" width="20.860000610351562" hidden="0" customWidth="1"/>
    <x:col min="8" max="8" width="18.290000915527344" hidden="0" customWidth="1"/>
    <x:col min="9" max="9" width="29.709999084472656" hidden="0" customWidth="1"/>
  </x:cols>
  <x:sheetData>
    <x:row r="1">
      <x:c r="A1" s="11" t="str">
        <x:v>سجل أوامر التغيير وأثرها المالي والزمني</x:v>
      </x:c>
      <x:c r="B1" s="12"/>
      <x:c r="C1" s="12"/>
      <x:c r="D1" s="12"/>
      <x:c r="E1" s="12"/>
      <x:c r="F1" s="12"/>
      <x:c r="G1" s="12"/>
      <x:c r="H1" s="12"/>
      <x:c r="I1" s="12"/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</x:row>
    <x:row r="3">
      <x:c r="A3" s="13" t="str">
        <x:v>رقم الأمر</x:v>
      </x:c>
      <x:c r="B3" s="13" t="str">
        <x:v>الوصف</x:v>
      </x:c>
      <x:c r="C3" s="13" t="str">
        <x:v>السبب</x:v>
      </x:c>
      <x:c r="D3" s="13" t="str">
        <x:v>القيمة</x:v>
      </x:c>
      <x:c r="E3" s="13" t="str">
        <x:v>الأثر الزمني بالأيام</x:v>
      </x:c>
      <x:c r="F3" s="13" t="str">
        <x:v>الحالة</x:v>
      </x:c>
      <x:c r="G3" s="13" t="str">
        <x:v>الجهة المعتمدة</x:v>
      </x:c>
      <x:c r="H3" s="13" t="str">
        <x:v>البند المتأثر</x:v>
      </x:c>
      <x:c r="I3" s="13" t="str">
        <x:v>تعليق</x:v>
      </x:c>
    </x:row>
    <x:row r="4">
      <x:c r="A4" s="12" t="n">
        <x:v>1</x:v>
      </x:c>
      <x:c r="B4" s="12" t="str">
        <x:v>تعزيز بعض الأسوار والبوابات</x:v>
      </x:c>
      <x:c r="C4" s="12" t="str">
        <x:v>متطلبات تسويقية</x:v>
      </x:c>
      <x:c r="D4" s="14" t="n">
        <x:v>85000</x:v>
      </x:c>
      <x:c r="E4" s="12" t="n">
        <x:v>6</x:v>
      </x:c>
      <x:c r="F4" s="12" t="str">
        <x:v>معتمد</x:v>
      </x:c>
      <x:c r="G4" s="12" t="str">
        <x:v>الإدارة العليا</x:v>
      </x:c>
      <x:c r="H4" s="12" t="str">
        <x:v>الأسوار والبوابات</x:v>
      </x:c>
      <x:c r="I4" s="12" t="str">
        <x:v>أضاف قيمة بيعية للمشروع</x:v>
      </x:c>
    </x:row>
    <x:row r="5">
      <x:c r="A5" s="12" t="n">
        <x:v>2</x:v>
      </x:c>
      <x:c r="B5" s="12" t="str">
        <x:v>تعديل مخارج كهربائية إضافية</x:v>
      </x:c>
      <x:c r="C5" s="12" t="str">
        <x:v>ملاحظات العملاء والنموذج</x:v>
      </x:c>
      <x:c r="D5" s="14" t="n">
        <x:v>62000</x:v>
      </x:c>
      <x:c r="E5" s="12" t="n">
        <x:v>3</x:v>
      </x:c>
      <x:c r="F5" s="12" t="str">
        <x:v>معتمد</x:v>
      </x:c>
      <x:c r="G5" s="12" t="str">
        <x:v>إدارة المشروع</x:v>
      </x:c>
      <x:c r="H5" s="12" t="str">
        <x:v>الكهرباء</x:v>
      </x:c>
      <x:c r="I5" s="12" t="str">
        <x:v>تأثير محدود</x:v>
      </x:c>
    </x:row>
    <x:row r="6">
      <x:c r="A6" s="12" t="n">
        <x:v>3</x:v>
      </x:c>
      <x:c r="B6" s="12" t="str">
        <x:v>زيادة طبقات عزل في مناطق مختارة</x:v>
      </x:c>
      <x:c r="C6" s="12" t="str">
        <x:v>معالجة مخاطر رطوبة</x:v>
      </x:c>
      <x:c r="D6" s="14" t="n">
        <x:v>74000</x:v>
      </x:c>
      <x:c r="E6" s="12" t="n">
        <x:v>4</x:v>
      </x:c>
      <x:c r="F6" s="12" t="str">
        <x:v>معتمد</x:v>
      </x:c>
      <x:c r="G6" s="12" t="str">
        <x:v>الجودة والاستشاري</x:v>
      </x:c>
      <x:c r="H6" s="12" t="str">
        <x:v>العزل</x:v>
      </x:c>
      <x:c r="I6" s="12" t="str">
        <x:v>منع تكلفة مستقبلية أعلى</x:v>
      </x:c>
    </x:row>
    <x:row r="7">
      <x:c r="A7" s="12" t="n">
        <x:v>4</x:v>
      </x:c>
      <x:c r="B7" s="12" t="str">
        <x:v>تحسينات لاندسكيب أمامي</x:v>
      </x:c>
      <x:c r="C7" s="12" t="str">
        <x:v>قرار تسويقي</x:v>
      </x:c>
      <x:c r="D7" s="14" t="n">
        <x:v>91000</x:v>
      </x:c>
      <x:c r="E7" s="12" t="n">
        <x:v>8</x:v>
      </x:c>
      <x:c r="F7" s="12" t="str">
        <x:v>قيد التنفيذ</x:v>
      </x:c>
      <x:c r="G7" s="12" t="str">
        <x:v>الإدارة العليا</x:v>
      </x:c>
      <x:c r="H7" s="12" t="str">
        <x:v>اللاندسكيب</x:v>
      </x:c>
      <x:c r="I7" s="12" t="str">
        <x:v>يعزز تسعير المرحلة الأخيرة</x:v>
      </x:c>
    </x:row>
    <x:row r="8">
      <x:c r="A8" s="12" t="n">
        <x:v>5</x:v>
      </x:c>
      <x:c r="B8" s="12" t="str">
        <x:v>إعادة تصميم غرف خدمات لعدد 12 فيلا</x:v>
      </x:c>
      <x:c r="C8" s="12" t="str">
        <x:v>تنسيق MEP/معماري</x:v>
      </x:c>
      <x:c r="D8" s="14" t="n">
        <x:v>43000</x:v>
      </x:c>
      <x:c r="E8" s="12" t="n">
        <x:v>5</x:v>
      </x:c>
      <x:c r="F8" s="12" t="str">
        <x:v>منجز</x:v>
      </x:c>
      <x:c r="G8" s="12" t="str">
        <x:v>إدارة المشروع</x:v>
      </x:c>
      <x:c r="H8" s="12" t="str">
        <x:v>التشطيبات/MEP</x:v>
      </x:c>
      <x:c r="I8" s="12" t="str">
        <x:v>خفض تعارضات لاحقة</x:v>
      </x:c>
    </x:row>
  </x:sheetData>
  <x:mergeCells>
    <x:mergeCell ref="A1:I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6.86000061035156" hidden="0" customWidth="1"/>
    <x:col min="2" max="2" width="10.140000343322754" hidden="0" customWidth="1"/>
    <x:col min="3" max="3" width="7.860000133514404" hidden="0" customWidth="1"/>
    <x:col min="4" max="4" width="16" hidden="0" customWidth="1"/>
    <x:col min="5" max="5" width="35" hidden="0" customWidth="1"/>
    <x:col min="6" max="6" width="16.860000610351562" hidden="0" customWidth="1"/>
    <x:col min="7" max="7" width="7" hidden="0" customWidth="1"/>
    <x:col min="8" max="8" width="16.56999969482422" hidden="0" customWidth="1"/>
    <x:col min="9" max="9" width="30.860000610351562" hidden="0" customWidth="1"/>
  </x:cols>
  <x:sheetData>
    <x:row r="1">
      <x:c r="A1" s="11" t="str">
        <x:v>سجل المخاطر المالية والتجارية</x:v>
      </x:c>
      <x:c r="B1" s="12"/>
      <x:c r="C1" s="12"/>
      <x:c r="D1" s="12"/>
      <x:c r="E1" s="12"/>
      <x:c r="F1" s="12"/>
      <x:c r="G1" s="12"/>
      <x:c r="H1" s="12"/>
      <x:c r="I1" s="12"/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</x:row>
    <x:row r="3">
      <x:c r="A3" s="13" t="str">
        <x:v>الخطر</x:v>
      </x:c>
      <x:c r="B3" s="13" t="str">
        <x:v>الاحتمالية</x:v>
      </x:c>
      <x:c r="C3" s="13" t="str">
        <x:v>الأثر</x:v>
      </x:c>
      <x:c r="D3" s="13" t="str">
        <x:v>التعرض المالي</x:v>
      </x:c>
      <x:c r="E3" s="13" t="str">
        <x:v>الاستجابة</x:v>
      </x:c>
      <x:c r="F3" s="13" t="str">
        <x:v>المالك</x:v>
      </x:c>
      <x:c r="G3" s="13" t="str">
        <x:v>الحالة</x:v>
      </x:c>
      <x:c r="H3" s="13" t="str">
        <x:v>الرصيد المتبقي</x:v>
      </x:c>
      <x:c r="I3" s="13" t="str">
        <x:v>ملاحظة</x:v>
      </x:c>
    </x:row>
    <x:row r="4">
      <x:c r="A4" s="12" t="str">
        <x:v>ارتفاع أسعار المواد الأساسية</x:v>
      </x:c>
      <x:c r="B4" s="15" t="n">
        <x:v>0.45</x:v>
      </x:c>
      <x:c r="C4" s="15" t="n">
        <x:v>0.7</x:v>
      </x:c>
      <x:c r="D4" s="14" t="n">
        <x:v>380000</x:v>
      </x:c>
      <x:c r="E4" s="12" t="str">
        <x:v>شراء مجمّع وتثبيت أسعار جزئي</x:v>
      </x:c>
      <x:c r="F4" s="12" t="str">
        <x:v>الإدارة التعاقدية</x:v>
      </x:c>
      <x:c r="G4" s="12" t="str">
        <x:v>قائم</x:v>
      </x:c>
      <x:c r="H4" s="14" t="n">
        <x:v>210000</x:v>
      </x:c>
      <x:c r="I4" s="12" t="str">
        <x:v>تم تخفيف جزء من الأثر</x:v>
      </x:c>
    </x:row>
    <x:row r="5">
      <x:c r="A5" s="12" t="str">
        <x:v>تباطؤ التحصيلات البيعية</x:v>
      </x:c>
      <x:c r="B5" s="15" t="n">
        <x:v>0.4</x:v>
      </x:c>
      <x:c r="C5" s="15" t="n">
        <x:v>0.65</x:v>
      </x:c>
      <x:c r="D5" s="14" t="n">
        <x:v>520000</x:v>
      </x:c>
      <x:c r="E5" s="12" t="str">
        <x:v>تعزيز التحصيل وخطط سداد</x:v>
      </x:c>
      <x:c r="F5" s="12" t="str">
        <x:v>الإدارة التجارية</x:v>
      </x:c>
      <x:c r="G5" s="12" t="str">
        <x:v>قائم</x:v>
      </x:c>
      <x:c r="H5" s="14" t="n">
        <x:v>330000</x:v>
      </x:c>
      <x:c r="I5" s="12" t="str">
        <x:v>الخطر الأهم تجاريًا</x:v>
      </x:c>
    </x:row>
    <x:row r="6">
      <x:c r="A6" s="12" t="str">
        <x:v>زيادة إعادة العمل في التشطيبات</x:v>
      </x:c>
      <x:c r="B6" s="15" t="n">
        <x:v>0.35</x:v>
      </x:c>
      <x:c r="C6" s="15" t="n">
        <x:v>0.55</x:v>
      </x:c>
      <x:c r="D6" s="14" t="n">
        <x:v>180000</x:v>
      </x:c>
      <x:c r="E6" s="12" t="str">
        <x:v>تفتيش إضافي واعتمادات مسبقة</x:v>
      </x:c>
      <x:c r="F6" s="12" t="str">
        <x:v>الجودة/الموقع</x:v>
      </x:c>
      <x:c r="G6" s="12" t="str">
        <x:v>قائم</x:v>
      </x:c>
      <x:c r="H6" s="14" t="n">
        <x:v>95000</x:v>
      </x:c>
      <x:c r="I6" s="12" t="str">
        <x:v>قابل للخفض</x:v>
      </x:c>
    </x:row>
    <x:row r="7">
      <x:c r="A7" s="12" t="str">
        <x:v>تأخر مورد رئيسي</x:v>
      </x:c>
      <x:c r="B7" s="15" t="n">
        <x:v>0.2</x:v>
      </x:c>
      <x:c r="C7" s="15" t="n">
        <x:v>0.45</x:v>
      </x:c>
      <x:c r="D7" s="14" t="n">
        <x:v>90000</x:v>
      </x:c>
      <x:c r="E7" s="12" t="str">
        <x:v>بدائل موردين ومخزون أمان</x:v>
      </x:c>
      <x:c r="F7" s="12" t="str">
        <x:v>المشتريات</x:v>
      </x:c>
      <x:c r="G7" s="12" t="str">
        <x:v>مخفف</x:v>
      </x:c>
      <x:c r="H7" s="14" t="n">
        <x:v>35000</x:v>
      </x:c>
      <x:c r="I7" s="12" t="str">
        <x:v>تحت السيطرة</x:v>
      </x:c>
    </x:row>
    <x:row r="8">
      <x:c r="A8" s="12" t="str">
        <x:v>طلبات تخصيص وتعديل من العملاء</x:v>
      </x:c>
      <x:c r="B8" s="15" t="n">
        <x:v>0.3</x:v>
      </x:c>
      <x:c r="C8" s="15" t="n">
        <x:v>0.5</x:v>
      </x:c>
      <x:c r="D8" s="14" t="n">
        <x:v>145000</x:v>
      </x:c>
      <x:c r="E8" s="12" t="str">
        <x:v>تسعير التعديل واعتماد مبكر</x:v>
      </x:c>
      <x:c r="F8" s="12" t="str">
        <x:v>الإدارة التجارية</x:v>
      </x:c>
      <x:c r="G8" s="12" t="str">
        <x:v>قائم</x:v>
      </x:c>
      <x:c r="H8" s="14" t="n">
        <x:v>70000</x:v>
      </x:c>
      <x:c r="I8" s="12" t="str">
        <x:v>قد تضيف ربحًا إن أُديرت جيدًا</x:v>
      </x:c>
    </x:row>
  </x:sheetData>
  <x:mergeCells>
    <x:mergeCell ref="A1:I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9.430000305175781" hidden="0" customWidth="1"/>
    <x:col min="2" max="2" width="23.56999969482422" hidden="0" customWidth="1"/>
    <x:col min="3" max="3" width="12" hidden="0" customWidth="1"/>
    <x:col min="4" max="4" width="7.289999961853027" hidden="0" customWidth="1"/>
    <x:col min="5" max="5" width="22.290000915527344" hidden="0" customWidth="1"/>
    <x:col min="6" max="6" width="12" hidden="0" customWidth="1"/>
    <x:col min="7" max="7" width="8.289999961853027" hidden="0" customWidth="1"/>
    <x:col min="8" max="8" width="50.56999969482422" hidden="0" customWidth="1"/>
  </x:cols>
  <x:sheetData>
    <x:row r="1">
      <x:c r="A1" s="11" t="str">
        <x:v>ملخص تنفيذي مناسب لمجلس الإدارة والإدارة العليا والتنفيذ</x:v>
      </x:c>
      <x:c r="B1" s="12"/>
      <x:c r="C1" s="12"/>
      <x:c r="D1" s="12"/>
      <x:c r="E1" s="12"/>
      <x:c r="F1" s="12"/>
      <x:c r="G1" s="12"/>
      <x:c r="H1" s="12"/>
    </x:row>
    <x:row r="2">
      <x:c r="A2" s="12"/>
      <x:c r="B2" s="12"/>
      <x:c r="C2" s="12"/>
      <x:c r="D2" s="12"/>
      <x:c r="E2" s="12"/>
      <x:c r="F2" s="12"/>
      <x:c r="G2" s="12"/>
      <x:c r="H2" s="12"/>
    </x:row>
    <x:row r="3">
      <x:c r="A3" s="13" t="str">
        <x:v>المحور</x:v>
      </x:c>
      <x:c r="B3" s="13" t="str">
        <x:v>المؤشر</x:v>
      </x:c>
      <x:c r="C3" s="13" t="str">
        <x:v>القيمة</x:v>
      </x:c>
      <x:c r="D3" s="13" t="str">
        <x:v>الوحدة</x:v>
      </x:c>
      <x:c r="E3" s="13" t="str">
        <x:v>المستوى المستهدف</x:v>
      </x:c>
      <x:c r="F3" s="13" t="str">
        <x:v>الفجوة</x:v>
      </x:c>
      <x:c r="G3" s="13" t="str">
        <x:v>الحكم</x:v>
      </x:c>
      <x:c r="H3" s="13" t="str">
        <x:v>التوصية المباشرة</x:v>
      </x:c>
    </x:row>
    <x:row r="4">
      <x:c r="A4" s="12" t="str">
        <x:v>الربحية</x:v>
      </x:c>
      <x:c r="B4" s="12" t="str">
        <x:v>هامش الربح المتوقع</x:v>
      </x:c>
      <x:c r="C4" s="15" t="n">
        <x:v>0.2532</x:v>
      </x:c>
      <x:c r="D4" s="15" t="str">
        <x:v>نسبة</x:v>
      </x:c>
      <x:c r="E4" s="15" t="n">
        <x:v>0.24</x:v>
      </x:c>
      <x:c r="F4" s="15" t="n">
        <x:v>0.0132</x:v>
      </x:c>
      <x:c r="G4" s="12" t="str">
        <x:v>إيجابي</x:v>
      </x:c>
      <x:c r="H4" s="12" t="str">
        <x:v>الحفاظ على التسعير الحالي وتعظيم التحصيلات</x:v>
      </x:c>
    </x:row>
    <x:row r="5">
      <x:c r="A5" s="12" t="str">
        <x:v>التكلفة</x:v>
      </x:c>
      <x:c r="B5" s="12" t="str">
        <x:v>الانحراف عن الميزانية</x:v>
      </x:c>
      <x:c r="C5" s="14" t="n">
        <x:v>484000</x:v>
      </x:c>
      <x:c r="D5" s="14" t="str">
        <x:v>دولار</x:v>
      </x:c>
      <x:c r="E5" s="14" t="n">
        <x:v>0</x:v>
      </x:c>
      <x:c r="F5" s="14" t="n">
        <x:v>484000</x:v>
      </x:c>
      <x:c r="G5" s="12" t="str">
        <x:v>متوسط</x:v>
      </x:c>
      <x:c r="H5" s="12" t="str">
        <x:v>التركيز على التشطيبات والهدر</x:v>
      </x:c>
    </x:row>
    <x:row r="6">
      <x:c r="A6" s="12" t="str">
        <x:v>الجودة</x:v>
      </x:c>
      <x:c r="B6" s="12" t="str">
        <x:v>تكلفة إعادة العمل</x:v>
      </x:c>
      <x:c r="C6" s="14" t="n">
        <x:v>460000</x:v>
      </x:c>
      <x:c r="D6" s="14" t="str">
        <x:v>دولار</x:v>
      </x:c>
      <x:c r="E6" s="14" t="n">
        <x:v>240000</x:v>
      </x:c>
      <x:c r="F6" s="14" t="n">
        <x:v>220000</x:v>
      </x:c>
      <x:c r="G6" s="12" t="str">
        <x:v>تحذير</x:v>
      </x:c>
      <x:c r="H6" s="12" t="str">
        <x:v>خطة علاج موقعي أسبوعية</x:v>
      </x:c>
    </x:row>
    <x:row r="7">
      <x:c r="A7" s="12" t="str">
        <x:v>الهدر</x:v>
      </x:c>
      <x:c r="B7" s="12" t="str">
        <x:v>نسبة الهدر الفعلية</x:v>
      </x:c>
      <x:c r="C7" s="15" t="n">
        <x:v>0.0311</x:v>
      </x:c>
      <x:c r="D7" s="15" t="str">
        <x:v>نسبة</x:v>
      </x:c>
      <x:c r="E7" s="15" t="n">
        <x:v>0.025</x:v>
      </x:c>
      <x:c r="F7" s="15" t="n">
        <x:v>0.0061</x:v>
      </x:c>
      <x:c r="G7" s="12" t="str">
        <x:v>تحذير</x:v>
      </x:c>
      <x:c r="H7" s="12" t="str">
        <x:v>ضبط الصرف والمناولة</x:v>
      </x:c>
    </x:row>
    <x:row r="8">
      <x:c r="A8" s="12" t="str">
        <x:v>الزمن</x:v>
      </x:c>
      <x:c r="B8" s="12" t="str">
        <x:v>مدة التمديد المتوقعة</x:v>
      </x:c>
      <x:c r="C8" s="21" t="n">
        <x:v>2</x:v>
      </x:c>
      <x:c r="D8" s="21" t="str">
        <x:v>شهر</x:v>
      </x:c>
      <x:c r="E8" s="21" t="n">
        <x:v>0</x:v>
      </x:c>
      <x:c r="F8" s="21" t="n">
        <x:v>2</x:v>
      </x:c>
      <x:c r="G8" s="12" t="str">
        <x:v>تحذير</x:v>
      </x:c>
      <x:c r="H8" s="12" t="str">
        <x:v>تسريع الجبهات الحرجة</x:v>
      </x:c>
    </x:row>
    <x:row r="9">
      <x:c r="A9" s="12" t="str">
        <x:v>السيولة</x:v>
      </x:c>
      <x:c r="B9" s="12" t="str">
        <x:v>التحصيل إلى الصرف</x:v>
      </x:c>
      <x:c r="C9" s="15" t="n">
        <x:v>0.8258</x:v>
      </x:c>
      <x:c r="D9" s="15" t="str">
        <x:v>نسبة</x:v>
      </x:c>
      <x:c r="E9" s="15" t="n">
        <x:v>0.95</x:v>
      </x:c>
      <x:c r="F9" s="15" t="n">
        <x:v>-0.1242</x:v>
      </x:c>
      <x:c r="G9" s="12" t="str">
        <x:v>تحذير</x:v>
      </x:c>
      <x:c r="H9" s="12" t="str">
        <x:v>تعزيز التحصيل التجاري</x:v>
      </x:c>
    </x:row>
    <x:row r="10">
      <x:c r="A10" s="12" t="str">
        <x:v>التنفيذ</x:v>
      </x:c>
      <x:c r="B10" s="12" t="str">
        <x:v>نسبة الإنجاز الحالية</x:v>
      </x:c>
      <x:c r="C10" s="15" t="n">
        <x:v>0.65</x:v>
      </x:c>
      <x:c r="D10" s="15" t="str">
        <x:v>نسبة</x:v>
      </x:c>
      <x:c r="E10" s="15" t="n">
        <x:v>0.65</x:v>
      </x:c>
      <x:c r="F10" s="15" t="n">
        <x:v>0</x:v>
      </x:c>
      <x:c r="G10" s="12" t="str">
        <x:v>مطابق</x:v>
      </x:c>
      <x:c r="H10" s="12" t="str">
        <x:v>استمرار المتابعة الحالية</x:v>
      </x:c>
    </x:row>
    <x:row r="11">
      <x:c r="A11" s="12" t="str">
        <x:v>المبيعات</x:v>
      </x:c>
      <x:c r="B11" s="12" t="str">
        <x:v>نسبة البيع المحققة</x:v>
      </x:c>
      <x:c r="C11" s="15" t="n">
        <x:v>0.58</x:v>
      </x:c>
      <x:c r="D11" s="15" t="str">
        <x:v>نسبة</x:v>
      </x:c>
      <x:c r="E11" s="15" t="n">
        <x:v>0.6</x:v>
      </x:c>
      <x:c r="F11" s="15" t="n">
        <x:v>-0.02</x:v>
      </x:c>
      <x:c r="G11" s="12" t="str">
        <x:v>مقبول</x:v>
      </x:c>
      <x:c r="H11" s="12" t="str">
        <x:v>دفع المرحلة التسويقية التالية</x:v>
      </x:c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1.860000610351562" hidden="0" customWidth="1"/>
    <x:col min="2" max="2" width="18.709999084472656" hidden="0" customWidth="1"/>
    <x:col min="4" max="4" width="13.859999656677246" hidden="0" customWidth="1"/>
    <x:col min="5" max="5" width="5.429999828338623" hidden="0" customWidth="1"/>
    <x:col min="6" max="6" width="17.290000915527344" hidden="0" customWidth="1"/>
    <x:col min="7" max="7" width="15.430000305175781" hidden="0" customWidth="1"/>
  </x:cols>
  <x:sheetData>
    <x:row r="1">
      <x:c r="A1" s="11" t="str">
        <x:v>لوحة قيادة مالية وتشغيلية - مشروع 120 فيلا</x:v>
      </x:c>
      <x:c r="B1" s="12"/>
      <x:c r="C1" s="12"/>
      <x:c r="D1" s="12"/>
      <x:c r="E1" s="12"/>
      <x:c r="F1" s="12"/>
      <x:c r="G1" s="12"/>
    </x:row>
    <x:row r="2">
      <x:c r="A2" s="12"/>
      <x:c r="B2" s="12"/>
      <x:c r="C2" s="12"/>
      <x:c r="D2" s="12"/>
      <x:c r="E2" s="12"/>
      <x:c r="F2" s="12"/>
      <x:c r="G2" s="12"/>
    </x:row>
    <x:row r="3">
      <x:c r="A3" s="13" t="str">
        <x:v>المؤشر</x:v>
      </x:c>
      <x:c r="B3" s="13" t="str">
        <x:v>القيمة</x:v>
      </x:c>
      <x:c r="C3" s="12"/>
      <x:c r="D3" s="13" t="str">
        <x:v>الحالة</x:v>
      </x:c>
      <x:c r="E3" s="13" t="str">
        <x:v>العدد</x:v>
      </x:c>
      <x:c r="F3" s="13" t="str">
        <x:v>التكلفة المتوقعة</x:v>
      </x:c>
      <x:c r="G3" s="13" t="str">
        <x:v>الإيراد المتوقع</x:v>
      </x:c>
    </x:row>
    <x:row r="4">
      <x:c r="A4" s="12" t="str">
        <x:v>إجمالي الإيرادات التعاقدية</x:v>
      </x:c>
      <x:c r="B4" s="14" t="n">
        <x:v>36000000</x:v>
      </x:c>
      <x:c r="C4" s="12"/>
      <x:c r="D4" s="12" t="str">
        <x:v>مكتملة</x:v>
      </x:c>
      <x:c r="E4" s="12" t="n">
        <x:v>30</x:v>
      </x:c>
      <x:c r="F4" s="14" t="n">
        <x:v>6681000</x:v>
      </x:c>
      <x:c r="G4" s="14" t="n">
        <x:v>8850000</x:v>
      </x:c>
    </x:row>
    <x:row r="5">
      <x:c r="A5" s="12" t="str">
        <x:v>الميزانية الأصلية</x:v>
      </x:c>
      <x:c r="B5" s="14" t="n">
        <x:v>26400000</x:v>
      </x:c>
      <x:c r="C5" s="12"/>
      <x:c r="D5" s="12" t="str">
        <x:v>تحت التنفيذ</x:v>
      </x:c>
      <x:c r="E5" s="12" t="n">
        <x:v>50</x:v>
      </x:c>
      <x:c r="F5" s="14" t="n">
        <x:v>11200000</x:v>
      </x:c>
      <x:c r="G5" s="14" t="n">
        <x:v>15000000</x:v>
      </x:c>
    </x:row>
    <x:row r="6">
      <x:c r="A6" s="12" t="str">
        <x:v>التكلفة المتوقعة عند الإنجاز</x:v>
      </x:c>
      <x:c r="B6" s="14" t="n">
        <x:v>26884000</x:v>
      </x:c>
      <x:c r="C6" s="12"/>
      <x:c r="D6" s="12" t="str">
        <x:v>مرحلة مبكرة</x:v>
      </x:c>
      <x:c r="E6" s="12" t="n">
        <x:v>40</x:v>
      </x:c>
      <x:c r="F6" s="14" t="n">
        <x:v>9023000</x:v>
      </x:c>
      <x:c r="G6" s="14" t="n">
        <x:v>12150000</x:v>
      </x:c>
    </x:row>
    <x:row r="7">
      <x:c r="A7" s="12" t="str">
        <x:v>الربح المتوقع النهائي</x:v>
      </x:c>
      <x:c r="B7" s="14" t="n">
        <x:v>9116000</x:v>
      </x:c>
      <x:c r="C7" s="12"/>
      <x:c r="D7" s="12" t="str">
        <x:v>الإجمالي</x:v>
      </x:c>
      <x:c r="E7" s="12" t="n">
        <x:v>120</x:v>
      </x:c>
      <x:c r="F7" s="14" t="n">
        <x:v>26804000</x:v>
      </x:c>
      <x:c r="G7" s="14" t="n">
        <x:v>36000000</x:v>
      </x:c>
    </x:row>
    <x:row r="8">
      <x:c r="A8" s="12" t="str">
        <x:v>هامش الربح المتوقع</x:v>
      </x:c>
      <x:c r="B8" s="15" t="n">
        <x:v>0.2532</x:v>
      </x:c>
      <x:c r="C8" s="12"/>
      <x:c r="D8" s="12"/>
      <x:c r="E8" s="12"/>
      <x:c r="F8" s="12"/>
      <x:c r="G8" s="12"/>
    </x:row>
    <x:row r="9">
      <x:c r="A9" s="12" t="str">
        <x:v>الصرف الفعلي حتى تاريخه</x:v>
      </x:c>
      <x:c r="B9" s="15" t="n">
        <x:v>17584500</x:v>
      </x:c>
      <x:c r="C9" s="12"/>
      <x:c r="D9" s="12"/>
      <x:c r="E9" s="12"/>
      <x:c r="F9" s="12"/>
      <x:c r="G9" s="12"/>
    </x:row>
    <x:row r="10">
      <x:c r="A10" s="12" t="str">
        <x:v>الإيراد المعترف به حتى تاريخه</x:v>
      </x:c>
      <x:c r="B10" s="14" t="n">
        <x:v>20880000</x:v>
      </x:c>
      <x:c r="C10" s="12"/>
      <x:c r="D10" s="12"/>
      <x:c r="E10" s="12"/>
      <x:c r="F10" s="12"/>
      <x:c r="G10" s="12"/>
    </x:row>
    <x:row r="11">
      <x:c r="A11" s="12" t="str">
        <x:v>نسبة الإنجاز الحالية</x:v>
      </x:c>
      <x:c r="B11" s="21" t="n">
        <x:v>0.65</x:v>
      </x:c>
      <x:c r="C11" s="12"/>
      <x:c r="D11" s="12"/>
      <x:c r="E11" s="12"/>
      <x:c r="F11" s="12"/>
      <x:c r="G11" s="12"/>
    </x:row>
    <x:row r="12">
      <x:c r="A12" s="12" t="str">
        <x:v>نسبة الهدر الفعلية</x:v>
      </x:c>
      <x:c r="B12" s="21" t="n">
        <x:v>0.0311</x:v>
      </x:c>
      <x:c r="C12" s="12"/>
      <x:c r="D12" s="12"/>
      <x:c r="E12" s="12"/>
      <x:c r="F12" s="12"/>
      <x:c r="G12" s="12"/>
    </x:row>
    <x:row r="13">
      <x:c r="A13" s="12" t="str">
        <x:v>تكلفة إعادة العمل</x:v>
      </x:c>
      <x:c r="B13" s="21" t="n">
        <x:v>460000</x:v>
      </x:c>
      <x:c r="C13" s="12"/>
      <x:c r="D13" s="12"/>
      <x:c r="E13" s="12"/>
      <x:c r="F13" s="12"/>
      <x:c r="G13" s="12"/>
    </x:row>
    <x:row r="14">
      <x:c r="A14" s="12" t="str">
        <x:v>الفيلات المكتملة</x:v>
      </x:c>
      <x:c r="B14" s="21" t="n">
        <x:v>30</x:v>
      </x:c>
      <x:c r="C14" s="12"/>
      <x:c r="D14" s="12"/>
      <x:c r="E14" s="12"/>
      <x:c r="F14" s="12"/>
      <x:c r="G14" s="12"/>
    </x:row>
    <x:row r="15">
      <x:c r="A15" s="12" t="str">
        <x:v>الفيلات تحت التنفيذ</x:v>
      </x:c>
      <x:c r="B15" s="21" t="n">
        <x:v>50</x:v>
      </x:c>
      <x:c r="C15" s="12"/>
      <x:c r="D15" s="12"/>
      <x:c r="E15" s="12"/>
      <x:c r="F15" s="12"/>
      <x:c r="G15" s="12"/>
    </x:row>
    <x:row r="16">
      <x:c r="A16" s="12" t="str">
        <x:v>الفيلات المبكرة</x:v>
      </x:c>
      <x:c r="B16" s="21" t="n">
        <x:v>40</x:v>
      </x:c>
      <x:c r="C16" s="12"/>
      <x:c r="D16" s="12"/>
      <x:c r="E16" s="12"/>
      <x:c r="F16" s="12"/>
      <x:c r="G16" s="12"/>
    </x:row>
  </x:sheetData>
  <x:mergeCells>
    <x:mergeCell ref="A1:N1"/>
  </x:mergeCells>
  <x:pageMargins left="0.7" right="0.7" top="0.75" bottom="0.75" header="0.3" footer="0.3"/>
  <x:drawing xmlns:r="http://schemas.openxmlformats.org/officeDocument/2006/relationships" r:id="Re609f8fdd8654dad"/>
</x:worksheet>
</file>