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لوحة_التحكم" sheetId="1" r:id="rId5"/>
    <sheet name="المدخلات" sheetId="2" r:id="rId6"/>
    <sheet name="هيكل_الجودة" sheetId="3" r:id="rId7"/>
    <sheet name="متابعة_الفيلات" sheetId="4" r:id="rId8"/>
    <sheet name="الفحوصات_والاختبارات" sheetId="5" r:id="rId9"/>
    <sheet name="العيوب_والملاحظات" sheetId="6" r:id="rId10"/>
    <sheet name="المواد_والكميات" sheetId="7" r:id="rId11"/>
    <sheet name="هدر_الموارد" sheetId="8" r:id="rId12"/>
    <sheet name="أداء_المقاولين" sheetId="9" r:id="rId13"/>
    <sheet name="المخاطر" sheetId="10" r:id="rId14"/>
    <sheet name="الاستلام_والتسليم" sheetId="11" r:id="rId15"/>
    <sheet name="قوائم" sheetId="12" r:id="rId1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<sst xmlns="http://schemas.openxmlformats.org/spreadsheetml/2006/main" uniqueCount="1576">
  <si>
    <t>لوحة التحكم التنفيذية – تقرير ضمان الجودة الفني</t>
  </si>
  <si>
    <t>نموذج تشغيلي تراكمي لمجمع سكني يضم 120 فيلا – جميع المؤشرات مرتبطة بالشيتات التشغيلية</t>
  </si>
  <si>
    <t>المؤشرات التنفيذية الرئيسية</t>
  </si>
  <si>
    <t>توزيع الفيلات حسب المرحلة</t>
  </si>
  <si>
    <t>أبرز ملاحظات الإدارة</t>
  </si>
  <si>
    <t>المؤشر</t>
  </si>
  <si>
    <t>القيمة</t>
  </si>
  <si>
    <t>المستهدف</t>
  </si>
  <si>
    <t>الحالة</t>
  </si>
  <si>
    <t>تعليق</t>
  </si>
  <si>
    <t>المرحلة</t>
  </si>
  <si>
    <t>العدد</t>
  </si>
  <si>
    <t>أولوية 1</t>
  </si>
  <si>
    <t>خفض هدر اللياسة والدهانات وربطه بالاستلام الموقعي</t>
  </si>
  <si>
    <t>إجمالي عدد الفيلات</t>
  </si>
  <si>
    <t>ضمن الهدف</t>
  </si>
  <si>
    <t>حجم المشروع</t>
  </si>
  <si>
    <t>حفر</t>
  </si>
  <si>
    <t>أولوية 2</t>
  </si>
  <si>
    <t>رفع القبول من أول مرة في التشطيبات النهائية</t>
  </si>
  <si>
    <t>متوسط الإنجاز الكلي</t>
  </si>
  <si>
    <t>قريب من الهدف</t>
  </si>
  <si>
    <t>التراكم حتى تاريخ التقرير</t>
  </si>
  <si>
    <t>أساسات</t>
  </si>
  <si>
    <t>أولوية 3</t>
  </si>
  <si>
    <t>إغلاق العيوب الحرجة قبل دفعة التسليم التالية</t>
  </si>
  <si>
    <t>مؤشر الجودة العام</t>
  </si>
  <si>
    <t>ناتج الأوزان المحققة</t>
  </si>
  <si>
    <t>هيكل</t>
  </si>
  <si>
    <t>أولوية 4</t>
  </si>
  <si>
    <t>الاستمرار في تحديث سجل المخاطر وربطه بالقرار التنفيذي</t>
  </si>
  <si>
    <t>نسبة القبول من أول مرة</t>
  </si>
  <si>
    <t>جودة التنفيذ قبل إعادة الفحص</t>
  </si>
  <si>
    <t>كهروميكانيك</t>
  </si>
  <si>
    <t>نسبة إغلاق العيوب</t>
  </si>
  <si>
    <t>بحاجة إلى تحسين</t>
  </si>
  <si>
    <t>سرعة الإغلاق مقارنة بإجمالي العيوب</t>
  </si>
  <si>
    <t>تشطيبات</t>
  </si>
  <si>
    <t>نسبة الهدر المباشر</t>
  </si>
  <si>
    <t>كلما انخفضت كانت الكفاءة أعلى</t>
  </si>
  <si>
    <t>مكتملة</t>
  </si>
  <si>
    <t>العيوب المفتوحة</t>
  </si>
  <si>
    <t>حجم الملاحظات غير المغلقة</t>
  </si>
  <si>
    <t>الفيلات الجاهزة للتسليم</t>
  </si>
  <si>
    <t>جاهزة للاستلام الابتدائي</t>
  </si>
  <si>
    <t>ملخص أداء المقاولين</t>
  </si>
  <si>
    <t>المقاول</t>
  </si>
  <si>
    <t>التقييم النهائي</t>
  </si>
  <si>
    <t>شركة البنيان المتقدم</t>
  </si>
  <si>
    <t>شركة الأنظمة المتكاملة</t>
  </si>
  <si>
    <t>شركة الإتقان للتشطيبات</t>
  </si>
  <si>
    <t>شركة العزل والبنية الحديثة</t>
  </si>
  <si>
    <t>مدخلات المشروع والمقاييس المرجعية</t>
  </si>
  <si>
    <t>يضم معلومات المشروع الأساسية، القيم المرجعية، والمؤشرات المحسوبة التي تغذي لوحة التحكم وهيكل الجودة</t>
  </si>
  <si>
    <t>بيانات المشروع الأساسية</t>
  </si>
  <si>
    <t>اسم المشروع</t>
  </si>
  <si>
    <t>مشروع عينة لمجمع سكني – 120 فيلا</t>
  </si>
  <si>
    <t>تاريخ بدء المشروع</t>
  </si>
  <si>
    <t>تاريخ التقرير</t>
  </si>
  <si>
    <t>مدة المشروع المخططة</t>
  </si>
  <si>
    <t>24 شهر</t>
  </si>
  <si>
    <t>عدد الفيلات</t>
  </si>
  <si>
    <t>عدد القطاعات</t>
  </si>
  <si>
    <t>الميزانية الكلية</t>
  </si>
  <si>
    <t>قيمة الأعمال المنفذة حتى التقرير</t>
  </si>
  <si>
    <t>متوسط الإنجاز التراكمي المستهدف حتى التقرير</t>
  </si>
  <si>
    <t>متوسط الإنجاز الفعلي</t>
  </si>
  <si>
    <t>مقاييس مرجعية إدارية</t>
  </si>
  <si>
    <t>مؤشرات محسوبة من البيانات التشغيلية</t>
  </si>
  <si>
    <t>المؤشر المرجعي</t>
  </si>
  <si>
    <t>المؤشر المحسوب</t>
  </si>
  <si>
    <t>ملاحظة</t>
  </si>
  <si>
    <t>اكتمال خطة الجودة</t>
  </si>
  <si>
    <t>مرجعه سجل الفيلات</t>
  </si>
  <si>
    <t>انتظام اجتماعات الجودة</t>
  </si>
  <si>
    <t>مرجعها سجل الفحوصات</t>
  </si>
  <si>
    <t>وضوح الأدوار والمسؤوليات</t>
  </si>
  <si>
    <t>نسبة الفحوصات غير المرفوضة</t>
  </si>
  <si>
    <t>تتضمن المقبول بعد إعادة</t>
  </si>
  <si>
    <t>تحديث سجل المخاطر</t>
  </si>
  <si>
    <t>مرجعها سجل العيوب</t>
  </si>
  <si>
    <t>اكتمال مراجعات التصميم</t>
  </si>
  <si>
    <t>عدد العيوب المفتوحة</t>
  </si>
  <si>
    <t>الهدف خفضها تدريجيًا</t>
  </si>
  <si>
    <t>اعتماد الموردين والمواد</t>
  </si>
  <si>
    <t>متوسط مدة إغلاق العيوب</t>
  </si>
  <si>
    <t>بالأيام</t>
  </si>
  <si>
    <t>معدل مطابقة المواد الواردة</t>
  </si>
  <si>
    <t>تكلفة إعادة العمل التراكمية</t>
  </si>
  <si>
    <t>من سجل العيوب</t>
  </si>
  <si>
    <t>نظافة الموقع وإدارة المخلفات</t>
  </si>
  <si>
    <t>من شيت هدر الموارد</t>
  </si>
  <si>
    <t>الالتزام بضبط الوثائق والسجلات</t>
  </si>
  <si>
    <t>عدد الفيلات الجاهزة للتسليم</t>
  </si>
  <si>
    <t>من شيت الاستلام</t>
  </si>
  <si>
    <t>التكامل بين الجودة والسلامة</t>
  </si>
  <si>
    <t>متوسط تقييم المقاولين</t>
  </si>
  <si>
    <t>من شيت أداء المقاولين</t>
  </si>
  <si>
    <t>رضا العميل بعد التسليم</t>
  </si>
  <si>
    <t>الالتزام بإصدار التقارير الدورية</t>
  </si>
  <si>
    <t>إغلاق الإجراءات التصحيحية والوقائية</t>
  </si>
  <si>
    <t>هيكل ضمان الجودة المتكامل – البنود الرئيسية الستة عشر</t>
  </si>
  <si>
    <t>الجزء العلوي للتقييم الموزون، والجزء السفلي للتفصيل الفرعي وآليات المتابعة</t>
  </si>
  <si>
    <t>التقييم الرئيسي الموزون</t>
  </si>
  <si>
    <t>رقم</t>
  </si>
  <si>
    <t>البند الرئيسي</t>
  </si>
  <si>
    <t>الوزن النسبي</t>
  </si>
  <si>
    <t>نوع القياس</t>
  </si>
  <si>
    <t>المؤشر الحالي</t>
  </si>
  <si>
    <t>درجة التقييم</t>
  </si>
  <si>
    <t>الوزن المحقق</t>
  </si>
  <si>
    <t>الحوكمة ونظام إدارة الجودة</t>
  </si>
  <si>
    <t>أعلى أفضل</t>
  </si>
  <si>
    <t>إدارة المخاطر المرتبطة بالجودة</t>
  </si>
  <si>
    <t>ضبط جودة الدراسات والتصميمات</t>
  </si>
  <si>
    <t>إدارة التعاقدات والموردين من منظور الجودة</t>
  </si>
  <si>
    <t>جودة المواد والمنتجات</t>
  </si>
  <si>
    <t>جودة التنفيذ في الموقع</t>
  </si>
  <si>
    <t>التفتيش والاختبارات الفنية</t>
  </si>
  <si>
    <t>إدارة المخلفات والنظافة في الموقع</t>
  </si>
  <si>
    <t>إدارة العيوب وعدم المطابقة</t>
  </si>
  <si>
    <t>ضبط الوثائق والسجلات</t>
  </si>
  <si>
    <t>إدارة الجودة للمقاولين الفرعيين</t>
  </si>
  <si>
    <t>الاستلام المرحلي والنهائي</t>
  </si>
  <si>
    <t>جودة تجربة العميل بعد التسليم</t>
  </si>
  <si>
    <t>مراقبة الأداء والتحسين المستمر</t>
  </si>
  <si>
    <t>إدارة هدر الموارد وكفاءة الاستخدام</t>
  </si>
  <si>
    <t>أقل أفضل</t>
  </si>
  <si>
    <t>التفصيل الفرعي للبنود الرئيسية</t>
  </si>
  <si>
    <t>رقم البند</t>
  </si>
  <si>
    <t>البند الفرعي</t>
  </si>
  <si>
    <t>آلية المتابعة أو جهة التحقق</t>
  </si>
  <si>
    <t>وجود سياسة جودة معتمدة ومعلنة</t>
  </si>
  <si>
    <t>الإدارة الداخلية للمشروع</t>
  </si>
  <si>
    <t>تحديد المسؤوليات ونطاق الصلاحيات</t>
  </si>
  <si>
    <t>مدير المشروع وضابط الجودة</t>
  </si>
  <si>
    <t>اعتماد خطة الجودة وربطها بالجدول</t>
  </si>
  <si>
    <t>فريق التخطيط والجودة</t>
  </si>
  <si>
    <t>مراجعة دورية لمؤشرات الجودة</t>
  </si>
  <si>
    <t>اجتماع الإدارة الأسبوعي</t>
  </si>
  <si>
    <t>حصر المخاطر الفنية والتشغيلية</t>
  </si>
  <si>
    <t>سجل المخاطر</t>
  </si>
  <si>
    <t>تقييم الاحتمال والأثر</t>
  </si>
  <si>
    <t>لجنة المخاطر</t>
  </si>
  <si>
    <t>تحديث المعالجات الوقائية</t>
  </si>
  <si>
    <t>المتابعة الأسبوعية</t>
  </si>
  <si>
    <t>ربط المخاطر بنقاط الفحص الحرجة</t>
  </si>
  <si>
    <t>خطة الفحص والاختبار</t>
  </si>
  <si>
    <t>مراجعة التربة والموقع والخدمات</t>
  </si>
  <si>
    <t>الاستشاري المصمم</t>
  </si>
  <si>
    <t>كشف التعارضات بين التخصصات</t>
  </si>
  <si>
    <t>اجتماعات التنسيق</t>
  </si>
  <si>
    <t>اعتماد الرسومات التنفيذية</t>
  </si>
  <si>
    <t>سجل الاعتمادات</t>
  </si>
  <si>
    <t>التأكد من الالتزام بالأكواد</t>
  </si>
  <si>
    <t>المراجعة الفنية</t>
  </si>
  <si>
    <t>تأهيل واعتماد الموردين</t>
  </si>
  <si>
    <t>فريق المشتريات</t>
  </si>
  <si>
    <t>تضمين متطلبات الجودة في العقود</t>
  </si>
  <si>
    <t>إدارة العقود</t>
  </si>
  <si>
    <t>اعتماد المواد قبل التوريد</t>
  </si>
  <si>
    <t>ضابط الجودة</t>
  </si>
  <si>
    <t>ربط الأداء بالمستخلصات</t>
  </si>
  <si>
    <t>الإدارة المالية</t>
  </si>
  <si>
    <t>فحص المواد عند الاستلام</t>
  </si>
  <si>
    <t>مستودع وضبط جودة</t>
  </si>
  <si>
    <t>مراجعة شهادات الاختبار</t>
  </si>
  <si>
    <t>ضابط المواد</t>
  </si>
  <si>
    <t>مطابقة التخزين لمتطلبات المصنع</t>
  </si>
  <si>
    <t>فرق الموقع</t>
  </si>
  <si>
    <t>منع البدائل غير المعتمدة</t>
  </si>
  <si>
    <t>الاستشاري والمالك</t>
  </si>
  <si>
    <t>اعتماد طرق التنفيذ قبل البدء</t>
  </si>
  <si>
    <t>الاستشاري</t>
  </si>
  <si>
    <t>تطبيق نقاط التوقف ونقاط الشهود</t>
  </si>
  <si>
    <t>خطة الفحص</t>
  </si>
  <si>
    <t>مراقبة الأعمال الحرجة يوميًا</t>
  </si>
  <si>
    <t>فريق الجودة</t>
  </si>
  <si>
    <t>ضبط التشطيبات النهائية بنماذج معيارية</t>
  </si>
  <si>
    <t>فريق التشطيبات</t>
  </si>
  <si>
    <t>جدولة الفحوصات لكل نشاط</t>
  </si>
  <si>
    <t>مهندس الجودة</t>
  </si>
  <si>
    <t>تنفيذ اختبارات الخرسانة والتسليح</t>
  </si>
  <si>
    <t>المختبر</t>
  </si>
  <si>
    <t>اختبارات العزل والضغط والتشغيل</t>
  </si>
  <si>
    <t>فرق التخصصات</t>
  </si>
  <si>
    <t>إعادة الفحص بعد المعالجة</t>
  </si>
  <si>
    <t>مهندس الموقع</t>
  </si>
  <si>
    <t>خطة تجميع وفرز المخلفات</t>
  </si>
  <si>
    <t>فريق الموقع</t>
  </si>
  <si>
    <t>إزالة يومية للمخلفات من مسارات العمل</t>
  </si>
  <si>
    <t>مشرف القطاع</t>
  </si>
  <si>
    <t>منع أثر المخلفات على جودة التشطيب</t>
  </si>
  <si>
    <t>تعظيم إعادة الاستخدام والتدوير</t>
  </si>
  <si>
    <t>فريق البيئة</t>
  </si>
  <si>
    <t>فتح تقارير عدم المطابقة حسب الأصول</t>
  </si>
  <si>
    <t>تصنيف العيوب حسب الخطورة</t>
  </si>
  <si>
    <t>تتبع الإغلاق بمدد زمنية محددة</t>
  </si>
  <si>
    <t>منسق المتابعة</t>
  </si>
  <si>
    <t>تحليل الأسباب الجذرية للتكرار</t>
  </si>
  <si>
    <t>اجتماع الإجراءات التصحيحية</t>
  </si>
  <si>
    <t>إصدار الرسومات المحدثة بآخر مراجعة</t>
  </si>
  <si>
    <t>مراقب الوثائق</t>
  </si>
  <si>
    <t>حفظ سجلات الفحص والاختبار</t>
  </si>
  <si>
    <t>تتبع المراسلات والاعتمادات</t>
  </si>
  <si>
    <t>نظام الوثائق</t>
  </si>
  <si>
    <t>أرشفة ملفات التسليم</t>
  </si>
  <si>
    <t>تقييم أداء المقاولين دوريًا</t>
  </si>
  <si>
    <t>مدير المشروع</t>
  </si>
  <si>
    <t>ربط الأداء بالجودة والهدر</t>
  </si>
  <si>
    <t>تقارير الأداء</t>
  </si>
  <si>
    <t>اجتماعات جودة أسبوعية</t>
  </si>
  <si>
    <t>منسق المقاولين</t>
  </si>
  <si>
    <t>معالجة الانحرافات بشكل فوري</t>
  </si>
  <si>
    <t>فريق المتابعة</t>
  </si>
  <si>
    <t>تنفيذ جولات مشتركة</t>
  </si>
  <si>
    <t>الجودة والسلامة</t>
  </si>
  <si>
    <t>منع المعالجات غير الآمنة للعيوب</t>
  </si>
  <si>
    <t>مدير السلامة</t>
  </si>
  <si>
    <t>التأكد من حماية الأعمال المنجزة</t>
  </si>
  <si>
    <t>التحقق من تصاريح الأعمال الحرجة</t>
  </si>
  <si>
    <t>فريق السلامة</t>
  </si>
  <si>
    <t>قوائم تحقق لكل فيلا</t>
  </si>
  <si>
    <t>فريق الاستلام</t>
  </si>
  <si>
    <t>التأكد من جاهزية الوثائق</t>
  </si>
  <si>
    <t>اختبارات تشغيل قبل التسليم</t>
  </si>
  <si>
    <t>فرق التشغيل</t>
  </si>
  <si>
    <t>إعادة الفحص بعد إغلاق الملاحظات</t>
  </si>
  <si>
    <t>مطابقة التشطيبات للعينات المعتمدة</t>
  </si>
  <si>
    <t>فريق التسليم</t>
  </si>
  <si>
    <t>جاهزية الأنظمة للاستخدام</t>
  </si>
  <si>
    <t>مهندس التشغيل</t>
  </si>
  <si>
    <t>استجابة سريعة لملاحظات المالك</t>
  </si>
  <si>
    <t>خدمة العملاء</t>
  </si>
  <si>
    <t>إدارة فترة الضمان</t>
  </si>
  <si>
    <t>إدارة ما بعد التسليم</t>
  </si>
  <si>
    <t>إصدار تقارير أسبوعية وشهرية</t>
  </si>
  <si>
    <t>تحليل الانحرافات وتوجهاتها</t>
  </si>
  <si>
    <t>الإدارة الفنية</t>
  </si>
  <si>
    <t>إغلاق الإجراءات التصحيحية</t>
  </si>
  <si>
    <t>فريق التحسين</t>
  </si>
  <si>
    <t>نقل الدروس المستفادة للمراحل التالية</t>
  </si>
  <si>
    <t>مقارنة المصروف بالمستخدم فعليًا</t>
  </si>
  <si>
    <t>المستودع والتحكم</t>
  </si>
  <si>
    <t>إصدار تقارير أسبوعية وشهرية للهدر</t>
  </si>
  <si>
    <t>ضابط التكلفة</t>
  </si>
  <si>
    <t>تحليل أسباب الهدر وربطها بالأنشطة</t>
  </si>
  <si>
    <t>فريق التحليل</t>
  </si>
  <si>
    <t>اتخاذ إجراءات لتقليل إعادة العمل</t>
  </si>
  <si>
    <t>متابعة حالة الفيلات والتقدم الفني</t>
  </si>
  <si>
    <t>السجل التشغيلي الرئيس للوحدات، ويرتبط تلقائيًا بالفحوصات والعيوب والتسليم</t>
  </si>
  <si>
    <t>رقم الفيلا</t>
  </si>
  <si>
    <t>القطاع</t>
  </si>
  <si>
    <t>الطراز</t>
  </si>
  <si>
    <t>المرحلة الحالية</t>
  </si>
  <si>
    <t>نسبة الإنجاز</t>
  </si>
  <si>
    <t>المقاول الرئيسي</t>
  </si>
  <si>
    <t>إجمالي الفحوصات</t>
  </si>
  <si>
    <t>قبول من أول مرة</t>
  </si>
  <si>
    <t>نسبة القبول</t>
  </si>
  <si>
    <t>العيوب المغلقة</t>
  </si>
  <si>
    <t>تكلفة إعادة العمل</t>
  </si>
  <si>
    <t>حالة الجودة</t>
  </si>
  <si>
    <t>تاريخ التسليم المخطط</t>
  </si>
  <si>
    <t>تاريخ التسليم المتوقع</t>
  </si>
  <si>
    <t>انحراف الأيام</t>
  </si>
  <si>
    <t>حالة الوحدة</t>
  </si>
  <si>
    <t>القطاع أ</t>
  </si>
  <si>
    <t>نموذج أ</t>
  </si>
  <si>
    <t>مستقرة</t>
  </si>
  <si>
    <t>تحت التنفيذ</t>
  </si>
  <si>
    <t>نموذج ب</t>
  </si>
  <si>
    <t>نموذج ج</t>
  </si>
  <si>
    <t>حرجة</t>
  </si>
  <si>
    <t>القطاع ب</t>
  </si>
  <si>
    <t>تحت المراقبة</t>
  </si>
  <si>
    <t>القطاع ج</t>
  </si>
  <si>
    <t>قيد التجهيز</t>
  </si>
  <si>
    <t>القطاع د</t>
  </si>
  <si>
    <t>مرشحة للتسليم</t>
  </si>
  <si>
    <t>سجل الفحوصات والاختبارات الفنية</t>
  </si>
  <si>
    <t>بيانات تراكمية حتى 2026-03-31 لعدد 120 فيلا ضمن مشروع المجمع السكني</t>
  </si>
  <si>
    <t>رقم الفحص</t>
  </si>
  <si>
    <t>تاريخ الفحص</t>
  </si>
  <si>
    <t>البند المفحوص</t>
  </si>
  <si>
    <t>الجهة المنفذة</t>
  </si>
  <si>
    <t>نتيجة الفحص</t>
  </si>
  <si>
    <t>عدد مرات الإعادة</t>
  </si>
  <si>
    <t>ملاحظات</t>
  </si>
  <si>
    <t>فحص-0001</t>
  </si>
  <si>
    <t>أعمال الحفر والتسوية</t>
  </si>
  <si>
    <t>مقبول من أول مرة</t>
  </si>
  <si>
    <t>تم الفحص وفق الخطة واعتماد العمل دون ملاحظات جوهرية</t>
  </si>
  <si>
    <t>فحص-0002</t>
  </si>
  <si>
    <t>فحص-0003</t>
  </si>
  <si>
    <t>فحص-0004</t>
  </si>
  <si>
    <t>فحص-0005</t>
  </si>
  <si>
    <t>فحص-0006</t>
  </si>
  <si>
    <t>فحص-0007</t>
  </si>
  <si>
    <t>فحص-0008</t>
  </si>
  <si>
    <t>فحص-0009</t>
  </si>
  <si>
    <t>فحص-0010</t>
  </si>
  <si>
    <t>فحص-0011</t>
  </si>
  <si>
    <t>فحص-0012</t>
  </si>
  <si>
    <t>فحص-0013</t>
  </si>
  <si>
    <t>فحص-0014</t>
  </si>
  <si>
    <t>فحص-0015</t>
  </si>
  <si>
    <t>فحص-0016</t>
  </si>
  <si>
    <t>فحص-0017</t>
  </si>
  <si>
    <t>فحص-0018</t>
  </si>
  <si>
    <t>فحص-0019</t>
  </si>
  <si>
    <t>فحص-0020</t>
  </si>
  <si>
    <t>فحص-0021</t>
  </si>
  <si>
    <t>فحص-0022</t>
  </si>
  <si>
    <t>حديد القواعد والأرضيات</t>
  </si>
  <si>
    <t>فحص-0023</t>
  </si>
  <si>
    <t>صب القواعد والميدات</t>
  </si>
  <si>
    <t>فحص-0024</t>
  </si>
  <si>
    <t>مقبول بعد إعادة</t>
  </si>
  <si>
    <t>تمت المعالجة وإعادة الفحص واعتماد البند</t>
  </si>
  <si>
    <t>فحص-0025</t>
  </si>
  <si>
    <t>فحص-0026</t>
  </si>
  <si>
    <t>فحص-0027</t>
  </si>
  <si>
    <t>فحص-0028</t>
  </si>
  <si>
    <t>فحص-0029</t>
  </si>
  <si>
    <t>فحص-0030</t>
  </si>
  <si>
    <t>فحص-0031</t>
  </si>
  <si>
    <t>فحص-0032</t>
  </si>
  <si>
    <t>فحص-0033</t>
  </si>
  <si>
    <t>فحص-0034</t>
  </si>
  <si>
    <t>فحص-0035</t>
  </si>
  <si>
    <t>فحص-0036</t>
  </si>
  <si>
    <t>فحص-0037</t>
  </si>
  <si>
    <t>فحص-0038</t>
  </si>
  <si>
    <t>فحص-0039</t>
  </si>
  <si>
    <t>فحص-0040</t>
  </si>
  <si>
    <t>فحص-0041</t>
  </si>
  <si>
    <t>فحص-0042</t>
  </si>
  <si>
    <t>فحص-0043</t>
  </si>
  <si>
    <t>فحص-0044</t>
  </si>
  <si>
    <t>فحص-0045</t>
  </si>
  <si>
    <t>فحص-0046</t>
  </si>
  <si>
    <t>فحص-0047</t>
  </si>
  <si>
    <t>فحص-0048</t>
  </si>
  <si>
    <t>فحص-0049</t>
  </si>
  <si>
    <t>فحص-0050</t>
  </si>
  <si>
    <t>فحص-0051</t>
  </si>
  <si>
    <t>فحص-0052</t>
  </si>
  <si>
    <t>فحص-0053</t>
  </si>
  <si>
    <t>فحص-0054</t>
  </si>
  <si>
    <t>فحص-0055</t>
  </si>
  <si>
    <t>فحص-0056</t>
  </si>
  <si>
    <t>فحص-0057</t>
  </si>
  <si>
    <t>فحص-0058</t>
  </si>
  <si>
    <t>فحص-0059</t>
  </si>
  <si>
    <t>فحص-0060</t>
  </si>
  <si>
    <t>فحص-0061</t>
  </si>
  <si>
    <t>فحص-0062</t>
  </si>
  <si>
    <t>فحص-0063</t>
  </si>
  <si>
    <t>فحص-0064</t>
  </si>
  <si>
    <t>فحص-0065</t>
  </si>
  <si>
    <t>فحص-0066</t>
  </si>
  <si>
    <t>فحص-0067</t>
  </si>
  <si>
    <t>فحص-0068</t>
  </si>
  <si>
    <t>فحص-0069</t>
  </si>
  <si>
    <t>فحص-0070</t>
  </si>
  <si>
    <t>فحص-0071</t>
  </si>
  <si>
    <t>فحص-0072</t>
  </si>
  <si>
    <t>فحص-0073</t>
  </si>
  <si>
    <t>فحص-0074</t>
  </si>
  <si>
    <t>فحص-0075</t>
  </si>
  <si>
    <t>فحص-0076</t>
  </si>
  <si>
    <t>فحص-0077</t>
  </si>
  <si>
    <t>فحص-0078</t>
  </si>
  <si>
    <t>الأعمدة والجدران الحاملة</t>
  </si>
  <si>
    <t>فحص-0079</t>
  </si>
  <si>
    <t>الأسقف والدرج</t>
  </si>
  <si>
    <t>فحص-0080</t>
  </si>
  <si>
    <t>فحص-0081</t>
  </si>
  <si>
    <t>فحص-0082</t>
  </si>
  <si>
    <t>فحص-0083</t>
  </si>
  <si>
    <t>فحص-0084</t>
  </si>
  <si>
    <t>فحص-0085</t>
  </si>
  <si>
    <t>فحص-0086</t>
  </si>
  <si>
    <t>فحص-0087</t>
  </si>
  <si>
    <t>فحص-0088</t>
  </si>
  <si>
    <t>فحص-0089</t>
  </si>
  <si>
    <t>فحص-0090</t>
  </si>
  <si>
    <t>فحص-0091</t>
  </si>
  <si>
    <t>فحص-0092</t>
  </si>
  <si>
    <t>فحص-0093</t>
  </si>
  <si>
    <t>فحص-0094</t>
  </si>
  <si>
    <t>فحص-0095</t>
  </si>
  <si>
    <t>فحص-0096</t>
  </si>
  <si>
    <t>فحص-0097</t>
  </si>
  <si>
    <t>فحص-0098</t>
  </si>
  <si>
    <t>فحص-0099</t>
  </si>
  <si>
    <t>فحص-0100</t>
  </si>
  <si>
    <t>فحص-0101</t>
  </si>
  <si>
    <t>فحص-0102</t>
  </si>
  <si>
    <t>فحص-0103</t>
  </si>
  <si>
    <t>فحص-0104</t>
  </si>
  <si>
    <t>فحص-0105</t>
  </si>
  <si>
    <t>فحص-0106</t>
  </si>
  <si>
    <t>فحص-0107</t>
  </si>
  <si>
    <t>فحص-0108</t>
  </si>
  <si>
    <t>فحص-0109</t>
  </si>
  <si>
    <t>فحص-0110</t>
  </si>
  <si>
    <t>فحص-0111</t>
  </si>
  <si>
    <t>فحص-0112</t>
  </si>
  <si>
    <t>فحص-0113</t>
  </si>
  <si>
    <t>فحص-0114</t>
  </si>
  <si>
    <t>فحص-0115</t>
  </si>
  <si>
    <t>فحص-0116</t>
  </si>
  <si>
    <t>فحص-0117</t>
  </si>
  <si>
    <t>فحص-0118</t>
  </si>
  <si>
    <t>فحص-0119</t>
  </si>
  <si>
    <t>فحص-0120</t>
  </si>
  <si>
    <t>فحص-0121</t>
  </si>
  <si>
    <t>فحص-0122</t>
  </si>
  <si>
    <t>فحص-0123</t>
  </si>
  <si>
    <t>فحص-0124</t>
  </si>
  <si>
    <t>فحص-0125</t>
  </si>
  <si>
    <t>فحص-0126</t>
  </si>
  <si>
    <t>فحص-0127</t>
  </si>
  <si>
    <t>فحص-0128</t>
  </si>
  <si>
    <t>فحص-0129</t>
  </si>
  <si>
    <t>فحص-0130</t>
  </si>
  <si>
    <t>فحص-0131</t>
  </si>
  <si>
    <t>فحص-0132</t>
  </si>
  <si>
    <t>فحص-0133</t>
  </si>
  <si>
    <t>فحص-0134</t>
  </si>
  <si>
    <t>فحص-0135</t>
  </si>
  <si>
    <t>فحص-0136</t>
  </si>
  <si>
    <t>فحص-0137</t>
  </si>
  <si>
    <t>فحص-0138</t>
  </si>
  <si>
    <t>فحص-0139</t>
  </si>
  <si>
    <t>فحص-0140</t>
  </si>
  <si>
    <t>فحص-0141</t>
  </si>
  <si>
    <t>فحص-0142</t>
  </si>
  <si>
    <t>فحص-0143</t>
  </si>
  <si>
    <t>فحص-0144</t>
  </si>
  <si>
    <t>فحص-0145</t>
  </si>
  <si>
    <t>فحص-0146</t>
  </si>
  <si>
    <t>فحص-0147</t>
  </si>
  <si>
    <t>فحص-0148</t>
  </si>
  <si>
    <t>فحص-0149</t>
  </si>
  <si>
    <t>فحص-0150</t>
  </si>
  <si>
    <t>فحص-0151</t>
  </si>
  <si>
    <t>فحص-0152</t>
  </si>
  <si>
    <t>فحص-0153</t>
  </si>
  <si>
    <t>فحص-0154</t>
  </si>
  <si>
    <t>فحص-0155</t>
  </si>
  <si>
    <t>فحص-0156</t>
  </si>
  <si>
    <t>فحص-0157</t>
  </si>
  <si>
    <t>فحص-0158</t>
  </si>
  <si>
    <t>فحص-0159</t>
  </si>
  <si>
    <t>فحص-0160</t>
  </si>
  <si>
    <t>فحص-0161</t>
  </si>
  <si>
    <t>فحص-0162</t>
  </si>
  <si>
    <t>فحص-0163</t>
  </si>
  <si>
    <t>فحص-0164</t>
  </si>
  <si>
    <t>فحص-0165</t>
  </si>
  <si>
    <t>فحص-0166</t>
  </si>
  <si>
    <t>فحص-0167</t>
  </si>
  <si>
    <t>فحص-0168</t>
  </si>
  <si>
    <t>فحص-0169</t>
  </si>
  <si>
    <t>فحص-0170</t>
  </si>
  <si>
    <t>فحص-0171</t>
  </si>
  <si>
    <t>فحص-0172</t>
  </si>
  <si>
    <t>فحص-0173</t>
  </si>
  <si>
    <t>فحص-0174</t>
  </si>
  <si>
    <t>فحص-0175</t>
  </si>
  <si>
    <t>فحص-0176</t>
  </si>
  <si>
    <t>فحص-0177</t>
  </si>
  <si>
    <t>فحص-0178</t>
  </si>
  <si>
    <t>فحص-0179</t>
  </si>
  <si>
    <t>فحص-0180</t>
  </si>
  <si>
    <t>فحص-0181</t>
  </si>
  <si>
    <t>فحص-0182</t>
  </si>
  <si>
    <t>فحص-0183</t>
  </si>
  <si>
    <t>فحص-0184</t>
  </si>
  <si>
    <t>فحص-0185</t>
  </si>
  <si>
    <t>فحص-0186</t>
  </si>
  <si>
    <t>فحص-0187</t>
  </si>
  <si>
    <t>فحص-0188</t>
  </si>
  <si>
    <t>فحص-0189</t>
  </si>
  <si>
    <t>فحص-0190</t>
  </si>
  <si>
    <t>التمديدات الكهربائية والميكانيكية الأولية</t>
  </si>
  <si>
    <t>فحص-0191</t>
  </si>
  <si>
    <t>فحص-0192</t>
  </si>
  <si>
    <t>فحص-0193</t>
  </si>
  <si>
    <t>فحص-0194</t>
  </si>
  <si>
    <t>فحص-0195</t>
  </si>
  <si>
    <t>فحص-0196</t>
  </si>
  <si>
    <t>فحص-0197</t>
  </si>
  <si>
    <t>فحص-0198</t>
  </si>
  <si>
    <t>فحص-0199</t>
  </si>
  <si>
    <t>فحص-0200</t>
  </si>
  <si>
    <t>فحص-0201</t>
  </si>
  <si>
    <t>فحص-0202</t>
  </si>
  <si>
    <t>فحص-0203</t>
  </si>
  <si>
    <t>فحص-0204</t>
  </si>
  <si>
    <t>فحص-0205</t>
  </si>
  <si>
    <t>فحص-0206</t>
  </si>
  <si>
    <t>فحص-0207</t>
  </si>
  <si>
    <t>فحص-0208</t>
  </si>
  <si>
    <t>مرفوض</t>
  </si>
  <si>
    <t>توجد ملاحظات تستلزم المعالجة قبل الإغلاق النهائي</t>
  </si>
  <si>
    <t>فحص-0209</t>
  </si>
  <si>
    <t>فحص-0210</t>
  </si>
  <si>
    <t>فحص-0211</t>
  </si>
  <si>
    <t>فحص-0212</t>
  </si>
  <si>
    <t>فحص-0213</t>
  </si>
  <si>
    <t>فحص-0214</t>
  </si>
  <si>
    <t>فحص-0215</t>
  </si>
  <si>
    <t>فحص-0216</t>
  </si>
  <si>
    <t>فحص-0217</t>
  </si>
  <si>
    <t>فحص-0218</t>
  </si>
  <si>
    <t>فحص-0219</t>
  </si>
  <si>
    <t>فحص-0220</t>
  </si>
  <si>
    <t>فحص-0221</t>
  </si>
  <si>
    <t>فحص-0222</t>
  </si>
  <si>
    <t>فحص-0223</t>
  </si>
  <si>
    <t>فحص-0224</t>
  </si>
  <si>
    <t>فحص-0225</t>
  </si>
  <si>
    <t>فحص-0226</t>
  </si>
  <si>
    <t>فحص-0227</t>
  </si>
  <si>
    <t>فحص-0228</t>
  </si>
  <si>
    <t>فحص-0229</t>
  </si>
  <si>
    <t>فحص-0230</t>
  </si>
  <si>
    <t>فحص-0231</t>
  </si>
  <si>
    <t>فحص-0232</t>
  </si>
  <si>
    <t>فحص-0233</t>
  </si>
  <si>
    <t>فحص-0234</t>
  </si>
  <si>
    <t>فحص-0235</t>
  </si>
  <si>
    <t>فحص-0236</t>
  </si>
  <si>
    <t>فحص-0237</t>
  </si>
  <si>
    <t>فحص-0238</t>
  </si>
  <si>
    <t>فحص-0239</t>
  </si>
  <si>
    <t>فحص-0240</t>
  </si>
  <si>
    <t>فحص-0241</t>
  </si>
  <si>
    <t>فحص-0242</t>
  </si>
  <si>
    <t>فحص-0243</t>
  </si>
  <si>
    <t>فحص-0244</t>
  </si>
  <si>
    <t>فحص-0245</t>
  </si>
  <si>
    <t>فحص-0246</t>
  </si>
  <si>
    <t>فحص-0247</t>
  </si>
  <si>
    <t>فحص-0248</t>
  </si>
  <si>
    <t>فحص-0249</t>
  </si>
  <si>
    <t>فحص-0250</t>
  </si>
  <si>
    <t>فحص-0251</t>
  </si>
  <si>
    <t>فحص-0252</t>
  </si>
  <si>
    <t>فحص-0253</t>
  </si>
  <si>
    <t>فحص-0254</t>
  </si>
  <si>
    <t>فحص-0255</t>
  </si>
  <si>
    <t>فحص-0256</t>
  </si>
  <si>
    <t>فحص-0257</t>
  </si>
  <si>
    <t>فحص-0258</t>
  </si>
  <si>
    <t>فحص-0259</t>
  </si>
  <si>
    <t>فحص-0260</t>
  </si>
  <si>
    <t>فحص-0261</t>
  </si>
  <si>
    <t>فحص-0262</t>
  </si>
  <si>
    <t>فحص-0263</t>
  </si>
  <si>
    <t>فحص-0264</t>
  </si>
  <si>
    <t>فحص-0265</t>
  </si>
  <si>
    <t>فحص-0266</t>
  </si>
  <si>
    <t>فحص-0267</t>
  </si>
  <si>
    <t>فحص-0268</t>
  </si>
  <si>
    <t>فحص-0269</t>
  </si>
  <si>
    <t>فحص-0270</t>
  </si>
  <si>
    <t>فحص-0271</t>
  </si>
  <si>
    <t>فحص-0272</t>
  </si>
  <si>
    <t>فحص-0273</t>
  </si>
  <si>
    <t>فحص-0274</t>
  </si>
  <si>
    <t>فحص-0275</t>
  </si>
  <si>
    <t>فحص-0276</t>
  </si>
  <si>
    <t>فحص-0277</t>
  </si>
  <si>
    <t>فحص-0278</t>
  </si>
  <si>
    <t>فحص-0279</t>
  </si>
  <si>
    <t>فحص-0280</t>
  </si>
  <si>
    <t>فحص-0281</t>
  </si>
  <si>
    <t>فحص-0282</t>
  </si>
  <si>
    <t>فحص-0283</t>
  </si>
  <si>
    <t>فحص-0284</t>
  </si>
  <si>
    <t>فحص-0285</t>
  </si>
  <si>
    <t>فحص-0286</t>
  </si>
  <si>
    <t>فحص-0287</t>
  </si>
  <si>
    <t>العزل والاختبارات المائية</t>
  </si>
  <si>
    <t>فحص-0288</t>
  </si>
  <si>
    <t>اللياسة والتشطيبات الأولية</t>
  </si>
  <si>
    <t>فحص-0289</t>
  </si>
  <si>
    <t>التشطيبات النهائية والاختبارات التشغيلية</t>
  </si>
  <si>
    <t>فحص-0290</t>
  </si>
  <si>
    <t>فحص-0291</t>
  </si>
  <si>
    <t>فحص-0292</t>
  </si>
  <si>
    <t>فحص-0293</t>
  </si>
  <si>
    <t>فحص-0294</t>
  </si>
  <si>
    <t>فحص-0295</t>
  </si>
  <si>
    <t>فحص-0296</t>
  </si>
  <si>
    <t>فحص-0297</t>
  </si>
  <si>
    <t>فحص-0298</t>
  </si>
  <si>
    <t>فحص-0299</t>
  </si>
  <si>
    <t>فحص-0300</t>
  </si>
  <si>
    <t>فحص-0301</t>
  </si>
  <si>
    <t>فحص-0302</t>
  </si>
  <si>
    <t>فحص-0303</t>
  </si>
  <si>
    <t>فحص-0304</t>
  </si>
  <si>
    <t>فحص-0305</t>
  </si>
  <si>
    <t>فحص-0306</t>
  </si>
  <si>
    <t>فحص-0307</t>
  </si>
  <si>
    <t>فحص-0308</t>
  </si>
  <si>
    <t>فحص-0309</t>
  </si>
  <si>
    <t>فحص-0310</t>
  </si>
  <si>
    <t>فحص-0311</t>
  </si>
  <si>
    <t>فحص-0312</t>
  </si>
  <si>
    <t>فحص-0313</t>
  </si>
  <si>
    <t>فحص-0314</t>
  </si>
  <si>
    <t>فحص-0315</t>
  </si>
  <si>
    <t>فحص-0316</t>
  </si>
  <si>
    <t>فحص-0317</t>
  </si>
  <si>
    <t>فحص-0318</t>
  </si>
  <si>
    <t>فحص-0319</t>
  </si>
  <si>
    <t>فحص-0320</t>
  </si>
  <si>
    <t>فحص-0321</t>
  </si>
  <si>
    <t>فحص-0322</t>
  </si>
  <si>
    <t>فحص-0323</t>
  </si>
  <si>
    <t>فحص-0324</t>
  </si>
  <si>
    <t>فحص-0325</t>
  </si>
  <si>
    <t>فحص-0326</t>
  </si>
  <si>
    <t>فحص-0327</t>
  </si>
  <si>
    <t>فحص-0328</t>
  </si>
  <si>
    <t>فحص-0329</t>
  </si>
  <si>
    <t>فحص-0330</t>
  </si>
  <si>
    <t>فحص-0331</t>
  </si>
  <si>
    <t>فحص-0332</t>
  </si>
  <si>
    <t>فحص-0333</t>
  </si>
  <si>
    <t>فحص-0334</t>
  </si>
  <si>
    <t>فحص-0335</t>
  </si>
  <si>
    <t>فحص-0336</t>
  </si>
  <si>
    <t>فحص-0337</t>
  </si>
  <si>
    <t>فحص-0338</t>
  </si>
  <si>
    <t>فحص-0339</t>
  </si>
  <si>
    <t>فحص-0340</t>
  </si>
  <si>
    <t>فحص-0341</t>
  </si>
  <si>
    <t>فحص-0342</t>
  </si>
  <si>
    <t>فحص-0343</t>
  </si>
  <si>
    <t>فحص-0344</t>
  </si>
  <si>
    <t>فحص-0345</t>
  </si>
  <si>
    <t>فحص-0346</t>
  </si>
  <si>
    <t>فحص-0347</t>
  </si>
  <si>
    <t>فحص-0348</t>
  </si>
  <si>
    <t>فحص-0349</t>
  </si>
  <si>
    <t>فحص-0350</t>
  </si>
  <si>
    <t>فحص-0351</t>
  </si>
  <si>
    <t>فحص-0352</t>
  </si>
  <si>
    <t>فحص-0353</t>
  </si>
  <si>
    <t>فحص-0354</t>
  </si>
  <si>
    <t>فحص-0355</t>
  </si>
  <si>
    <t>فحص-0356</t>
  </si>
  <si>
    <t>فحص-0357</t>
  </si>
  <si>
    <t>فحص-0358</t>
  </si>
  <si>
    <t>فحص-0359</t>
  </si>
  <si>
    <t>فحص-0360</t>
  </si>
  <si>
    <t>فحص-0361</t>
  </si>
  <si>
    <t>فحص-0362</t>
  </si>
  <si>
    <t>فحص-0363</t>
  </si>
  <si>
    <t>فحص-0364</t>
  </si>
  <si>
    <t>فحص-0365</t>
  </si>
  <si>
    <t>فحص-0366</t>
  </si>
  <si>
    <t>فحص-0367</t>
  </si>
  <si>
    <t>فحص-0368</t>
  </si>
  <si>
    <t>فحص-0369</t>
  </si>
  <si>
    <t>فحص-0370</t>
  </si>
  <si>
    <t>فحص-0371</t>
  </si>
  <si>
    <t>فحص-0372</t>
  </si>
  <si>
    <t>فحص-0373</t>
  </si>
  <si>
    <t>فحص-0374</t>
  </si>
  <si>
    <t>فحص-0375</t>
  </si>
  <si>
    <t>فحص-0376</t>
  </si>
  <si>
    <t>فحص-0377</t>
  </si>
  <si>
    <t>فحص-0378</t>
  </si>
  <si>
    <t>فحص-0379</t>
  </si>
  <si>
    <t>فحص-0380</t>
  </si>
  <si>
    <t>فحص-0381</t>
  </si>
  <si>
    <t>فحص-0382</t>
  </si>
  <si>
    <t>فحص-0383</t>
  </si>
  <si>
    <t>فحص-0384</t>
  </si>
  <si>
    <t>فحص-0385</t>
  </si>
  <si>
    <t>فحص-0386</t>
  </si>
  <si>
    <t>فحص-0387</t>
  </si>
  <si>
    <t>فحص-0388</t>
  </si>
  <si>
    <t>فحص-0389</t>
  </si>
  <si>
    <t>فحص-0390</t>
  </si>
  <si>
    <t>فحص-0391</t>
  </si>
  <si>
    <t>فحص-0392</t>
  </si>
  <si>
    <t>فحص-0393</t>
  </si>
  <si>
    <t>فحص-0394</t>
  </si>
  <si>
    <t>فحص-0395</t>
  </si>
  <si>
    <t>فحص-0396</t>
  </si>
  <si>
    <t>فحص-0397</t>
  </si>
  <si>
    <t>فحص-0398</t>
  </si>
  <si>
    <t>فحص-0399</t>
  </si>
  <si>
    <t>فحص-0400</t>
  </si>
  <si>
    <t>فحص-0401</t>
  </si>
  <si>
    <t>فحص-0402</t>
  </si>
  <si>
    <t>فحص-0403</t>
  </si>
  <si>
    <t>فحص-0404</t>
  </si>
  <si>
    <t>فحص-0405</t>
  </si>
  <si>
    <t>فحص-0406</t>
  </si>
  <si>
    <t>فحص-0407</t>
  </si>
  <si>
    <t>فحص-0408</t>
  </si>
  <si>
    <t>فحص-0409</t>
  </si>
  <si>
    <t>فحص-0410</t>
  </si>
  <si>
    <t>فحص-0411</t>
  </si>
  <si>
    <t>فحص-0412</t>
  </si>
  <si>
    <t>فحص-0413</t>
  </si>
  <si>
    <t>فحص-0414</t>
  </si>
  <si>
    <t>فحص-0415</t>
  </si>
  <si>
    <t>فحص-0416</t>
  </si>
  <si>
    <t>فحص-0417</t>
  </si>
  <si>
    <t>فحص-0418</t>
  </si>
  <si>
    <t>فحص-0419</t>
  </si>
  <si>
    <t>فحص-0420</t>
  </si>
  <si>
    <t>فحص-0421</t>
  </si>
  <si>
    <t>فحص-0422</t>
  </si>
  <si>
    <t>فحص-0423</t>
  </si>
  <si>
    <t>فحص-0424</t>
  </si>
  <si>
    <t>فحص-0425</t>
  </si>
  <si>
    <t>فحص-0426</t>
  </si>
  <si>
    <t>فحص-0427</t>
  </si>
  <si>
    <t>فحص-0428</t>
  </si>
  <si>
    <t>فحص-0429</t>
  </si>
  <si>
    <t>فحص-0430</t>
  </si>
  <si>
    <t>فحص-0431</t>
  </si>
  <si>
    <t>فحص-0432</t>
  </si>
  <si>
    <t>فحص-0433</t>
  </si>
  <si>
    <t>فحص-0434</t>
  </si>
  <si>
    <t>فحص-0435</t>
  </si>
  <si>
    <t>فحص-0436</t>
  </si>
  <si>
    <t>فحص-0437</t>
  </si>
  <si>
    <t>فحص-0438</t>
  </si>
  <si>
    <t>فحص-0439</t>
  </si>
  <si>
    <t>فحص-0440</t>
  </si>
  <si>
    <t>فحص-0441</t>
  </si>
  <si>
    <t>فحص-0442</t>
  </si>
  <si>
    <t>فحص-0443</t>
  </si>
  <si>
    <t>فحص-0444</t>
  </si>
  <si>
    <t>فحص-0445</t>
  </si>
  <si>
    <t>فحص-0446</t>
  </si>
  <si>
    <t>فحص-0447</t>
  </si>
  <si>
    <t>فحص-0448</t>
  </si>
  <si>
    <t>فحص-0449</t>
  </si>
  <si>
    <t>فحص-0450</t>
  </si>
  <si>
    <t>فحص-0451</t>
  </si>
  <si>
    <t>فحص-0452</t>
  </si>
  <si>
    <t>فحص-0453</t>
  </si>
  <si>
    <t>فحص-0454</t>
  </si>
  <si>
    <t>فحص-0455</t>
  </si>
  <si>
    <t>فحص-0456</t>
  </si>
  <si>
    <t>فحص-0457</t>
  </si>
  <si>
    <t>فحص-0458</t>
  </si>
  <si>
    <t>فحص-0459</t>
  </si>
  <si>
    <t>فحص-0460</t>
  </si>
  <si>
    <t>فحص-0461</t>
  </si>
  <si>
    <t>فحص-0462</t>
  </si>
  <si>
    <t>فحص-0463</t>
  </si>
  <si>
    <t>فحص-0464</t>
  </si>
  <si>
    <t>فحص-0465</t>
  </si>
  <si>
    <t>فحص-0466</t>
  </si>
  <si>
    <t>فحص-0467</t>
  </si>
  <si>
    <t>فحص-0468</t>
  </si>
  <si>
    <t>فحص-0469</t>
  </si>
  <si>
    <t>فحص-0470</t>
  </si>
  <si>
    <t>الاستلام الابتدائي</t>
  </si>
  <si>
    <t>فريق الجودة الداخلي</t>
  </si>
  <si>
    <t>فحص-0471</t>
  </si>
  <si>
    <t>فحص-0472</t>
  </si>
  <si>
    <t>فحص-0473</t>
  </si>
  <si>
    <t>فحص-0474</t>
  </si>
  <si>
    <t>فحص-0475</t>
  </si>
  <si>
    <t>فحص-0476</t>
  </si>
  <si>
    <t>فحص-0477</t>
  </si>
  <si>
    <t>فحص-0478</t>
  </si>
  <si>
    <t>فحص-0479</t>
  </si>
  <si>
    <t>فحص-0480</t>
  </si>
  <si>
    <t>فحص-0481</t>
  </si>
  <si>
    <t>فحص-0482</t>
  </si>
  <si>
    <t>فحص-0483</t>
  </si>
  <si>
    <t>فحص-0484</t>
  </si>
  <si>
    <t>فحص-0485</t>
  </si>
  <si>
    <t>فحص-0486</t>
  </si>
  <si>
    <t>فحص-0487</t>
  </si>
  <si>
    <t>فحص-0488</t>
  </si>
  <si>
    <t>فحص-0489</t>
  </si>
  <si>
    <t>فحص-0490</t>
  </si>
  <si>
    <t>فحص-0491</t>
  </si>
  <si>
    <t>فحص-0492</t>
  </si>
  <si>
    <t>فحص-0493</t>
  </si>
  <si>
    <t>فحص-0494</t>
  </si>
  <si>
    <t>فحص-0495</t>
  </si>
  <si>
    <t>فحص-0496</t>
  </si>
  <si>
    <t>فحص-0497</t>
  </si>
  <si>
    <t>فحص-0498</t>
  </si>
  <si>
    <t>فحص-0499</t>
  </si>
  <si>
    <t>فحص-0500</t>
  </si>
  <si>
    <t>فحص-0501</t>
  </si>
  <si>
    <t>فحص-0502</t>
  </si>
  <si>
    <t>فحص-0503</t>
  </si>
  <si>
    <t>فحص-0504</t>
  </si>
  <si>
    <t>فحص-0505</t>
  </si>
  <si>
    <t>فحص-0506</t>
  </si>
  <si>
    <t>فحص-0507</t>
  </si>
  <si>
    <t>فحص-0508</t>
  </si>
  <si>
    <t>فحص-0509</t>
  </si>
  <si>
    <t>فحص-0510</t>
  </si>
  <si>
    <t>فحص-0511</t>
  </si>
  <si>
    <t>فحص-0512</t>
  </si>
  <si>
    <t>فحص-0513</t>
  </si>
  <si>
    <t>فحص-0514</t>
  </si>
  <si>
    <t>فحص-0515</t>
  </si>
  <si>
    <t>فحص-0516</t>
  </si>
  <si>
    <t>فحص-0517</t>
  </si>
  <si>
    <t>فحص-0518</t>
  </si>
  <si>
    <t>فحص-0519</t>
  </si>
  <si>
    <t>فحص-0520</t>
  </si>
  <si>
    <t>فحص-0521</t>
  </si>
  <si>
    <t>فحص-0522</t>
  </si>
  <si>
    <t>فحص-0523</t>
  </si>
  <si>
    <t>فحص-0524</t>
  </si>
  <si>
    <t>فحص-0525</t>
  </si>
  <si>
    <t>فحص-0526</t>
  </si>
  <si>
    <t>فحص-0527</t>
  </si>
  <si>
    <t>فحص-0528</t>
  </si>
  <si>
    <t>فحص-0529</t>
  </si>
  <si>
    <t>فحص-0530</t>
  </si>
  <si>
    <t>فحص-0531</t>
  </si>
  <si>
    <t>فحص-0532</t>
  </si>
  <si>
    <t>فحص-0533</t>
  </si>
  <si>
    <t>فحص-0534</t>
  </si>
  <si>
    <t>فحص-0535</t>
  </si>
  <si>
    <t>فحص-0536</t>
  </si>
  <si>
    <t>فحص-0537</t>
  </si>
  <si>
    <t>فحص-0538</t>
  </si>
  <si>
    <t>فحص-0539</t>
  </si>
  <si>
    <t>فحص-0540</t>
  </si>
  <si>
    <t>فحص-0541</t>
  </si>
  <si>
    <t>فحص-0542</t>
  </si>
  <si>
    <t>فحص-0543</t>
  </si>
  <si>
    <t>فحص-0544</t>
  </si>
  <si>
    <t>فحص-0545</t>
  </si>
  <si>
    <t>فحص-0546</t>
  </si>
  <si>
    <t>فحص-0547</t>
  </si>
  <si>
    <t>فحص-0548</t>
  </si>
  <si>
    <t>فحص-0549</t>
  </si>
  <si>
    <t>فحص-0550</t>
  </si>
  <si>
    <t>فحص-0551</t>
  </si>
  <si>
    <t>فحص-0552</t>
  </si>
  <si>
    <t>فحص-0553</t>
  </si>
  <si>
    <t>فحص-0554</t>
  </si>
  <si>
    <t>فحص-0555</t>
  </si>
  <si>
    <t>فحص-0556</t>
  </si>
  <si>
    <t>فحص-0557</t>
  </si>
  <si>
    <t>فحص-0558</t>
  </si>
  <si>
    <t>فحص-0559</t>
  </si>
  <si>
    <t>فحص-0560</t>
  </si>
  <si>
    <t>فحص-0561</t>
  </si>
  <si>
    <t>فحص-0562</t>
  </si>
  <si>
    <t>فحص-0563</t>
  </si>
  <si>
    <t>فحص-0564</t>
  </si>
  <si>
    <t>فحص-0565</t>
  </si>
  <si>
    <t>فحص-0566</t>
  </si>
  <si>
    <t>فحص-0567</t>
  </si>
  <si>
    <t>فحص-0568</t>
  </si>
  <si>
    <t>فحص-0569</t>
  </si>
  <si>
    <t>فحص-0570</t>
  </si>
  <si>
    <t>فحص-0571</t>
  </si>
  <si>
    <t>فحص-0572</t>
  </si>
  <si>
    <t>فحص-0573</t>
  </si>
  <si>
    <t>فحص-0574</t>
  </si>
  <si>
    <t>فحص-0575</t>
  </si>
  <si>
    <t>فحص-0576</t>
  </si>
  <si>
    <t>فحص-0577</t>
  </si>
  <si>
    <t>فحص-0578</t>
  </si>
  <si>
    <t>فحص-0579</t>
  </si>
  <si>
    <t>فحص-0580</t>
  </si>
  <si>
    <t>فحص-0581</t>
  </si>
  <si>
    <t>فحص-0582</t>
  </si>
  <si>
    <t>فحص-0583</t>
  </si>
  <si>
    <t>فحص-0584</t>
  </si>
  <si>
    <t>فحص-0585</t>
  </si>
  <si>
    <t>فحص-0586</t>
  </si>
  <si>
    <t>فحص-0587</t>
  </si>
  <si>
    <t>فحص-0588</t>
  </si>
  <si>
    <t>فحص-0589</t>
  </si>
  <si>
    <t>فحص-0590</t>
  </si>
  <si>
    <t>فحص-0591</t>
  </si>
  <si>
    <t>فحص-0592</t>
  </si>
  <si>
    <t>فحص-0593</t>
  </si>
  <si>
    <t>فحص-0594</t>
  </si>
  <si>
    <t>فحص-0595</t>
  </si>
  <si>
    <t>فحص-0596</t>
  </si>
  <si>
    <t>فحص-0597</t>
  </si>
  <si>
    <t>فحص-0598</t>
  </si>
  <si>
    <t>فحص-0599</t>
  </si>
  <si>
    <t>فحص-0600</t>
  </si>
  <si>
    <t>فحص-0601</t>
  </si>
  <si>
    <t>فحص-0602</t>
  </si>
  <si>
    <t>فحص-0603</t>
  </si>
  <si>
    <t>فحص-0604</t>
  </si>
  <si>
    <t>فحص-0605</t>
  </si>
  <si>
    <t>فحص-0606</t>
  </si>
  <si>
    <t>فحص-0607</t>
  </si>
  <si>
    <t>فحص-0608</t>
  </si>
  <si>
    <t>فحص-0609</t>
  </si>
  <si>
    <t>فحص-0610</t>
  </si>
  <si>
    <t>فحص-0611</t>
  </si>
  <si>
    <t>فحص-0612</t>
  </si>
  <si>
    <t>فحص-0613</t>
  </si>
  <si>
    <t>فحص-0614</t>
  </si>
  <si>
    <t>فحص-0615</t>
  </si>
  <si>
    <t>فحص-0616</t>
  </si>
  <si>
    <t>فحص-0617</t>
  </si>
  <si>
    <t>فحص-0618</t>
  </si>
  <si>
    <t>فحص-0619</t>
  </si>
  <si>
    <t>فحص-0620</t>
  </si>
  <si>
    <t>فحص-0621</t>
  </si>
  <si>
    <t>فحص-0622</t>
  </si>
  <si>
    <t>فحص-0623</t>
  </si>
  <si>
    <t>فحص-0624</t>
  </si>
  <si>
    <t>فحص-0625</t>
  </si>
  <si>
    <t>فحص-0626</t>
  </si>
  <si>
    <t>فحص-0627</t>
  </si>
  <si>
    <t>فحص-0628</t>
  </si>
  <si>
    <t>فحص-0629</t>
  </si>
  <si>
    <t>فحص-0630</t>
  </si>
  <si>
    <t>فحص-0631</t>
  </si>
  <si>
    <t>فحص-0632</t>
  </si>
  <si>
    <t>فحص-0633</t>
  </si>
  <si>
    <t>فحص-0634</t>
  </si>
  <si>
    <t>فحص-0635</t>
  </si>
  <si>
    <t>فحص-0636</t>
  </si>
  <si>
    <t>فحص-0637</t>
  </si>
  <si>
    <t>فحص-0638</t>
  </si>
  <si>
    <t>فحص-0639</t>
  </si>
  <si>
    <t>فحص-0640</t>
  </si>
  <si>
    <t>فحص-0641</t>
  </si>
  <si>
    <t>فحص-0642</t>
  </si>
  <si>
    <t>فحص-0643</t>
  </si>
  <si>
    <t>فحص-0644</t>
  </si>
  <si>
    <t>فحص-0645</t>
  </si>
  <si>
    <t>فحص-0646</t>
  </si>
  <si>
    <t>فحص-0647</t>
  </si>
  <si>
    <t>فحص-0648</t>
  </si>
  <si>
    <t>فحص-0649</t>
  </si>
  <si>
    <t>فحص-0650</t>
  </si>
  <si>
    <t>فحص-0651</t>
  </si>
  <si>
    <t>فحص-0652</t>
  </si>
  <si>
    <t>فحص-0653</t>
  </si>
  <si>
    <t>فحص-0654</t>
  </si>
  <si>
    <t>فحص-0655</t>
  </si>
  <si>
    <t>فحص-0656</t>
  </si>
  <si>
    <t>فحص-0657</t>
  </si>
  <si>
    <t>فحص-0658</t>
  </si>
  <si>
    <t>فحص-0659</t>
  </si>
  <si>
    <t>فحص-0660</t>
  </si>
  <si>
    <t>فحص-0661</t>
  </si>
  <si>
    <t>فحص-0662</t>
  </si>
  <si>
    <t>فحص-0663</t>
  </si>
  <si>
    <t>فحص-0664</t>
  </si>
  <si>
    <t>فحص-0665</t>
  </si>
  <si>
    <t>فحص-0666</t>
  </si>
  <si>
    <t>فحص-0667</t>
  </si>
  <si>
    <t>فحص-0668</t>
  </si>
  <si>
    <t>فحص-0669</t>
  </si>
  <si>
    <t>فحص-0670</t>
  </si>
  <si>
    <t>فحص-0671</t>
  </si>
  <si>
    <t>فحص-0672</t>
  </si>
  <si>
    <t>فحص-0673</t>
  </si>
  <si>
    <t>فحص-0674</t>
  </si>
  <si>
    <t>فحص-0675</t>
  </si>
  <si>
    <t>فحص-0676</t>
  </si>
  <si>
    <t>فحص-0677</t>
  </si>
  <si>
    <t>فحص-0678</t>
  </si>
  <si>
    <t>فحص-0679</t>
  </si>
  <si>
    <t>فحص-0680</t>
  </si>
  <si>
    <t>فحص-0681</t>
  </si>
  <si>
    <t>فحص-0682</t>
  </si>
  <si>
    <t>فحص-0683</t>
  </si>
  <si>
    <t>فحص-0684</t>
  </si>
  <si>
    <t>فحص-0685</t>
  </si>
  <si>
    <t>فحص-0686</t>
  </si>
  <si>
    <t>فحص-0687</t>
  </si>
  <si>
    <t>فحص-0688</t>
  </si>
  <si>
    <t>فحص-0689</t>
  </si>
  <si>
    <t>فحص-0690</t>
  </si>
  <si>
    <t>فحص-0691</t>
  </si>
  <si>
    <t>فحص-0692</t>
  </si>
  <si>
    <t>فحص-0693</t>
  </si>
  <si>
    <t>فحص-0694</t>
  </si>
  <si>
    <t>فحص-0695</t>
  </si>
  <si>
    <t>فحص-0696</t>
  </si>
  <si>
    <t>فحص-0697</t>
  </si>
  <si>
    <t>فحص-0698</t>
  </si>
  <si>
    <t>فحص-0699</t>
  </si>
  <si>
    <t>فحص-0700</t>
  </si>
  <si>
    <t>سجل العيوب والملاحظات وعدم المطابقة</t>
  </si>
  <si>
    <t>يشمل العيوب المفتوحة والمغلقة وتكلفة إعادة العمل التقديرية</t>
  </si>
  <si>
    <t>رقم العيب</t>
  </si>
  <si>
    <t>تاريخ الرصد</t>
  </si>
  <si>
    <t>التخصص</t>
  </si>
  <si>
    <t>وصف الملاحظة</t>
  </si>
  <si>
    <t>درجة الخطورة</t>
  </si>
  <si>
    <t>الجهة المسؤولة</t>
  </si>
  <si>
    <t>تاريخ الإغلاق</t>
  </si>
  <si>
    <t>مدة الإغلاق بالأيام</t>
  </si>
  <si>
    <t>تكلفة إعادة العمل بالدولار</t>
  </si>
  <si>
    <t>تكلفة إعادة العمل بالريال السعودي</t>
  </si>
  <si>
    <t>عيب-0001</t>
  </si>
  <si>
    <t>إنشائي</t>
  </si>
  <si>
    <t>حاجة إلى تحسين دمك التربة حول القواعد الطرفية</t>
  </si>
  <si>
    <t>منخفض</t>
  </si>
  <si>
    <t>مغلق</t>
  </si>
  <si>
    <t>عيب-0002</t>
  </si>
  <si>
    <t>موقع</t>
  </si>
  <si>
    <t>عدم تسوية بعض مناطق الردم طبقًا للمناسيب المعتمدة</t>
  </si>
  <si>
    <t>شركة الحدائق والخدمات</t>
  </si>
  <si>
    <t>عيب-0003</t>
  </si>
  <si>
    <t>مفتوح</t>
  </si>
  <si>
    <t>عيب-0004</t>
  </si>
  <si>
    <t>عال</t>
  </si>
  <si>
    <t>عيب-0005</t>
  </si>
  <si>
    <t>عيب-0006</t>
  </si>
  <si>
    <t>متوسط</t>
  </si>
  <si>
    <t>عيب-0007</t>
  </si>
  <si>
    <t>عيب-0008</t>
  </si>
  <si>
    <t>عيب-0009</t>
  </si>
  <si>
    <t>عيب-0010</t>
  </si>
  <si>
    <t>عيب-0011</t>
  </si>
  <si>
    <t>عيب-0012</t>
  </si>
  <si>
    <t>عيب-0013</t>
  </si>
  <si>
    <t>عيب-0014</t>
  </si>
  <si>
    <t>عيب-0015</t>
  </si>
  <si>
    <t>عيب-0016</t>
  </si>
  <si>
    <t>عيب-0017</t>
  </si>
  <si>
    <t>عيب-0018</t>
  </si>
  <si>
    <t>عيب-0019</t>
  </si>
  <si>
    <t>عيب-0020</t>
  </si>
  <si>
    <t>عيب-0021</t>
  </si>
  <si>
    <t>عيب-0022</t>
  </si>
  <si>
    <t>عيب-0023</t>
  </si>
  <si>
    <t>عيب-0024</t>
  </si>
  <si>
    <t>عيب-0025</t>
  </si>
  <si>
    <t>ملاحظات على تثبيت الأشاير قبل الصب</t>
  </si>
  <si>
    <t>عيب-0026</t>
  </si>
  <si>
    <t>تجمع مياه مؤقت قرب حفريات الخدمة</t>
  </si>
  <si>
    <t>عيب-0027</t>
  </si>
  <si>
    <t>تفاوت محدود في أغطية التسليح بالقواعد</t>
  </si>
  <si>
    <t>عيب-0028</t>
  </si>
  <si>
    <t>عيب-0029</t>
  </si>
  <si>
    <t>حرج</t>
  </si>
  <si>
    <t>عيب-0030</t>
  </si>
  <si>
    <t>عيب-0031</t>
  </si>
  <si>
    <t>عيب-0032</t>
  </si>
  <si>
    <t>عيب-0033</t>
  </si>
  <si>
    <t>عيب-0034</t>
  </si>
  <si>
    <t>عيب-0035</t>
  </si>
  <si>
    <t>عيب-0036</t>
  </si>
  <si>
    <t>عيب-0037</t>
  </si>
  <si>
    <t>عيب-0038</t>
  </si>
  <si>
    <t>عيب-0039</t>
  </si>
  <si>
    <t>عيب-0040</t>
  </si>
  <si>
    <t>عيب-0041</t>
  </si>
  <si>
    <t>عيب-0042</t>
  </si>
  <si>
    <t>عيب-0043</t>
  </si>
  <si>
    <t>عيب-0044</t>
  </si>
  <si>
    <t>عيب-0045</t>
  </si>
  <si>
    <t>عيب-0046</t>
  </si>
  <si>
    <t>عيب-0047</t>
  </si>
  <si>
    <t>عيب-0048</t>
  </si>
  <si>
    <t>عيب-0049</t>
  </si>
  <si>
    <t>عيب-0050</t>
  </si>
  <si>
    <t>عيب-0051</t>
  </si>
  <si>
    <t>عيب-0052</t>
  </si>
  <si>
    <t>عيب-0053</t>
  </si>
  <si>
    <t>عيب-0054</t>
  </si>
  <si>
    <t>عيب-0055</t>
  </si>
  <si>
    <t>عيب-0056</t>
  </si>
  <si>
    <t>عيب-0057</t>
  </si>
  <si>
    <t>عيب-0058</t>
  </si>
  <si>
    <t>حاجة لمعالجة تعشيش موضعي في أحد الجدران</t>
  </si>
  <si>
    <t>عيب-0059</t>
  </si>
  <si>
    <t>مراجعة استقامة بعض البلوك الخارجي</t>
  </si>
  <si>
    <t>عيب-0060</t>
  </si>
  <si>
    <t>عزل</t>
  </si>
  <si>
    <t>إغلاق فتحات الخدمات قبل استكمال الأعمال اللاحقة</t>
  </si>
  <si>
    <t>عيب-0061</t>
  </si>
  <si>
    <t>عيب-0062</t>
  </si>
  <si>
    <t>عيب-0063</t>
  </si>
  <si>
    <t>عيب-0064</t>
  </si>
  <si>
    <t>عيب-0065</t>
  </si>
  <si>
    <t>عيب-0066</t>
  </si>
  <si>
    <t>عيب-0067</t>
  </si>
  <si>
    <t>عيب-0068</t>
  </si>
  <si>
    <t>عيب-0069</t>
  </si>
  <si>
    <t>عيب-0070</t>
  </si>
  <si>
    <t>عيب-0071</t>
  </si>
  <si>
    <t>عيب-0072</t>
  </si>
  <si>
    <t>عيب-0073</t>
  </si>
  <si>
    <t>عيب-0074</t>
  </si>
  <si>
    <t>عيب-0075</t>
  </si>
  <si>
    <t>عيب-0076</t>
  </si>
  <si>
    <t>عيب-0077</t>
  </si>
  <si>
    <t>عيب-0078</t>
  </si>
  <si>
    <t>عيب-0079</t>
  </si>
  <si>
    <t>عيب-0080</t>
  </si>
  <si>
    <t>عيب-0081</t>
  </si>
  <si>
    <t>عيب-0082</t>
  </si>
  <si>
    <t>عيب-0083</t>
  </si>
  <si>
    <t>عيب-0084</t>
  </si>
  <si>
    <t>عيب-0085</t>
  </si>
  <si>
    <t>عيب-0086</t>
  </si>
  <si>
    <t>عيب-0087</t>
  </si>
  <si>
    <t>عيب-0088</t>
  </si>
  <si>
    <t>عيب-0089</t>
  </si>
  <si>
    <t>عيب-0090</t>
  </si>
  <si>
    <t>عيب-0091</t>
  </si>
  <si>
    <t>عيب-0092</t>
  </si>
  <si>
    <t>عيب-0093</t>
  </si>
  <si>
    <t>عيب-0094</t>
  </si>
  <si>
    <t>عيب-0095</t>
  </si>
  <si>
    <t>عيب-0096</t>
  </si>
  <si>
    <t>عيب-0097</t>
  </si>
  <si>
    <t>عيب-0098</t>
  </si>
  <si>
    <t>عيب-0099</t>
  </si>
  <si>
    <t>عيب-0100</t>
  </si>
  <si>
    <t>عيب-0101</t>
  </si>
  <si>
    <t>عيب-0102</t>
  </si>
  <si>
    <t>عيب-0103</t>
  </si>
  <si>
    <t>عيب-0104</t>
  </si>
  <si>
    <t>عيب-0105</t>
  </si>
  <si>
    <t>عيب-0106</t>
  </si>
  <si>
    <t>عيب-0107</t>
  </si>
  <si>
    <t>عيب-0108</t>
  </si>
  <si>
    <t>عيب-0109</t>
  </si>
  <si>
    <t>عيب-0110</t>
  </si>
  <si>
    <t>عيب-0111</t>
  </si>
  <si>
    <t>عيب-0112</t>
  </si>
  <si>
    <t>عيب-0113</t>
  </si>
  <si>
    <t>عيب-0114</t>
  </si>
  <si>
    <t>عيب-0115</t>
  </si>
  <si>
    <t>عيب-0116</t>
  </si>
  <si>
    <t>عيب-0117</t>
  </si>
  <si>
    <t>عيب-0118</t>
  </si>
  <si>
    <t>عيب-0119</t>
  </si>
  <si>
    <t>عيب-0120</t>
  </si>
  <si>
    <t>عيب-0121</t>
  </si>
  <si>
    <t>عيب-0122</t>
  </si>
  <si>
    <t>عيب-0123</t>
  </si>
  <si>
    <t>عيب-0124</t>
  </si>
  <si>
    <t>عيب-0125</t>
  </si>
  <si>
    <t>عيب-0126</t>
  </si>
  <si>
    <t>عيب-0127</t>
  </si>
  <si>
    <t>استكمال إغلاق اختراقات الخدمات بعد التمديدات</t>
  </si>
  <si>
    <t>عيب-0128</t>
  </si>
  <si>
    <t>عيب-0129</t>
  </si>
  <si>
    <t>كهرباء وميكانيك</t>
  </si>
  <si>
    <t>إعادة ضبط مسار بعض التمديدات لتفادي التعارض</t>
  </si>
  <si>
    <t>عيب-0130</t>
  </si>
  <si>
    <t>استبدال جزء من المواسير غير المطابقة للميول</t>
  </si>
  <si>
    <t>عيب-0131</t>
  </si>
  <si>
    <t>عيب-0132</t>
  </si>
  <si>
    <t>عيب-0133</t>
  </si>
  <si>
    <t>عيب-0134</t>
  </si>
  <si>
    <t>عيب-0135</t>
  </si>
  <si>
    <t>عيب-0136</t>
  </si>
  <si>
    <t>عيب-0137</t>
  </si>
  <si>
    <t>عيب-0138</t>
  </si>
  <si>
    <t>عيب-0139</t>
  </si>
  <si>
    <t>عيب-0140</t>
  </si>
  <si>
    <t>عيب-0141</t>
  </si>
  <si>
    <t>عيب-0142</t>
  </si>
  <si>
    <t>عيب-0143</t>
  </si>
  <si>
    <t>عيب-0144</t>
  </si>
  <si>
    <t>عيب-0145</t>
  </si>
  <si>
    <t>عيب-0146</t>
  </si>
  <si>
    <t>عيب-0147</t>
  </si>
  <si>
    <t>عيب-0148</t>
  </si>
  <si>
    <t>عيب-0149</t>
  </si>
  <si>
    <t>عيب-0150</t>
  </si>
  <si>
    <t>عيب-0151</t>
  </si>
  <si>
    <t>عيب-0152</t>
  </si>
  <si>
    <t>عيب-0153</t>
  </si>
  <si>
    <t>عيب-0154</t>
  </si>
  <si>
    <t>عيب-0155</t>
  </si>
  <si>
    <t>عيب-0156</t>
  </si>
  <si>
    <t>عيب-0157</t>
  </si>
  <si>
    <t>عيب-0158</t>
  </si>
  <si>
    <t>عيب-0159</t>
  </si>
  <si>
    <t>عيب-0160</t>
  </si>
  <si>
    <t>عيب-0161</t>
  </si>
  <si>
    <t>عيب-0162</t>
  </si>
  <si>
    <t>عيب-0163</t>
  </si>
  <si>
    <t>عيب-0164</t>
  </si>
  <si>
    <t>عيب-0165</t>
  </si>
  <si>
    <t>عيب-0166</t>
  </si>
  <si>
    <t>عيب-0167</t>
  </si>
  <si>
    <t>عيب-0168</t>
  </si>
  <si>
    <t>عيب-0169</t>
  </si>
  <si>
    <t>عيب-0170</t>
  </si>
  <si>
    <t>عيب-0171</t>
  </si>
  <si>
    <t>عيب-0172</t>
  </si>
  <si>
    <t>عيب-0173</t>
  </si>
  <si>
    <t>عيب-0174</t>
  </si>
  <si>
    <t>عيب-0175</t>
  </si>
  <si>
    <t>عيب-0176</t>
  </si>
  <si>
    <t>عيب-0177</t>
  </si>
  <si>
    <t>عيب-0178</t>
  </si>
  <si>
    <t>عيب-0179</t>
  </si>
  <si>
    <t>عيب-0180</t>
  </si>
  <si>
    <t>عيب-0181</t>
  </si>
  <si>
    <t>عيب-0182</t>
  </si>
  <si>
    <t>عيب-0183</t>
  </si>
  <si>
    <t>عيب-0184</t>
  </si>
  <si>
    <t>عيب-0185</t>
  </si>
  <si>
    <t>عيب-0186</t>
  </si>
  <si>
    <t>عيب-0187</t>
  </si>
  <si>
    <t>عيب-0188</t>
  </si>
  <si>
    <t>عيب-0189</t>
  </si>
  <si>
    <t>عيب-0190</t>
  </si>
  <si>
    <t>عيب-0191</t>
  </si>
  <si>
    <t>عيب-0192</t>
  </si>
  <si>
    <t>عيب-0193</t>
  </si>
  <si>
    <t>عيب-0194</t>
  </si>
  <si>
    <t>عيب-0195</t>
  </si>
  <si>
    <t>عيب-0196</t>
  </si>
  <si>
    <t>عيب-0197</t>
  </si>
  <si>
    <t>عيب-0198</t>
  </si>
  <si>
    <t>عيب-0199</t>
  </si>
  <si>
    <t>ضبط مناسيب مخارج الكهرباء مع التشطيبات النهائية</t>
  </si>
  <si>
    <t>عيب-0200</t>
  </si>
  <si>
    <t>عيب-0201</t>
  </si>
  <si>
    <t>استبدال قطع بلاط متضررة عند الزوايا</t>
  </si>
  <si>
    <t>عيب-0202</t>
  </si>
  <si>
    <t>عيب-0203</t>
  </si>
  <si>
    <t>إعادة معالجة استواء بعض الأسطح قبل الدهان</t>
  </si>
  <si>
    <t>عيب-0204</t>
  </si>
  <si>
    <t>عيب-0205</t>
  </si>
  <si>
    <t>إعادة اختبار عزل دورة المياه بعد المعالجة</t>
  </si>
  <si>
    <t>عيب-0206</t>
  </si>
  <si>
    <t>عيب-0207</t>
  </si>
  <si>
    <t>عيب-0208</t>
  </si>
  <si>
    <t>عيب-0209</t>
  </si>
  <si>
    <t>عيب-0210</t>
  </si>
  <si>
    <t>عيب-0211</t>
  </si>
  <si>
    <t>عيب-0212</t>
  </si>
  <si>
    <t>عيب-0213</t>
  </si>
  <si>
    <t>عيب-0214</t>
  </si>
  <si>
    <t>عيب-0215</t>
  </si>
  <si>
    <t>عيب-0216</t>
  </si>
  <si>
    <t>عيب-0217</t>
  </si>
  <si>
    <t>عيب-0218</t>
  </si>
  <si>
    <t>عيب-0219</t>
  </si>
  <si>
    <t>عيب-0220</t>
  </si>
  <si>
    <t>عيب-0221</t>
  </si>
  <si>
    <t>عيب-0222</t>
  </si>
  <si>
    <t>عيب-0223</t>
  </si>
  <si>
    <t>عيب-0224</t>
  </si>
  <si>
    <t>عيب-0225</t>
  </si>
  <si>
    <t>عيب-0226</t>
  </si>
  <si>
    <t>عيب-0227</t>
  </si>
  <si>
    <t>عيب-0228</t>
  </si>
  <si>
    <t>عيب-0229</t>
  </si>
  <si>
    <t>عيب-0230</t>
  </si>
  <si>
    <t>عيب-0231</t>
  </si>
  <si>
    <t>عيب-0232</t>
  </si>
  <si>
    <t>عيب-0233</t>
  </si>
  <si>
    <t>عيب-0234</t>
  </si>
  <si>
    <t>عيب-0235</t>
  </si>
  <si>
    <t>عيب-0236</t>
  </si>
  <si>
    <t>عيب-0237</t>
  </si>
  <si>
    <t>عيب-0238</t>
  </si>
  <si>
    <t>عيب-0239</t>
  </si>
  <si>
    <t>عيب-0240</t>
  </si>
  <si>
    <t>عيب-0241</t>
  </si>
  <si>
    <t>عيب-0242</t>
  </si>
  <si>
    <t>عيب-0243</t>
  </si>
  <si>
    <t>عيب-0244</t>
  </si>
  <si>
    <t>عيب-0245</t>
  </si>
  <si>
    <t>عيب-0246</t>
  </si>
  <si>
    <t>عيب-0247</t>
  </si>
  <si>
    <t>عيب-0248</t>
  </si>
  <si>
    <t>عيب-0249</t>
  </si>
  <si>
    <t>عيب-0250</t>
  </si>
  <si>
    <t>عيب-0251</t>
  </si>
  <si>
    <t>عيب-0252</t>
  </si>
  <si>
    <t>عيب-0253</t>
  </si>
  <si>
    <t>عيب-0254</t>
  </si>
  <si>
    <t>عيب-0255</t>
  </si>
  <si>
    <t>عيب-0256</t>
  </si>
  <si>
    <t>عيب-0257</t>
  </si>
  <si>
    <t>عيب-0258</t>
  </si>
  <si>
    <t>عيب-0259</t>
  </si>
  <si>
    <t>عيب-0260</t>
  </si>
  <si>
    <t>عيب-0261</t>
  </si>
  <si>
    <t>عيب-0262</t>
  </si>
  <si>
    <t>عيب-0263</t>
  </si>
  <si>
    <t>عيب-0264</t>
  </si>
  <si>
    <t>عيب-0265</t>
  </si>
  <si>
    <t>عيب-0266</t>
  </si>
  <si>
    <t>عيب-0267</t>
  </si>
  <si>
    <t>عيب-0268</t>
  </si>
  <si>
    <t>عيب-0269</t>
  </si>
  <si>
    <t>عيب-0270</t>
  </si>
  <si>
    <t>عيب-0271</t>
  </si>
  <si>
    <t>عيب-0272</t>
  </si>
  <si>
    <t>عيب-0273</t>
  </si>
  <si>
    <t>عيب-0274</t>
  </si>
  <si>
    <t>عيب-0275</t>
  </si>
  <si>
    <t>عيب-0276</t>
  </si>
  <si>
    <t>عيب-0277</t>
  </si>
  <si>
    <t>عيب-0278</t>
  </si>
  <si>
    <t>عيب-0279</t>
  </si>
  <si>
    <t>عيب-0280</t>
  </si>
  <si>
    <t>عيب-0281</t>
  </si>
  <si>
    <t>عيب-0282</t>
  </si>
  <si>
    <t>عيب-0283</t>
  </si>
  <si>
    <t>عيب-0284</t>
  </si>
  <si>
    <t>عيب-0285</t>
  </si>
  <si>
    <t>عيب-0286</t>
  </si>
  <si>
    <t>عيب-0287</t>
  </si>
  <si>
    <t>عيب-0288</t>
  </si>
  <si>
    <t>عيب-0289</t>
  </si>
  <si>
    <t>عيب-0290</t>
  </si>
  <si>
    <t>عيب-0291</t>
  </si>
  <si>
    <t>عيب-0292</t>
  </si>
  <si>
    <t>عيب-0293</t>
  </si>
  <si>
    <t>عيب-0294</t>
  </si>
  <si>
    <t>عيب-0295</t>
  </si>
  <si>
    <t>عيب-0296</t>
  </si>
  <si>
    <t>عيب-0297</t>
  </si>
  <si>
    <t>عيب-0298</t>
  </si>
  <si>
    <t>عيب-0299</t>
  </si>
  <si>
    <t>عيب-0300</t>
  </si>
  <si>
    <t>عيب-0301</t>
  </si>
  <si>
    <t>عيب-0302</t>
  </si>
  <si>
    <t>عيب-0303</t>
  </si>
  <si>
    <t>عيب-0304</t>
  </si>
  <si>
    <t>عيب-0305</t>
  </si>
  <si>
    <t>عيب-0306</t>
  </si>
  <si>
    <t>عيب-0307</t>
  </si>
  <si>
    <t>عيب-0308</t>
  </si>
  <si>
    <t>عيب-0309</t>
  </si>
  <si>
    <t>عيب-0310</t>
  </si>
  <si>
    <t>ملاحظات سناغ على الأبواب والإكسسوارات</t>
  </si>
  <si>
    <t>عيب-0311</t>
  </si>
  <si>
    <t>ضبط نهائي لبعض المفاتيح وملحقات السباكة</t>
  </si>
  <si>
    <t>عيب-0312</t>
  </si>
  <si>
    <t>وثائق</t>
  </si>
  <si>
    <t>استكمال بعض مستندات التسليم للوحدة</t>
  </si>
  <si>
    <t>عيب-0313</t>
  </si>
  <si>
    <t>عيب-0314</t>
  </si>
  <si>
    <t>تحسين النظافة النهائية والمحيط الخارجي</t>
  </si>
  <si>
    <t>عيب-0315</t>
  </si>
  <si>
    <t>عيب-0316</t>
  </si>
  <si>
    <t>عيب-0317</t>
  </si>
  <si>
    <t>عيب-0318</t>
  </si>
  <si>
    <t>عيب-0319</t>
  </si>
  <si>
    <t>عيب-0320</t>
  </si>
  <si>
    <t>عيب-0321</t>
  </si>
  <si>
    <t>عيب-0322</t>
  </si>
  <si>
    <t>عيب-0323</t>
  </si>
  <si>
    <t>عيب-0324</t>
  </si>
  <si>
    <t>عيب-0325</t>
  </si>
  <si>
    <t>عيب-0326</t>
  </si>
  <si>
    <t>عيب-0327</t>
  </si>
  <si>
    <t>عيب-0328</t>
  </si>
  <si>
    <t>عيب-0329</t>
  </si>
  <si>
    <t>عيب-0330</t>
  </si>
  <si>
    <t>عيب-0331</t>
  </si>
  <si>
    <t>عيب-0332</t>
  </si>
  <si>
    <t>عيب-0333</t>
  </si>
  <si>
    <t>عيب-0334</t>
  </si>
  <si>
    <t>عيب-0335</t>
  </si>
  <si>
    <t>عيب-0336</t>
  </si>
  <si>
    <t>عيب-0337</t>
  </si>
  <si>
    <t>عيب-0338</t>
  </si>
  <si>
    <t>عيب-0339</t>
  </si>
  <si>
    <t>عيب-0340</t>
  </si>
  <si>
    <t>عيب-0341</t>
  </si>
  <si>
    <t>عيب-0342</t>
  </si>
  <si>
    <t>عيب-0343</t>
  </si>
  <si>
    <t>عيب-0344</t>
  </si>
  <si>
    <t>عيب-0345</t>
  </si>
  <si>
    <t>عيب-0346</t>
  </si>
  <si>
    <t>عيب-0347</t>
  </si>
  <si>
    <t>عيب-0348</t>
  </si>
  <si>
    <t>عيب-0349</t>
  </si>
  <si>
    <t>عيب-0350</t>
  </si>
  <si>
    <t>عيب-0351</t>
  </si>
  <si>
    <t>عيب-0352</t>
  </si>
  <si>
    <t>عيب-0353</t>
  </si>
  <si>
    <t>عيب-0354</t>
  </si>
  <si>
    <t>عيب-0355</t>
  </si>
  <si>
    <t>عيب-0356</t>
  </si>
  <si>
    <t>عيب-0357</t>
  </si>
  <si>
    <t>عيب-0358</t>
  </si>
  <si>
    <t>عيب-0359</t>
  </si>
  <si>
    <t>عيب-0360</t>
  </si>
  <si>
    <t>عيب-0361</t>
  </si>
  <si>
    <t>عيب-0362</t>
  </si>
  <si>
    <t>عيب-0363</t>
  </si>
  <si>
    <t>عيب-0364</t>
  </si>
  <si>
    <t>عيب-0365</t>
  </si>
  <si>
    <t>عيب-0366</t>
  </si>
  <si>
    <t>عيب-0367</t>
  </si>
  <si>
    <t>عيب-0368</t>
  </si>
  <si>
    <t>عيب-0369</t>
  </si>
  <si>
    <t>عيب-0370</t>
  </si>
  <si>
    <t>عيب-0371</t>
  </si>
  <si>
    <t>عيب-0372</t>
  </si>
  <si>
    <t>عيب-0373</t>
  </si>
  <si>
    <t>عيب-0374</t>
  </si>
  <si>
    <t>عيب-0375</t>
  </si>
  <si>
    <t>عيب-0376</t>
  </si>
  <si>
    <t>عيب-0377</t>
  </si>
  <si>
    <t>عيب-0378</t>
  </si>
  <si>
    <t>عيب-0379</t>
  </si>
  <si>
    <t>عيب-0380</t>
  </si>
  <si>
    <t>عيب-0381</t>
  </si>
  <si>
    <t>عيب-0382</t>
  </si>
  <si>
    <t>عيب-0383</t>
  </si>
  <si>
    <t>عيب-0384</t>
  </si>
  <si>
    <t>عيب-0385</t>
  </si>
  <si>
    <t>عيب-0386</t>
  </si>
  <si>
    <t>عيب-0387</t>
  </si>
  <si>
    <t>عيب-0388</t>
  </si>
  <si>
    <t>عيب-0389</t>
  </si>
  <si>
    <t>عيب-0390</t>
  </si>
  <si>
    <t>عيب-0391</t>
  </si>
  <si>
    <t>عيب-0392</t>
  </si>
  <si>
    <t>عيب-0393</t>
  </si>
  <si>
    <t>عيب-0394</t>
  </si>
  <si>
    <t>عيب-0395</t>
  </si>
  <si>
    <t>عيب-0396</t>
  </si>
  <si>
    <t>عيب-0397</t>
  </si>
  <si>
    <t>عيب-0398</t>
  </si>
  <si>
    <t>عيب-0399</t>
  </si>
  <si>
    <t>متابعة المواد والكميات التراكمية</t>
  </si>
  <si>
    <t>الكميات المخططة والمستلمة والمصروفة والمستخدمة الفعلية حتى تاريخ التقرير</t>
  </si>
  <si>
    <t>المادة</t>
  </si>
  <si>
    <t>الوحدة</t>
  </si>
  <si>
    <t>الكمية المخططة التراكمية</t>
  </si>
  <si>
    <t>الكمية المستلمة</t>
  </si>
  <si>
    <t>الكمية المصروفة</t>
  </si>
  <si>
    <t>الكمية المستخدمة فعليًا</t>
  </si>
  <si>
    <t>الهدر</t>
  </si>
  <si>
    <t>نسبة الهدر</t>
  </si>
  <si>
    <t>النسبة المستهدفة</t>
  </si>
  <si>
    <t>حالة الأداء</t>
  </si>
  <si>
    <t>سعر الوحدة بالدولار</t>
  </si>
  <si>
    <t xml:space="preserve">سعر الوحدة بالريال </t>
  </si>
  <si>
    <t>تكلفة الهدر بالدولار</t>
  </si>
  <si>
    <t>تكلفة الهدر بالريال</t>
  </si>
  <si>
    <t>خرسانة جاهزة</t>
  </si>
  <si>
    <t>م3</t>
  </si>
  <si>
    <t>حديد تسليح</t>
  </si>
  <si>
    <t>طن</t>
  </si>
  <si>
    <t>بلوك إسمنتي</t>
  </si>
  <si>
    <t>م2</t>
  </si>
  <si>
    <t>عزل مائي وحراري</t>
  </si>
  <si>
    <t>لياسة ومحارة</t>
  </si>
  <si>
    <t>بلاط وسيراميك</t>
  </si>
  <si>
    <t>دهانات</t>
  </si>
  <si>
    <t>كوابل كهربائية</t>
  </si>
  <si>
    <t>م.ط</t>
  </si>
  <si>
    <t>مواسير صحية وميكانيكية</t>
  </si>
  <si>
    <t>تقرير هدر الموارد وكفاءة الاستخدام</t>
  </si>
  <si>
    <t>يربط بين هدر المواد والوقت والمعدات وتكلفة الهدر المباشر التراكمية</t>
  </si>
  <si>
    <t>فئة المورد</t>
  </si>
  <si>
    <t>المورد</t>
  </si>
  <si>
    <t>المصروف أو الفعلي</t>
  </si>
  <si>
    <t>المستخدم المنتج</t>
  </si>
  <si>
    <t>ملاحظة الإدارة</t>
  </si>
  <si>
    <t>مواد</t>
  </si>
  <si>
    <t>يرتبط مباشرة بالصرف الفعلي في الموقع</t>
  </si>
  <si>
    <t>وقت</t>
  </si>
  <si>
    <t>ساعات العمل</t>
  </si>
  <si>
    <t>ساعة</t>
  </si>
  <si>
    <t>الهدر ناتج عن إعادة عمل وانتظار وتداخل فرق</t>
  </si>
  <si>
    <t>معدات</t>
  </si>
  <si>
    <t>معدات الرفع</t>
  </si>
  <si>
    <t>زيادة تشغيل عن الحاجة بسبب إعادة الجدولة</t>
  </si>
  <si>
    <t>مولدات ومضخات</t>
  </si>
  <si>
    <t>مستوى الأداء مقبول لكنه يحتاج متابعة</t>
  </si>
  <si>
    <t>ملخص هدر الموارد</t>
  </si>
  <si>
    <t>إجمالي تكلفة هدر المواد</t>
  </si>
  <si>
    <t>إجمالي تكلفة هدر الوقت والمعدات</t>
  </si>
  <si>
    <t>إجمالي تكلفة إعادة العمل من سجل العيوب</t>
  </si>
  <si>
    <t>إجمالي تكلفة الهدر المباشر</t>
  </si>
  <si>
    <t>نسبة الهدر المباشر إلى قيمة الأعمال المنفذة</t>
  </si>
  <si>
    <t>النسبة المستهدفة لهدر الموارد المباشر</t>
  </si>
  <si>
    <t>تقييم أداء المقاولين الرئيسيين من منظور الجودة</t>
  </si>
  <si>
    <t>التقييم يعتمد على الفحوصات، العيوب، تكلفة إعادة العمل، ونسبة الهدر المرتبطة بكل حزمة</t>
  </si>
  <si>
    <t>نطاق العمل</t>
  </si>
  <si>
    <t>عدد الفحوصات</t>
  </si>
  <si>
    <t>تكلفة إعادة العمل بالريال</t>
  </si>
  <si>
    <t>نسبة الهدر المرتبطة</t>
  </si>
  <si>
    <t>الالتزام الزمني</t>
  </si>
  <si>
    <t>الحفر والأساسات والهيكل</t>
  </si>
  <si>
    <t>الأعمال الكهربائية والميكانيكية</t>
  </si>
  <si>
    <t>التشطيبات الداخلية والخارجية</t>
  </si>
  <si>
    <t>العزل ومعالجات الإغلاق</t>
  </si>
  <si>
    <t>سجل المخاطر المرتبطة بالجودة</t>
  </si>
  <si>
    <t>أهم المخاطر الفنية والتشغيلية ذات التأثير على جودة المشروع</t>
  </si>
  <si>
    <t>رقم الخطر</t>
  </si>
  <si>
    <t>وصف الخطر</t>
  </si>
  <si>
    <t>التصنيف</t>
  </si>
  <si>
    <t>الاحتمال</t>
  </si>
  <si>
    <t>الأثر</t>
  </si>
  <si>
    <t>درجة الخطر</t>
  </si>
  <si>
    <t>إجراء المعالجة</t>
  </si>
  <si>
    <t>خطر-01</t>
  </si>
  <si>
    <t>تأخر اعتماد بعض المواد البديلة يؤدي لإعادة ترتيب الجدول</t>
  </si>
  <si>
    <t>توريد</t>
  </si>
  <si>
    <t>منع أي بديل غير معتمد وإقفال قرار الشراء قبل التنفيذ بأسبوعين</t>
  </si>
  <si>
    <t>قيد المتابعة</t>
  </si>
  <si>
    <t>خطر-02</t>
  </si>
  <si>
    <t>تعارضات بين التمديدات المعمارية والكهروميكانيكية</t>
  </si>
  <si>
    <t>تصميم</t>
  </si>
  <si>
    <t>مراجعة تنسيقية أسبوعية للرسومات التنفيذية</t>
  </si>
  <si>
    <t>خطر-03</t>
  </si>
  <si>
    <t>ارتفاع هدر البلوك واللياسة بسبب تعديلات ميدانية</t>
  </si>
  <si>
    <t>هدر موارد</t>
  </si>
  <si>
    <t>ضبط العمل قبل التنفيذ ومنع التكسير غير المعتمد</t>
  </si>
  <si>
    <t>مرتفع</t>
  </si>
  <si>
    <t>خطر-04</t>
  </si>
  <si>
    <t>ضعف نظافة الموقع يؤثر على جودة التشطيبات النهائية</t>
  </si>
  <si>
    <t>خطة تنظيف يومية ومناطق تجميع واضحة للمخلفات</t>
  </si>
  <si>
    <t>خطر-05</t>
  </si>
  <si>
    <t>إعادة عمل في العزل بسبب اختراقات خدمات غير مغلقة</t>
  </si>
  <si>
    <t>فحص نقاط الاختراق قبل وبعد الإغلاق</t>
  </si>
  <si>
    <t>قيد المعالجة</t>
  </si>
  <si>
    <t>خطر-06</t>
  </si>
  <si>
    <t>انخفاض معدل القبول من أول مرة في التشطيبات</t>
  </si>
  <si>
    <t>تنفيذ</t>
  </si>
  <si>
    <t>تعزيز إشراف ما قبل الفحص وقوائم تحقق للغرف النموذجية</t>
  </si>
  <si>
    <t>خطر-07</t>
  </si>
  <si>
    <t>تأخر إغلاق العيوب المفتوحة في الوحدات المكتملة</t>
  </si>
  <si>
    <t>استلام</t>
  </si>
  <si>
    <t>تحديد مدة إغلاق قصوى وربطها بخطة تسليم أسبوعية</t>
  </si>
  <si>
    <t>خطر-08</t>
  </si>
  <si>
    <t>إجهاد فرق العمل نتيجة تداخل الأنشطة في القطاعات النهائية</t>
  </si>
  <si>
    <t>إنتاجية</t>
  </si>
  <si>
    <t>إعادة موازنة الموارد بين القطاعات</t>
  </si>
  <si>
    <t>خطر-09</t>
  </si>
  <si>
    <t>عدم اكتمال وثائق التسليم لبعض الوحدات</t>
  </si>
  <si>
    <t>مراجعة أسبوعية لحزمة التسليم لكل فيلا</t>
  </si>
  <si>
    <t>خطر-10</t>
  </si>
  <si>
    <t>عدم ثبات جودة المورد لبعض التشطيبات الحساسة</t>
  </si>
  <si>
    <t>موردون</t>
  </si>
  <si>
    <t>اعتماد عينات مسبقة ومراجعة دفعات الاستلام</t>
  </si>
  <si>
    <t>متابعة الاستلام المرحلي والنهائي</t>
  </si>
  <si>
    <t>تجميع جاهزية الوحدات للتسليم بناءً على المرحلة، العيوب المفتوحة، وجاهزية الوثائق والأنظمة</t>
  </si>
  <si>
    <t>جاهزية الوثائق</t>
  </si>
  <si>
    <t>جاهزية الأنظمة</t>
  </si>
  <si>
    <t>حالة التسليم</t>
  </si>
  <si>
    <t>غير جاهزة</t>
  </si>
  <si>
    <t>قوائم الاستخدام والتحقق</t>
  </si>
  <si>
    <t>هذه القوائم تغذي القوائم المنسدلة في الجداول التشغيلية</t>
  </si>
  <si>
    <t>حالات الفحص</t>
  </si>
  <si>
    <t>حالات العيوب</t>
  </si>
  <si>
    <t>درجات الخطورة</t>
  </si>
  <si>
    <t>حالات التسليم</t>
  </si>
  <si>
    <t>أعلى من الهدف</t>
  </si>
  <si>
    <t>مستلمة ابتدائيًا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</si>
</sst>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0.0%"/>
    <numFmt numFmtId="60" formatCode="0.0"/>
    <numFmt numFmtId="61" formatCode="yyyy-mm-dd"/>
    <numFmt numFmtId="62" formatCode="_-[$$-409]* #,##0_-;_-[$$-409]* \(#,##0\)_-;_-[$$-409]* &quot;-&quot;??;_-@_-"/>
    <numFmt numFmtId="63" formatCode="_-[$SAR]* #,##0_-;_-[$SAR]* \(#,##0\)_-;_-[$SAR]* &quot;-&quot;??;_-@_-"/>
  </numFmts>
  <fonts count="8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Carlito"/>
    </font>
    <font>
      <i val="1"/>
      <sz val="10"/>
      <color indexed="12"/>
      <name val="Carlito"/>
    </font>
    <font>
      <b val="1"/>
      <sz val="11"/>
      <color indexed="9"/>
      <name val="Carlito"/>
    </font>
    <font>
      <b val="1"/>
      <sz val="11"/>
      <color indexed="15"/>
      <name val="Carlito"/>
    </font>
    <font>
      <b val="1"/>
      <sz val="11"/>
      <color indexed="8"/>
      <name val="Carlito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2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9"/>
      </bottom>
      <diagonal/>
    </border>
    <border>
      <left style="thin">
        <color indexed="19"/>
      </left>
      <right/>
      <top style="thin">
        <color indexed="19"/>
      </top>
      <bottom style="thin">
        <color indexed="19"/>
      </bottom>
      <diagonal/>
    </border>
    <border>
      <left/>
      <right/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9"/>
      </left>
      <right style="thin">
        <color indexed="11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19"/>
      </top>
      <bottom style="thin">
        <color indexed="11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 readingOrder="2"/>
    </xf>
    <xf numFmtId="0" fontId="0" fillId="3" borderId="2" applyNumberFormat="0" applyFont="1" applyFill="1" applyBorder="1" applyAlignment="1" applyProtection="0">
      <alignment vertical="bottom" wrapText="1"/>
    </xf>
    <xf numFmtId="0" fontId="0" fillId="3" borderId="3" applyNumberFormat="0" applyFont="1" applyFill="1" applyBorder="1" applyAlignment="1" applyProtection="0">
      <alignment vertical="bottom" wrapText="1"/>
    </xf>
    <xf numFmtId="49" fontId="4" fillId="4" borderId="4" applyNumberFormat="1" applyFont="1" applyFill="1" applyBorder="1" applyAlignment="1" applyProtection="0">
      <alignment horizontal="right" vertical="center" wrapText="1" readingOrder="2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5" fillId="5" borderId="4" applyNumberFormat="1" applyFont="1" applyFill="1" applyBorder="1" applyAlignment="1" applyProtection="0">
      <alignment horizontal="right" vertical="center" wrapText="1" readingOrder="2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5" fillId="5" borderId="9" applyNumberFormat="1" applyFont="1" applyFill="1" applyBorder="1" applyAlignment="1" applyProtection="0">
      <alignment horizontal="right" vertical="center" wrapText="1" readingOrder="2"/>
    </xf>
    <xf numFmtId="49" fontId="6" fillId="6" borderId="4" applyNumberFormat="1" applyFont="1" applyFill="1" applyBorder="1" applyAlignment="1" applyProtection="0">
      <alignment horizontal="center" vertical="center" wrapText="1" readingOrder="2"/>
    </xf>
    <xf numFmtId="49" fontId="6" fillId="6" borderId="9" applyNumberFormat="1" applyFont="1" applyFill="1" applyBorder="1" applyAlignment="1" applyProtection="0">
      <alignment horizontal="center" vertical="center" wrapText="1" readingOrder="2"/>
    </xf>
    <xf numFmtId="0" fontId="0" borderId="10" applyNumberFormat="0" applyFont="1" applyFill="0" applyBorder="1" applyAlignment="1" applyProtection="0">
      <alignment vertical="bottom"/>
    </xf>
    <xf numFmtId="49" fontId="7" fillId="7" borderId="9" applyNumberFormat="1" applyFont="1" applyFill="1" applyBorder="1" applyAlignment="1" applyProtection="0">
      <alignment horizontal="right" vertical="bottom" readingOrder="2"/>
    </xf>
    <xf numFmtId="49" fontId="0" borderId="2" applyNumberFormat="1" applyFont="1" applyFill="0" applyBorder="1" applyAlignment="1" applyProtection="0">
      <alignment horizontal="right" vertical="bottom" readingOrder="2"/>
    </xf>
    <xf numFmtId="49" fontId="7" fillId="8" borderId="4" applyNumberFormat="1" applyFont="1" applyFill="1" applyBorder="1" applyAlignment="1" applyProtection="0">
      <alignment horizontal="right" vertical="bottom" readingOrder="2"/>
    </xf>
    <xf numFmtId="1" fontId="0" borderId="11" applyNumberFormat="1" applyFont="1" applyFill="0" applyBorder="1" applyAlignment="1" applyProtection="0">
      <alignment vertical="bottom"/>
    </xf>
    <xf numFmtId="1" fontId="0" borderId="12" applyNumberFormat="1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horizontal="right" vertical="bottom" readingOrder="2"/>
    </xf>
    <xf numFmtId="49" fontId="0" borderId="12" applyNumberFormat="1" applyFont="1" applyFill="0" applyBorder="1" applyAlignment="1" applyProtection="0">
      <alignment horizontal="right" vertical="bottom" readingOrder="2"/>
    </xf>
    <xf numFmtId="0" fontId="0" borderId="12" applyNumberFormat="1" applyFont="1" applyFill="0" applyBorder="1" applyAlignment="1" applyProtection="0">
      <alignment vertical="bottom"/>
    </xf>
    <xf numFmtId="59" fontId="0" borderId="2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horizontal="right" vertical="bottom" readingOrder="2"/>
    </xf>
    <xf numFmtId="49" fontId="0" borderId="3" applyNumberFormat="1" applyFont="1" applyFill="0" applyBorder="1" applyAlignment="1" applyProtection="0">
      <alignment horizontal="right" vertical="bottom" readingOrder="2"/>
    </xf>
    <xf numFmtId="0" fontId="0" borderId="3" applyNumberFormat="1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1" fontId="0" borderId="2" applyNumberFormat="1" applyFont="1" applyFill="0" applyBorder="1" applyAlignment="1" applyProtection="0">
      <alignment vertical="bottom"/>
    </xf>
    <xf numFmtId="1" fontId="0" borderId="3" applyNumberFormat="1" applyFont="1" applyFill="0" applyBorder="1" applyAlignment="1" applyProtection="0">
      <alignment vertical="bottom"/>
    </xf>
    <xf numFmtId="60" fontId="0" borderId="12" applyNumberFormat="1" applyFont="1" applyFill="0" applyBorder="1" applyAlignment="1" applyProtection="0">
      <alignment vertical="bottom"/>
    </xf>
    <xf numFmtId="60" fontId="0" borderId="3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1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3" fontId="0" borderId="3" applyNumberFormat="1" applyFont="1" applyFill="0" applyBorder="1" applyAlignment="1" applyProtection="0">
      <alignment vertical="bottom"/>
    </xf>
    <xf numFmtId="0" fontId="6" fillId="6" borderId="9" applyNumberFormat="0" applyFont="1" applyFill="1" applyBorder="1" applyAlignment="1" applyProtection="0">
      <alignment horizontal="center" vertical="center" wrapText="1"/>
    </xf>
    <xf numFmtId="59" fontId="0" borderId="1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49" fontId="6" fillId="6" borderId="15" applyNumberFormat="1" applyFont="1" applyFill="1" applyBorder="1" applyAlignment="1" applyProtection="0">
      <alignment horizontal="center" vertical="center" wrapText="1" readingOrder="2"/>
    </xf>
    <xf numFmtId="49" fontId="6" fillId="6" borderId="16" applyNumberFormat="1" applyFont="1" applyFill="1" applyBorder="1" applyAlignment="1" applyProtection="0">
      <alignment horizontal="center" vertical="center" wrapText="1" readingOrder="2"/>
    </xf>
    <xf numFmtId="49" fontId="6" fillId="6" borderId="17" applyNumberFormat="1" applyFont="1" applyFill="1" applyBorder="1" applyAlignment="1" applyProtection="0">
      <alignment horizontal="center" vertical="center" wrapText="1" readingOrder="2"/>
    </xf>
    <xf numFmtId="0" fontId="0" borderId="18" applyNumberFormat="0" applyFont="1" applyFill="0" applyBorder="1" applyAlignment="1" applyProtection="0">
      <alignment vertical="bottom"/>
    </xf>
    <xf numFmtId="0" fontId="0" fillId="9" borderId="15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horizontal="right" vertical="bottom" readingOrder="2"/>
    </xf>
    <xf numFmtId="59" fontId="0" fillId="9" borderId="16" applyNumberFormat="1" applyFont="1" applyFill="1" applyBorder="1" applyAlignment="1" applyProtection="0">
      <alignment vertical="bottom"/>
    </xf>
    <xf numFmtId="0" fontId="0" fillId="9" borderId="16" applyNumberFormat="1" applyFont="1" applyFill="1" applyBorder="1" applyAlignment="1" applyProtection="0">
      <alignment vertical="bottom"/>
    </xf>
    <xf numFmtId="3" fontId="0" fillId="9" borderId="16" applyNumberFormat="1" applyFont="1" applyFill="1" applyBorder="1" applyAlignment="1" applyProtection="0">
      <alignment vertical="bottom"/>
    </xf>
    <xf numFmtId="0" fontId="0" fillId="9" borderId="16" applyNumberFormat="0" applyFont="1" applyFill="1" applyBorder="1" applyAlignment="1" applyProtection="0">
      <alignment horizontal="right" vertical="bottom" readingOrder="2"/>
    </xf>
    <xf numFmtId="61" fontId="0" fillId="9" borderId="16" applyNumberFormat="1" applyFont="1" applyFill="1" applyBorder="1" applyAlignment="1" applyProtection="0">
      <alignment vertical="bottom"/>
    </xf>
    <xf numFmtId="0" fontId="0" fillId="9" borderId="16" applyNumberFormat="0" applyFont="1" applyFill="1" applyBorder="1" applyAlignment="1" applyProtection="0">
      <alignment vertical="bottom"/>
    </xf>
    <xf numFmtId="0" fontId="0" fillId="9" borderId="17" applyNumberFormat="0" applyFont="1" applyFill="1" applyBorder="1" applyAlignment="1" applyProtection="0">
      <alignment horizontal="right" vertical="bottom" readingOrder="2"/>
    </xf>
    <xf numFmtId="0" fontId="0" borderId="19" applyNumberFormat="1" applyFont="1" applyFill="0" applyBorder="1" applyAlignment="1" applyProtection="0">
      <alignment vertical="bottom"/>
    </xf>
    <xf numFmtId="49" fontId="0" borderId="20" applyNumberFormat="1" applyFont="1" applyFill="0" applyBorder="1" applyAlignment="1" applyProtection="0">
      <alignment horizontal="right" vertical="bottom" readingOrder="2"/>
    </xf>
    <xf numFmtId="59" fontId="0" borderId="20" applyNumberFormat="1" applyFont="1" applyFill="0" applyBorder="1" applyAlignment="1" applyProtection="0">
      <alignment vertical="bottom"/>
    </xf>
    <xf numFmtId="0" fontId="0" borderId="20" applyNumberFormat="1" applyFont="1" applyFill="0" applyBorder="1" applyAlignment="1" applyProtection="0">
      <alignment vertical="bottom"/>
    </xf>
    <xf numFmtId="3" fontId="0" borderId="20" applyNumberFormat="1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horizontal="right" vertical="bottom" readingOrder="2"/>
    </xf>
    <xf numFmtId="61" fontId="0" borderId="20" applyNumberFormat="1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horizontal="right" vertical="bottom" readingOrder="2"/>
    </xf>
    <xf numFmtId="0" fontId="0" borderId="2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9" borderId="15" applyNumberFormat="1" applyFont="1" applyFill="1" applyBorder="1" applyAlignment="1" applyProtection="0">
      <alignment horizontal="right" vertical="bottom" readingOrder="2"/>
    </xf>
    <xf numFmtId="1" fontId="0" fillId="9" borderId="16" applyNumberFormat="1" applyFont="1" applyFill="1" applyBorder="1" applyAlignment="1" applyProtection="0">
      <alignment vertical="bottom"/>
    </xf>
    <xf numFmtId="49" fontId="0" fillId="9" borderId="17" applyNumberFormat="1" applyFont="1" applyFill="1" applyBorder="1" applyAlignment="1" applyProtection="0">
      <alignment horizontal="right" vertical="bottom" readingOrder="2"/>
    </xf>
    <xf numFmtId="49" fontId="0" borderId="19" applyNumberFormat="1" applyFont="1" applyFill="0" applyBorder="1" applyAlignment="1" applyProtection="0">
      <alignment horizontal="right" vertical="bottom" readingOrder="2"/>
    </xf>
    <xf numFmtId="1" fontId="0" borderId="20" applyNumberFormat="1" applyFont="1" applyFill="0" applyBorder="1" applyAlignment="1" applyProtection="0">
      <alignment vertical="bottom"/>
    </xf>
    <xf numFmtId="49" fontId="0" borderId="21" applyNumberFormat="1" applyFont="1" applyFill="0" applyBorder="1" applyAlignment="1" applyProtection="0">
      <alignment horizontal="right" vertical="bottom" readingOrder="2"/>
    </xf>
    <xf numFmtId="0" fontId="0" applyNumberFormat="1" applyFont="1" applyFill="0" applyBorder="0" applyAlignment="1" applyProtection="0">
      <alignment vertical="bottom"/>
    </xf>
    <xf numFmtId="62" fontId="0" fillId="9" borderId="16" applyNumberFormat="1" applyFont="1" applyFill="1" applyBorder="1" applyAlignment="1" applyProtection="0">
      <alignment vertical="bottom"/>
    </xf>
    <xf numFmtId="63" fontId="0" fillId="9" borderId="17" applyNumberFormat="1" applyFont="1" applyFill="1" applyBorder="1" applyAlignment="1" applyProtection="0">
      <alignment vertical="bottom"/>
    </xf>
    <xf numFmtId="62" fontId="0" borderId="21" applyNumberFormat="1" applyFont="1" applyFill="0" applyBorder="1" applyAlignment="1" applyProtection="0">
      <alignment vertical="bottom"/>
    </xf>
    <xf numFmtId="63" fontId="0" fillId="9" borderId="23" applyNumberFormat="1" applyFont="1" applyFill="1" applyBorder="1" applyAlignment="1" applyProtection="0">
      <alignment vertical="bottom"/>
    </xf>
    <xf numFmtId="62" fontId="0" borderId="22" applyNumberFormat="1" applyFont="1" applyFill="0" applyBorder="1" applyAlignment="1" applyProtection="0">
      <alignment vertical="bottom"/>
    </xf>
    <xf numFmtId="63" fontId="0" borderId="2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center" wrapText="1" readingOrder="2"/>
    </xf>
    <xf numFmtId="0" fontId="4" fillId="4" borderId="4" applyNumberFormat="0" applyFont="1" applyFill="1" applyBorder="1" applyAlignment="1" applyProtection="0">
      <alignment horizontal="right" vertical="center" wrapText="1" readingOrder="2"/>
    </xf>
    <xf numFmtId="63" fontId="0" fillId="9" borderId="16" applyNumberFormat="1" applyFont="1" applyFill="1" applyBorder="1" applyAlignment="1" applyProtection="0">
      <alignment vertical="bottom"/>
    </xf>
    <xf numFmtId="62" fontId="0" borderId="20" applyNumberFormat="1" applyFont="1" applyFill="0" applyBorder="1" applyAlignment="1" applyProtection="0">
      <alignment vertical="bottom"/>
    </xf>
    <xf numFmtId="63" fontId="0" fillId="9" borderId="20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3" fontId="0" borderId="12" applyNumberFormat="1" applyFont="1" applyFill="0" applyBorder="1" applyAlignment="1" applyProtection="0">
      <alignment vertical="bottom"/>
    </xf>
    <xf numFmtId="63" fontId="0" borderId="12" applyNumberFormat="1" applyFont="1" applyFill="0" applyBorder="1" applyAlignment="1" applyProtection="0">
      <alignment vertical="bottom"/>
    </xf>
    <xf numFmtId="63" fontId="0" borderId="3" applyNumberFormat="1" applyFont="1" applyFill="0" applyBorder="1" applyAlignment="1" applyProtection="0">
      <alignment vertical="bottom"/>
    </xf>
    <xf numFmtId="3" fontId="0" borderId="2" applyNumberFormat="1" applyFont="1" applyFill="0" applyBorder="1" applyAlignment="1" applyProtection="0">
      <alignment vertical="bottom"/>
    </xf>
    <xf numFmtId="49" fontId="7" fillId="8" borderId="24" applyNumberFormat="1" applyFont="1" applyFill="1" applyBorder="1" applyAlignment="1" applyProtection="0">
      <alignment horizontal="right" vertical="bottom" readingOrder="2"/>
    </xf>
    <xf numFmtId="0" fontId="0" applyNumberFormat="1" applyFont="1" applyFill="0" applyBorder="0" applyAlignment="1" applyProtection="0">
      <alignment vertical="bottom"/>
    </xf>
    <xf numFmtId="63" fontId="0" borderId="16" applyNumberFormat="1" applyFont="1" applyFill="0" applyBorder="1" applyAlignment="1" applyProtection="0">
      <alignment vertical="bottom"/>
    </xf>
    <xf numFmtId="60" fontId="0" fillId="9" borderId="17" applyNumberFormat="1" applyFont="1" applyFill="1" applyBorder="1" applyAlignment="1" applyProtection="0">
      <alignment vertical="bottom"/>
    </xf>
    <xf numFmtId="63" fontId="0" borderId="20" applyNumberFormat="1" applyFont="1" applyFill="0" applyBorder="1" applyAlignment="1" applyProtection="0">
      <alignment vertical="bottom"/>
    </xf>
    <xf numFmtId="60" fontId="0" borderId="2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1" fontId="0" borderId="1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6" borderId="25" applyNumberFormat="1" applyFont="1" applyFill="1" applyBorder="1" applyAlignment="1" applyProtection="0">
      <alignment horizontal="center" vertical="center" wrapText="1" readingOrder="2"/>
    </xf>
    <xf numFmtId="49" fontId="0" fillId="3" borderId="12" applyNumberFormat="1" applyFont="1" applyFill="1" applyBorder="1" applyAlignment="1" applyProtection="0">
      <alignment horizontal="right" vertical="bottom" wrapText="1" readingOrder="2"/>
    </xf>
    <xf numFmtId="49" fontId="0" fillId="3" borderId="3" applyNumberFormat="1" applyFont="1" applyFill="1" applyBorder="1" applyAlignment="1" applyProtection="0">
      <alignment horizontal="right" vertical="bottom" wrapText="1" readingOrder="2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f4c5c"/>
      <rgbColor rgb="ffaaaaaa"/>
      <rgbColor rgb="ff334155"/>
      <rgbColor rgb="fff8fafc"/>
      <rgbColor rgb="ff2f855a"/>
      <rgbColor rgb="ff0f172a"/>
      <rgbColor rgb="ffd9eaf7"/>
      <rgbColor rgb="fffff4e5"/>
      <rgbColor rgb="ffeef6ff"/>
      <rgbColor rgb="ff729fb3"/>
      <rgbColor rgb="ffd0df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52"/>
  <sheetViews>
    <sheetView workbookViewId="0" showGridLines="0" defaultGridColor="1"/>
  </sheetViews>
  <sheetFormatPr defaultColWidth="8.83333" defaultRowHeight="15" customHeight="1" outlineLevelRow="0" outlineLevelCol="0"/>
  <cols>
    <col min="1" max="1" width="24" style="1" customWidth="1"/>
    <col min="2" max="3" width="14" style="1" customWidth="1"/>
    <col min="4" max="4" width="16" style="1" customWidth="1"/>
    <col min="5" max="5" width="28" style="1" customWidth="1"/>
    <col min="6" max="7" width="8.85156" style="1" customWidth="1"/>
    <col min="8" max="8" width="18" style="1" customWidth="1"/>
    <col min="9" max="9" width="10" style="1" customWidth="1"/>
    <col min="10" max="10" width="8.85156" style="1" customWidth="1"/>
    <col min="11" max="12" width="22" style="1" customWidth="1"/>
    <col min="13" max="14" width="5" style="1" customWidth="1"/>
    <col min="15" max="26" width="8.85156" style="1" customWidth="1"/>
    <col min="27" max="16384" width="8.85156" style="1" customWidth="1"/>
  </cols>
  <sheetData>
    <row r="1" ht="24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" customHeight="1">
      <c r="A2" t="s" s="5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" customHeight="1">
      <c r="A3" s="8"/>
      <c r="B3" s="7"/>
      <c r="C3" s="7"/>
      <c r="D3" s="7"/>
      <c r="E3" s="7"/>
      <c r="F3" s="7"/>
      <c r="G3" s="7"/>
      <c r="H3" s="9"/>
      <c r="I3" s="7"/>
      <c r="J3" s="7"/>
      <c r="K3" s="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t="s" s="10">
        <v>2</v>
      </c>
      <c r="B4" s="11"/>
      <c r="C4" s="9"/>
      <c r="D4" s="9"/>
      <c r="E4" s="9"/>
      <c r="F4" s="7"/>
      <c r="G4" s="12"/>
      <c r="H4" t="s" s="13">
        <v>3</v>
      </c>
      <c r="I4" s="11"/>
      <c r="J4" s="12"/>
      <c r="K4" t="s" s="13">
        <v>4</v>
      </c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0" customHeight="1">
      <c r="A5" t="s" s="14">
        <v>5</v>
      </c>
      <c r="B5" t="s" s="15">
        <v>6</v>
      </c>
      <c r="C5" t="s" s="15">
        <v>7</v>
      </c>
      <c r="D5" t="s" s="15">
        <v>8</v>
      </c>
      <c r="E5" t="s" s="15">
        <v>9</v>
      </c>
      <c r="F5" s="6"/>
      <c r="G5" s="12"/>
      <c r="H5" t="s" s="15">
        <v>10</v>
      </c>
      <c r="I5" t="s" s="15">
        <v>11</v>
      </c>
      <c r="J5" s="16"/>
      <c r="K5" t="s" s="17">
        <v>12</v>
      </c>
      <c r="L5" t="s" s="18">
        <v>13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" customHeight="1">
      <c r="A6" t="s" s="19">
        <v>14</v>
      </c>
      <c r="B6" s="20" cm="1">
        <f t="array" ref="B6">120</f>
        <v>120</v>
      </c>
      <c r="C6" s="21">
        <v>120</v>
      </c>
      <c r="D6" t="str" s="22" cm="1">
        <f t="array" ref="D6">IF(B6=C6,"ضمن الهدف","محدث")</f>
        <v>ضمن الهدف</v>
      </c>
      <c r="E6" t="s" s="23">
        <v>16</v>
      </c>
      <c r="F6" s="7"/>
      <c r="G6" s="7"/>
      <c r="H6" t="s" s="23">
        <v>17</v>
      </c>
      <c r="I6" s="24">
        <v>20</v>
      </c>
      <c r="J6" s="12"/>
      <c r="K6" t="s" s="17">
        <v>18</v>
      </c>
      <c r="L6" t="s" s="18">
        <v>19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" customHeight="1">
      <c r="A7" t="s" s="19">
        <v>20</v>
      </c>
      <c r="B7" s="25">
        <v>0.557871666666667</v>
      </c>
      <c r="C7" s="26">
        <v>0.58</v>
      </c>
      <c r="D7" t="str" s="27" cm="1">
        <f t="array" ref="D7">IF(B7&gt;=C7,"ضمن الهدف",IF(B7&gt;=C7*0.95,"قريب من الهدف","بحاجة إلى تحسين"))</f>
        <v>قريب من الهدف</v>
      </c>
      <c r="E7" t="s" s="28">
        <v>22</v>
      </c>
      <c r="F7" s="7"/>
      <c r="G7" s="7"/>
      <c r="H7" t="s" s="28">
        <v>23</v>
      </c>
      <c r="I7" s="29">
        <v>18</v>
      </c>
      <c r="J7" s="12"/>
      <c r="K7" t="s" s="17">
        <v>24</v>
      </c>
      <c r="L7" t="s" s="18">
        <v>25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" customHeight="1">
      <c r="A8" t="s" s="19">
        <v>26</v>
      </c>
      <c r="B8" s="25">
        <v>0.964965466211448</v>
      </c>
      <c r="C8" s="26">
        <v>0.9</v>
      </c>
      <c r="D8" t="str" s="27" cm="1">
        <f t="array" ref="D8">IF(B8&gt;=C8,"ضمن الهدف",IF(B8&gt;=C8*0.95,"قريب من الهدف","بحاجة إلى تحسين"))</f>
        <v>ضمن الهدف</v>
      </c>
      <c r="E8" t="s" s="28">
        <v>27</v>
      </c>
      <c r="F8" s="7"/>
      <c r="G8" s="7"/>
      <c r="H8" t="s" s="28">
        <v>28</v>
      </c>
      <c r="I8" s="29">
        <v>22</v>
      </c>
      <c r="J8" s="12"/>
      <c r="K8" t="s" s="17">
        <v>29</v>
      </c>
      <c r="L8" t="s" s="18">
        <v>30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" customHeight="1">
      <c r="A9" t="s" s="19">
        <v>31</v>
      </c>
      <c r="B9" s="25">
        <v>0.868571428571429</v>
      </c>
      <c r="C9" s="26">
        <v>0.9</v>
      </c>
      <c r="D9" t="str" s="27" cm="1">
        <f t="array" ref="D9">IF(B9&gt;=C9,"ضمن الهدف",IF(B9&gt;=C9*0.95,"قريب من الهدف","بحاجة إلى تحسين"))</f>
        <v>قريب من الهدف</v>
      </c>
      <c r="E9" t="s" s="28">
        <v>32</v>
      </c>
      <c r="F9" s="7"/>
      <c r="G9" s="7"/>
      <c r="H9" t="s" s="28">
        <v>33</v>
      </c>
      <c r="I9" s="29">
        <v>16</v>
      </c>
      <c r="J9" s="7"/>
      <c r="K9" s="3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" customHeight="1">
      <c r="A10" t="s" s="19">
        <v>34</v>
      </c>
      <c r="B10" s="25">
        <v>0.744360902255639</v>
      </c>
      <c r="C10" s="26">
        <v>0.9</v>
      </c>
      <c r="D10" t="str" s="27" cm="1">
        <f t="array" ref="D10">IF(B10&gt;=C10,"ضمن الهدف",IF(B10&gt;=C10*0.95,"قريب من الهدف","بحاجة إلى تحسين"))</f>
        <v>بحاجة إلى تحسين</v>
      </c>
      <c r="E10" t="s" s="28">
        <v>36</v>
      </c>
      <c r="F10" s="7"/>
      <c r="G10" s="7"/>
      <c r="H10" t="s" s="28">
        <v>37</v>
      </c>
      <c r="I10" s="29">
        <v>20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" customHeight="1">
      <c r="A11" t="s" s="19">
        <v>38</v>
      </c>
      <c r="B11" s="25">
        <v>0.0140238372093023</v>
      </c>
      <c r="C11" s="26">
        <v>0.05</v>
      </c>
      <c r="D11" t="str" s="27" cm="1">
        <f t="array" ref="D11">IF(B11&lt;=C11,"ضمن الهدف",IF(B11&lt;=C11*1.15,"قريب من الهدف","بحاجة إلى تحسين"))</f>
        <v>ضمن الهدف</v>
      </c>
      <c r="E11" t="s" s="28">
        <v>39</v>
      </c>
      <c r="F11" s="7"/>
      <c r="G11" s="7"/>
      <c r="H11" t="s" s="28">
        <v>40</v>
      </c>
      <c r="I11" s="29">
        <v>24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" customHeight="1">
      <c r="A12" t="s" s="19">
        <v>41</v>
      </c>
      <c r="B12" s="31">
        <v>102</v>
      </c>
      <c r="C12" s="32">
        <v>85</v>
      </c>
      <c r="D12" t="str" s="27" cm="1">
        <f t="array" ref="D12">IF(B12&lt;=C12,"ضمن الهدف",IF(B12&lt;=C12*1.15,"قريب من الهدف","بحاجة إلى تحسين"))</f>
        <v>بحاجة إلى تحسين</v>
      </c>
      <c r="E12" t="s" s="28">
        <v>42</v>
      </c>
      <c r="F12" s="7"/>
      <c r="G12" s="7"/>
      <c r="H12" s="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6.5" customHeight="1">
      <c r="A13" t="s" s="19">
        <v>43</v>
      </c>
      <c r="B13" s="31">
        <v>24</v>
      </c>
      <c r="C13" s="32">
        <v>18</v>
      </c>
      <c r="D13" t="str" s="27" cm="1">
        <f t="array" ref="D13">IF(B13&gt;=C13,"ضمن الهدف",IF(B13&gt;=C13*0.95,"قريب من الهدف","بحاجة إلى تحسين"))</f>
        <v>ضمن الهدف</v>
      </c>
      <c r="E13" t="s" s="28">
        <v>44</v>
      </c>
      <c r="F13" s="7"/>
      <c r="G13" s="12"/>
      <c r="H13" t="s" s="13">
        <v>45</v>
      </c>
      <c r="I13" s="1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0" customHeight="1">
      <c r="A14" s="30"/>
      <c r="B14" s="7"/>
      <c r="C14" s="7"/>
      <c r="D14" s="7"/>
      <c r="E14" s="7"/>
      <c r="F14" s="7"/>
      <c r="G14" s="12"/>
      <c r="H14" t="s" s="15">
        <v>46</v>
      </c>
      <c r="I14" t="s" s="15">
        <v>47</v>
      </c>
      <c r="J14" s="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" customHeight="1">
      <c r="A15" s="7"/>
      <c r="B15" s="7"/>
      <c r="C15" s="7"/>
      <c r="D15" s="7"/>
      <c r="E15" s="7"/>
      <c r="F15" s="7"/>
      <c r="G15" s="7"/>
      <c r="H15" t="s" s="23">
        <v>48</v>
      </c>
      <c r="I15" s="33">
        <v>80.90000000000001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" customHeight="1">
      <c r="A16" s="7"/>
      <c r="B16" s="7"/>
      <c r="C16" s="7"/>
      <c r="D16" s="7"/>
      <c r="E16" s="7"/>
      <c r="F16" s="7"/>
      <c r="G16" s="7"/>
      <c r="H16" t="s" s="28">
        <v>49</v>
      </c>
      <c r="I16" s="34">
        <v>78.59999999999999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" customHeight="1">
      <c r="A17" s="7"/>
      <c r="B17" s="7"/>
      <c r="C17" s="7"/>
      <c r="D17" s="7"/>
      <c r="E17" s="7"/>
      <c r="F17" s="7"/>
      <c r="G17" s="7"/>
      <c r="H17" t="s" s="28">
        <v>50</v>
      </c>
      <c r="I17" s="34">
        <v>77.40000000000001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" customHeight="1">
      <c r="A18" s="7"/>
      <c r="B18" s="7"/>
      <c r="C18" s="7"/>
      <c r="D18" s="7"/>
      <c r="E18" s="7"/>
      <c r="F18" s="7"/>
      <c r="G18" s="7"/>
      <c r="H18" t="s" s="28">
        <v>51</v>
      </c>
      <c r="I18" s="34">
        <v>77.7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</sheetData>
  <mergeCells count="6">
    <mergeCell ref="A1:N1"/>
    <mergeCell ref="A2:N2"/>
    <mergeCell ref="A4:F4"/>
    <mergeCell ref="H4:J4"/>
    <mergeCell ref="H13:J13"/>
    <mergeCell ref="K4:N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25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5" customWidth="1"/>
    <col min="2" max="2" width="20" style="35" customWidth="1"/>
    <col min="3" max="3" width="18" style="35" customWidth="1"/>
    <col min="4" max="4" width="30" style="35" customWidth="1"/>
    <col min="5" max="5" width="14" style="35" customWidth="1"/>
    <col min="6" max="6" width="12" style="35" customWidth="1"/>
    <col min="7" max="7" width="30" style="35" customWidth="1"/>
    <col min="8" max="8" width="5" style="35" customWidth="1"/>
    <col min="9" max="26" width="8.85156" style="35" customWidth="1"/>
    <col min="27" max="16384" width="8.85156" style="35" customWidth="1"/>
  </cols>
  <sheetData>
    <row r="1" ht="24" customHeight="1">
      <c r="A1" t="s" s="2">
        <v>52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" customHeight="1">
      <c r="A2" t="s" s="5">
        <v>53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" customHeight="1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t="s" s="10">
        <v>54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" customHeight="1">
      <c r="A5" t="s" s="23">
        <v>55</v>
      </c>
      <c r="B5" t="s" s="28">
        <v>56</v>
      </c>
      <c r="C5" t="s" s="28">
        <v>57</v>
      </c>
      <c r="D5" s="36">
        <v>45662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" customHeight="1">
      <c r="A6" t="s" s="28">
        <v>58</v>
      </c>
      <c r="B6" s="36">
        <v>46112</v>
      </c>
      <c r="C6" t="s" s="28">
        <v>59</v>
      </c>
      <c r="D6" t="s" s="37">
        <v>60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" customHeight="1">
      <c r="A7" t="s" s="28">
        <v>61</v>
      </c>
      <c r="B7" s="38">
        <v>120</v>
      </c>
      <c r="C7" t="s" s="28">
        <v>62</v>
      </c>
      <c r="D7" s="38">
        <v>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" customHeight="1">
      <c r="A8" t="s" s="28">
        <v>63</v>
      </c>
      <c r="B8" s="38">
        <v>278000000</v>
      </c>
      <c r="C8" t="s" s="28">
        <v>64</v>
      </c>
      <c r="D8" s="38">
        <v>154800000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" customHeight="1">
      <c r="A9" t="s" s="28">
        <v>65</v>
      </c>
      <c r="B9" s="26">
        <v>0.58</v>
      </c>
      <c r="C9" t="s" s="28">
        <v>66</v>
      </c>
      <c r="D9" s="2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" customHeight="1">
      <c r="A10" s="9"/>
      <c r="B10" s="7"/>
      <c r="C10" s="7"/>
      <c r="D10" s="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6.5" customHeight="1">
      <c r="A11" t="s" s="10">
        <v>67</v>
      </c>
      <c r="B11" s="11"/>
      <c r="C11" s="12"/>
      <c r="D11" t="s" s="13">
        <v>68</v>
      </c>
      <c r="E11" s="11"/>
      <c r="F11" s="9"/>
      <c r="G11" s="9"/>
      <c r="H11" s="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0" customHeight="1">
      <c r="A12" t="s" s="14">
        <v>69</v>
      </c>
      <c r="B12" t="s" s="15">
        <v>6</v>
      </c>
      <c r="C12" s="16"/>
      <c r="D12" t="s" s="15">
        <v>70</v>
      </c>
      <c r="E12" t="s" s="15">
        <v>6</v>
      </c>
      <c r="F12" t="s" s="15">
        <v>7</v>
      </c>
      <c r="G12" t="s" s="15">
        <v>71</v>
      </c>
      <c r="H12" s="39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" customHeight="1">
      <c r="A13" t="s" s="23">
        <v>72</v>
      </c>
      <c r="B13" s="40">
        <v>0.96</v>
      </c>
      <c r="C13" s="7"/>
      <c r="D13" t="s" s="23">
        <v>20</v>
      </c>
      <c r="E13" s="40">
        <v>0.557871666666667</v>
      </c>
      <c r="F13" s="40">
        <v>0.58</v>
      </c>
      <c r="G13" t="s" s="23">
        <v>73</v>
      </c>
      <c r="H13" s="30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" customHeight="1">
      <c r="A14" t="s" s="28">
        <v>74</v>
      </c>
      <c r="B14" s="26">
        <v>0.91</v>
      </c>
      <c r="C14" s="7"/>
      <c r="D14" t="s" s="28">
        <v>31</v>
      </c>
      <c r="E14" s="26" cm="1">
        <f t="array" ref="E14">COUNTIF('الفحوصات_والاختبارات'!$G$5:$G$704,"مقبول من أول مرة")/COUNTA('الفحوصات_والاختبارات'!$A$5:$A$704)</f>
        <v>0.868571428571429</v>
      </c>
      <c r="F14" s="26">
        <v>0.9</v>
      </c>
      <c r="G14" t="s" s="28">
        <v>75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" customHeight="1">
      <c r="A15" t="s" s="28">
        <v>76</v>
      </c>
      <c r="B15" s="26">
        <v>0.93</v>
      </c>
      <c r="C15" s="7"/>
      <c r="D15" t="s" s="28">
        <v>77</v>
      </c>
      <c r="E15" s="26" cm="1">
        <f t="array" ref="E15">1-(COUNTIF('الفحوصات_والاختبارات'!$G$5:$G$704,"مرفوض")/COUNTA('الفحوصات_والاختبارات'!$A$5:$A$704))</f>
        <v>0.991428571428571</v>
      </c>
      <c r="F15" s="26">
        <v>0.98</v>
      </c>
      <c r="G15" t="s" s="28">
        <v>78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" customHeight="1">
      <c r="A16" t="s" s="28">
        <v>79</v>
      </c>
      <c r="B16" s="26">
        <v>0.88</v>
      </c>
      <c r="C16" s="7"/>
      <c r="D16" t="s" s="28">
        <v>34</v>
      </c>
      <c r="E16" s="26">
        <v>0.744360902255639</v>
      </c>
      <c r="F16" s="26">
        <v>0.9</v>
      </c>
      <c r="G16" t="s" s="28">
        <v>80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" customHeight="1">
      <c r="A17" t="s" s="28">
        <v>81</v>
      </c>
      <c r="B17" s="26">
        <v>0.95</v>
      </c>
      <c r="C17" s="7"/>
      <c r="D17" t="s" s="28">
        <v>82</v>
      </c>
      <c r="E17" s="32">
        <v>102</v>
      </c>
      <c r="F17" s="32">
        <v>85</v>
      </c>
      <c r="G17" t="s" s="28">
        <v>83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" customHeight="1">
      <c r="A18" t="s" s="28">
        <v>84</v>
      </c>
      <c r="B18" s="26">
        <v>0.9399999999999999</v>
      </c>
      <c r="C18" s="7"/>
      <c r="D18" t="s" s="28">
        <v>85</v>
      </c>
      <c r="E18" s="32">
        <v>12.0707070707071</v>
      </c>
      <c r="F18" s="32">
        <v>14</v>
      </c>
      <c r="G18" t="s" s="28">
        <v>86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" customHeight="1">
      <c r="A19" t="s" s="28">
        <v>87</v>
      </c>
      <c r="B19" s="26">
        <v>0.95</v>
      </c>
      <c r="C19" s="7"/>
      <c r="D19" t="s" s="28">
        <v>88</v>
      </c>
      <c r="E19" s="38">
        <v>1070381</v>
      </c>
      <c r="F19" s="38">
        <v>0</v>
      </c>
      <c r="G19" t="s" s="28">
        <v>89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" customHeight="1">
      <c r="A20" t="s" s="28">
        <v>90</v>
      </c>
      <c r="B20" s="26">
        <v>0.87</v>
      </c>
      <c r="C20" s="7"/>
      <c r="D20" t="s" s="28">
        <v>38</v>
      </c>
      <c r="E20" s="26">
        <v>0.0140238372093023</v>
      </c>
      <c r="F20" s="26">
        <v>0.05</v>
      </c>
      <c r="G20" t="s" s="28">
        <v>91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" customHeight="1">
      <c r="A21" t="s" s="28">
        <v>92</v>
      </c>
      <c r="B21" s="26">
        <v>0.93</v>
      </c>
      <c r="C21" s="7"/>
      <c r="D21" t="s" s="28">
        <v>93</v>
      </c>
      <c r="E21" s="32">
        <v>24</v>
      </c>
      <c r="F21" s="32">
        <v>18</v>
      </c>
      <c r="G21" t="s" s="28">
        <v>94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" customHeight="1">
      <c r="A22" t="s" s="28">
        <v>95</v>
      </c>
      <c r="B22" s="26">
        <v>0.9</v>
      </c>
      <c r="C22" s="7"/>
      <c r="D22" t="s" s="28">
        <v>96</v>
      </c>
      <c r="E22" s="32">
        <v>78.65000000000001</v>
      </c>
      <c r="F22" s="32">
        <v>85</v>
      </c>
      <c r="G22" t="s" s="28">
        <v>97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" customHeight="1">
      <c r="A23" t="s" s="28">
        <v>98</v>
      </c>
      <c r="B23" s="26">
        <v>0.89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" customHeight="1">
      <c r="A24" t="s" s="28">
        <v>99</v>
      </c>
      <c r="B24" s="26">
        <v>0.92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" customHeight="1">
      <c r="A25" t="s" s="28">
        <v>100</v>
      </c>
      <c r="B25" s="29">
        <v>0.88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</sheetData>
  <mergeCells count="5">
    <mergeCell ref="A1:H1"/>
    <mergeCell ref="A2:H2"/>
    <mergeCell ref="A4:H4"/>
    <mergeCell ref="A11:B11"/>
    <mergeCell ref="D11:H1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Z88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41" customWidth="1"/>
    <col min="2" max="2" width="34" style="41" customWidth="1"/>
    <col min="3" max="3" width="36" style="41" customWidth="1"/>
    <col min="4" max="4" width="24" style="41" customWidth="1"/>
    <col min="5" max="8" width="12" style="41" customWidth="1"/>
    <col min="9" max="26" width="8.85156" style="41" customWidth="1"/>
    <col min="27" max="16384" width="8.85156" style="41" customWidth="1"/>
  </cols>
  <sheetData>
    <row r="1" ht="24" customHeight="1">
      <c r="A1" t="s" s="2">
        <v>101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" customHeight="1">
      <c r="A2" t="s" s="5">
        <v>102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" customHeight="1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t="s" s="10">
        <v>103</v>
      </c>
      <c r="B4" s="11"/>
      <c r="C4" s="9"/>
      <c r="D4" s="9"/>
      <c r="E4" s="9"/>
      <c r="F4" s="9"/>
      <c r="G4" s="9"/>
      <c r="H4" s="9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0" customHeight="1">
      <c r="A5" t="s" s="14">
        <v>104</v>
      </c>
      <c r="B5" t="s" s="15">
        <v>105</v>
      </c>
      <c r="C5" t="s" s="15">
        <v>106</v>
      </c>
      <c r="D5" t="s" s="15">
        <v>107</v>
      </c>
      <c r="E5" t="s" s="15">
        <v>108</v>
      </c>
      <c r="F5" t="s" s="15">
        <v>7</v>
      </c>
      <c r="G5" t="s" s="15">
        <v>109</v>
      </c>
      <c r="H5" t="s" s="15">
        <v>110</v>
      </c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" customHeight="1">
      <c r="A6" s="24">
        <v>1</v>
      </c>
      <c r="B6" t="s" s="23">
        <v>111</v>
      </c>
      <c r="C6" s="40">
        <v>0.06</v>
      </c>
      <c r="D6" t="s" s="23">
        <v>112</v>
      </c>
      <c r="E6" s="40">
        <v>0.933333333333333</v>
      </c>
      <c r="F6" s="40">
        <v>0.95</v>
      </c>
      <c r="G6" s="40" cm="1">
        <f t="array" ref="G6">IF(D6="أعلى أفضل",MIN(E6/F6,1),MIN(F6/E6,1))</f>
        <v>0.982456140350877</v>
      </c>
      <c r="H6" s="40" cm="1">
        <f t="array" ref="H6">C6*G6</f>
        <v>0.0589473684210526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" customHeight="1">
      <c r="A7" s="29">
        <v>2</v>
      </c>
      <c r="B7" t="s" s="28">
        <v>113</v>
      </c>
      <c r="C7" s="26">
        <v>0.05</v>
      </c>
      <c r="D7" t="s" s="28">
        <v>112</v>
      </c>
      <c r="E7" s="26">
        <v>0.88</v>
      </c>
      <c r="F7" s="26">
        <v>0.9</v>
      </c>
      <c r="G7" s="26" cm="1">
        <f t="array" ref="G7">IF(D7="أعلى أفضل",MIN(E7/F7,1),MIN(F7/E7,1))</f>
        <v>0.977777777777778</v>
      </c>
      <c r="H7" s="26" cm="1">
        <f t="array" ref="H7">C7*G7</f>
        <v>0.0488888888888889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" customHeight="1">
      <c r="A8" s="29">
        <v>3</v>
      </c>
      <c r="B8" t="s" s="28">
        <v>114</v>
      </c>
      <c r="C8" s="26">
        <v>0.07000000000000001</v>
      </c>
      <c r="D8" t="s" s="28">
        <v>112</v>
      </c>
      <c r="E8" s="26">
        <v>0.95</v>
      </c>
      <c r="F8" s="26">
        <v>0.95</v>
      </c>
      <c r="G8" s="26" cm="1">
        <f t="array" ref="G8">IF(D8="أعلى أفضل",MIN(E8/F8,1),MIN(F8/E8,1))</f>
        <v>1</v>
      </c>
      <c r="H8" s="26" cm="1">
        <f t="array" ref="H8">C8*G8</f>
        <v>0.07000000000000001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" customHeight="1">
      <c r="A9" s="29">
        <v>4</v>
      </c>
      <c r="B9" t="s" s="28">
        <v>115</v>
      </c>
      <c r="C9" s="26">
        <v>0.05</v>
      </c>
      <c r="D9" t="s" s="28">
        <v>112</v>
      </c>
      <c r="E9" s="26">
        <v>0.9399999999999999</v>
      </c>
      <c r="F9" s="26">
        <v>0.95</v>
      </c>
      <c r="G9" s="26" cm="1">
        <f t="array" ref="G9">IF(D9="أعلى أفضل",MIN(E9/F9,1),MIN(F9/E9,1))</f>
        <v>0.989473684210526</v>
      </c>
      <c r="H9" s="26" cm="1">
        <f t="array" ref="H9">C9*G9</f>
        <v>0.0494736842105263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" customHeight="1">
      <c r="A10" s="29">
        <v>5</v>
      </c>
      <c r="B10" t="s" s="28">
        <v>116</v>
      </c>
      <c r="C10" s="26">
        <v>0.07000000000000001</v>
      </c>
      <c r="D10" t="s" s="28">
        <v>112</v>
      </c>
      <c r="E10" s="26">
        <v>0.95</v>
      </c>
      <c r="F10" s="26">
        <v>0.95</v>
      </c>
      <c r="G10" s="26" cm="1">
        <f t="array" ref="G10">IF(D10="أعلى أفضل",MIN(E10/F10,1),MIN(F10/E10,1))</f>
        <v>1</v>
      </c>
      <c r="H10" s="26" cm="1">
        <f t="array" ref="H10">C10*G10</f>
        <v>0.07000000000000001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" customHeight="1">
      <c r="A11" s="29">
        <v>6</v>
      </c>
      <c r="B11" t="s" s="28">
        <v>117</v>
      </c>
      <c r="C11" s="26">
        <v>0.13</v>
      </c>
      <c r="D11" t="s" s="28">
        <v>112</v>
      </c>
      <c r="E11" s="26">
        <v>0.868571428571429</v>
      </c>
      <c r="F11" s="26">
        <v>0.9</v>
      </c>
      <c r="G11" s="26" cm="1">
        <f t="array" ref="G11">IF(D11="أعلى أفضل",MIN(E11/F11,1),MIN(F11/E11,1))</f>
        <v>0.965079365079366</v>
      </c>
      <c r="H11" s="26" cm="1">
        <f t="array" ref="H11">C11*G11</f>
        <v>0.125460317460318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" customHeight="1">
      <c r="A12" s="29">
        <v>7</v>
      </c>
      <c r="B12" t="s" s="28">
        <v>118</v>
      </c>
      <c r="C12" s="26">
        <v>0.08</v>
      </c>
      <c r="D12" t="s" s="28">
        <v>112</v>
      </c>
      <c r="E12" s="26">
        <v>0.991428571428571</v>
      </c>
      <c r="F12" s="26">
        <v>0.98</v>
      </c>
      <c r="G12" s="26" cm="1">
        <f t="array" ref="G12">IF(D12="أعلى أفضل",MIN(E12/F12,1),MIN(F12/E12,1))</f>
        <v>1</v>
      </c>
      <c r="H12" s="26" cm="1">
        <f t="array" ref="H12">C12*G12</f>
        <v>0.08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" customHeight="1">
      <c r="A13" s="29">
        <v>8</v>
      </c>
      <c r="B13" t="s" s="28">
        <v>119</v>
      </c>
      <c r="C13" s="26">
        <v>0.05</v>
      </c>
      <c r="D13" t="s" s="28">
        <v>112</v>
      </c>
      <c r="E13" s="26">
        <v>0.87</v>
      </c>
      <c r="F13" s="26">
        <v>0.9</v>
      </c>
      <c r="G13" s="26" cm="1">
        <f t="array" ref="G13">IF(D13="أعلى أفضل",MIN(E13/F13,1),MIN(F13/E13,1))</f>
        <v>0.966666666666667</v>
      </c>
      <c r="H13" s="26" cm="1">
        <f t="array" ref="H13">C13*G13</f>
        <v>0.0483333333333334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" customHeight="1">
      <c r="A14" s="29">
        <v>9</v>
      </c>
      <c r="B14" t="s" s="28">
        <v>120</v>
      </c>
      <c r="C14" s="26">
        <v>0.08</v>
      </c>
      <c r="D14" t="s" s="28">
        <v>112</v>
      </c>
      <c r="E14" s="26">
        <v>0.744360902255639</v>
      </c>
      <c r="F14" s="26">
        <v>0.9</v>
      </c>
      <c r="G14" s="26" cm="1">
        <f t="array" ref="G14">IF(D14="أعلى أفضل",MIN(E14/F14,1),MIN(F14/E14,1))</f>
        <v>0.827067669172932</v>
      </c>
      <c r="H14" s="26" cm="1">
        <f t="array" ref="H14">C14*G14</f>
        <v>0.06616541353383459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" customHeight="1">
      <c r="A15" s="29">
        <v>10</v>
      </c>
      <c r="B15" t="s" s="28">
        <v>121</v>
      </c>
      <c r="C15" s="26">
        <v>0.05</v>
      </c>
      <c r="D15" t="s" s="28">
        <v>112</v>
      </c>
      <c r="E15" s="26">
        <v>0.93</v>
      </c>
      <c r="F15" s="26">
        <v>0.95</v>
      </c>
      <c r="G15" s="26" cm="1">
        <f t="array" ref="G15">IF(D15="أعلى أفضل",MIN(E15/F15,1),MIN(F15/E15,1))</f>
        <v>0.978947368421053</v>
      </c>
      <c r="H15" s="26" cm="1">
        <f t="array" ref="H15">C15*G15</f>
        <v>0.0489473684210527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" customHeight="1">
      <c r="A16" s="29">
        <v>11</v>
      </c>
      <c r="B16" t="s" s="28">
        <v>122</v>
      </c>
      <c r="C16" s="26">
        <v>0.06</v>
      </c>
      <c r="D16" t="s" s="28">
        <v>112</v>
      </c>
      <c r="E16" s="26">
        <v>0.7865</v>
      </c>
      <c r="F16" s="26">
        <v>0.85</v>
      </c>
      <c r="G16" s="26" cm="1">
        <f t="array" ref="G16">IF(D16="أعلى أفضل",MIN(E16/F16,1),MIN(F16/E16,1))</f>
        <v>0.925294117647059</v>
      </c>
      <c r="H16" s="26" cm="1">
        <f t="array" ref="H16">C16*G16</f>
        <v>0.0555176470588235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" customHeight="1">
      <c r="A17" s="29">
        <v>12</v>
      </c>
      <c r="B17" t="s" s="28">
        <v>95</v>
      </c>
      <c r="C17" s="26">
        <v>0.04</v>
      </c>
      <c r="D17" t="s" s="28">
        <v>112</v>
      </c>
      <c r="E17" s="26">
        <v>0.9</v>
      </c>
      <c r="F17" s="26">
        <v>0.92</v>
      </c>
      <c r="G17" s="26" cm="1">
        <f t="array" ref="G17">IF(D17="أعلى أفضل",MIN(E17/F17,1),MIN(F17/E17,1))</f>
        <v>0.978260869565217</v>
      </c>
      <c r="H17" s="26" cm="1">
        <f t="array" ref="H17">C17*G17</f>
        <v>0.0391304347826087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" customHeight="1">
      <c r="A18" s="29">
        <v>13</v>
      </c>
      <c r="B18" t="s" s="28">
        <v>123</v>
      </c>
      <c r="C18" s="26">
        <v>0.06</v>
      </c>
      <c r="D18" t="s" s="28">
        <v>112</v>
      </c>
      <c r="E18" s="26">
        <v>0.545454545454545</v>
      </c>
      <c r="F18" s="26">
        <v>0.6</v>
      </c>
      <c r="G18" s="26" cm="1">
        <f t="array" ref="G18">IF(D18="أعلى أفضل",MIN(E18/F18,1),MIN(F18/E18,1))</f>
        <v>0.909090909090908</v>
      </c>
      <c r="H18" s="26" cm="1">
        <f t="array" ref="H18">C18*G18</f>
        <v>0.0545454545454545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" customHeight="1">
      <c r="A19" s="29">
        <v>14</v>
      </c>
      <c r="B19" t="s" s="28">
        <v>124</v>
      </c>
      <c r="C19" s="26">
        <v>0.04</v>
      </c>
      <c r="D19" t="s" s="28">
        <v>112</v>
      </c>
      <c r="E19" s="26">
        <v>0.89</v>
      </c>
      <c r="F19" s="26">
        <v>0.9</v>
      </c>
      <c r="G19" s="26" cm="1">
        <f t="array" ref="G19">IF(D19="أعلى أفضل",MIN(E19/F19,1),MIN(F19/E19,1))</f>
        <v>0.988888888888889</v>
      </c>
      <c r="H19" s="26" cm="1">
        <f t="array" ref="H19">C19*G19</f>
        <v>0.0395555555555556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" customHeight="1">
      <c r="A20" s="29">
        <v>15</v>
      </c>
      <c r="B20" t="s" s="28">
        <v>125</v>
      </c>
      <c r="C20" s="26">
        <v>0.04</v>
      </c>
      <c r="D20" t="s" s="28">
        <v>112</v>
      </c>
      <c r="E20" s="26">
        <v>0.9</v>
      </c>
      <c r="F20" s="26">
        <v>0.9</v>
      </c>
      <c r="G20" s="26" cm="1">
        <f t="array" ref="G20">IF(D20="أعلى أفضل",MIN(E20/F20,1),MIN(F20/E20,1))</f>
        <v>1</v>
      </c>
      <c r="H20" s="26" cm="1">
        <f t="array" ref="H20">C20*G20</f>
        <v>0.04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" customHeight="1">
      <c r="A21" s="29">
        <v>16</v>
      </c>
      <c r="B21" t="s" s="28">
        <v>126</v>
      </c>
      <c r="C21" s="26">
        <v>0.07000000000000001</v>
      </c>
      <c r="D21" t="s" s="28">
        <v>127</v>
      </c>
      <c r="E21" s="26">
        <v>0.0140238372093023</v>
      </c>
      <c r="F21" s="26">
        <v>0.05</v>
      </c>
      <c r="G21" s="26" cm="1">
        <f t="array" ref="G21">IF(D21="أعلى أفضل",MIN(E21/F21,1),MIN(F21/E21,1))</f>
        <v>1</v>
      </c>
      <c r="H21" s="26" cm="1">
        <f t="array" ref="H21">C21*G21</f>
        <v>0.07000000000000001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" customHeight="1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t="s" s="10">
        <v>128</v>
      </c>
      <c r="B23" s="11"/>
      <c r="C23" s="9"/>
      <c r="D23" s="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0" customHeight="1">
      <c r="A24" t="s" s="14">
        <v>129</v>
      </c>
      <c r="B24" t="s" s="15">
        <v>105</v>
      </c>
      <c r="C24" t="s" s="15">
        <v>130</v>
      </c>
      <c r="D24" t="s" s="15">
        <v>131</v>
      </c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" customHeight="1">
      <c r="A25" s="24">
        <v>1</v>
      </c>
      <c r="B25" t="s" s="23">
        <v>111</v>
      </c>
      <c r="C25" t="s" s="23">
        <v>132</v>
      </c>
      <c r="D25" t="s" s="23">
        <v>133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" customHeight="1">
      <c r="A26" s="29">
        <v>1</v>
      </c>
      <c r="B26" t="s" s="28">
        <v>111</v>
      </c>
      <c r="C26" t="s" s="28">
        <v>134</v>
      </c>
      <c r="D26" t="s" s="28">
        <v>135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" customHeight="1">
      <c r="A27" s="29">
        <v>1</v>
      </c>
      <c r="B27" t="s" s="28">
        <v>111</v>
      </c>
      <c r="C27" t="s" s="28">
        <v>136</v>
      </c>
      <c r="D27" t="s" s="28">
        <v>137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" customHeight="1">
      <c r="A28" s="29">
        <v>1</v>
      </c>
      <c r="B28" t="s" s="28">
        <v>111</v>
      </c>
      <c r="C28" t="s" s="28">
        <v>138</v>
      </c>
      <c r="D28" t="s" s="28">
        <v>139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" customHeight="1">
      <c r="A29" s="29">
        <v>2</v>
      </c>
      <c r="B29" t="s" s="28">
        <v>113</v>
      </c>
      <c r="C29" t="s" s="28">
        <v>140</v>
      </c>
      <c r="D29" t="s" s="28">
        <v>141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" customHeight="1">
      <c r="A30" s="29">
        <v>2</v>
      </c>
      <c r="B30" t="s" s="28">
        <v>113</v>
      </c>
      <c r="C30" t="s" s="28">
        <v>142</v>
      </c>
      <c r="D30" t="s" s="28">
        <v>143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" customHeight="1">
      <c r="A31" s="29">
        <v>2</v>
      </c>
      <c r="B31" t="s" s="28">
        <v>113</v>
      </c>
      <c r="C31" t="s" s="28">
        <v>144</v>
      </c>
      <c r="D31" t="s" s="28">
        <v>145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" customHeight="1">
      <c r="A32" s="29">
        <v>2</v>
      </c>
      <c r="B32" t="s" s="28">
        <v>113</v>
      </c>
      <c r="C32" t="s" s="28">
        <v>146</v>
      </c>
      <c r="D32" t="s" s="28">
        <v>147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" customHeight="1">
      <c r="A33" s="29">
        <v>3</v>
      </c>
      <c r="B33" t="s" s="28">
        <v>114</v>
      </c>
      <c r="C33" t="s" s="28">
        <v>148</v>
      </c>
      <c r="D33" t="s" s="28">
        <v>149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" customHeight="1">
      <c r="A34" s="29">
        <v>3</v>
      </c>
      <c r="B34" t="s" s="28">
        <v>114</v>
      </c>
      <c r="C34" t="s" s="28">
        <v>150</v>
      </c>
      <c r="D34" t="s" s="28">
        <v>151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" customHeight="1">
      <c r="A35" s="29">
        <v>3</v>
      </c>
      <c r="B35" t="s" s="28">
        <v>114</v>
      </c>
      <c r="C35" t="s" s="28">
        <v>152</v>
      </c>
      <c r="D35" t="s" s="28">
        <v>153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" customHeight="1">
      <c r="A36" s="29">
        <v>3</v>
      </c>
      <c r="B36" t="s" s="28">
        <v>114</v>
      </c>
      <c r="C36" t="s" s="28">
        <v>154</v>
      </c>
      <c r="D36" t="s" s="28">
        <v>155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" customHeight="1">
      <c r="A37" s="29">
        <v>4</v>
      </c>
      <c r="B37" t="s" s="28">
        <v>115</v>
      </c>
      <c r="C37" t="s" s="28">
        <v>156</v>
      </c>
      <c r="D37" t="s" s="28">
        <v>157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" customHeight="1">
      <c r="A38" s="29">
        <v>4</v>
      </c>
      <c r="B38" t="s" s="28">
        <v>115</v>
      </c>
      <c r="C38" t="s" s="28">
        <v>158</v>
      </c>
      <c r="D38" t="s" s="28">
        <v>159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" customHeight="1">
      <c r="A39" s="29">
        <v>4</v>
      </c>
      <c r="B39" t="s" s="28">
        <v>115</v>
      </c>
      <c r="C39" t="s" s="28">
        <v>160</v>
      </c>
      <c r="D39" t="s" s="28">
        <v>161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" customHeight="1">
      <c r="A40" s="29">
        <v>4</v>
      </c>
      <c r="B40" t="s" s="28">
        <v>115</v>
      </c>
      <c r="C40" t="s" s="28">
        <v>162</v>
      </c>
      <c r="D40" t="s" s="28">
        <v>163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" customHeight="1">
      <c r="A41" s="29">
        <v>5</v>
      </c>
      <c r="B41" t="s" s="28">
        <v>116</v>
      </c>
      <c r="C41" t="s" s="28">
        <v>164</v>
      </c>
      <c r="D41" t="s" s="28">
        <v>165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" customHeight="1">
      <c r="A42" s="29">
        <v>5</v>
      </c>
      <c r="B42" t="s" s="28">
        <v>116</v>
      </c>
      <c r="C42" t="s" s="28">
        <v>166</v>
      </c>
      <c r="D42" t="s" s="28">
        <v>167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" customHeight="1">
      <c r="A43" s="29">
        <v>5</v>
      </c>
      <c r="B43" t="s" s="28">
        <v>116</v>
      </c>
      <c r="C43" t="s" s="28">
        <v>168</v>
      </c>
      <c r="D43" t="s" s="28">
        <v>169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" customHeight="1">
      <c r="A44" s="29">
        <v>5</v>
      </c>
      <c r="B44" t="s" s="28">
        <v>116</v>
      </c>
      <c r="C44" t="s" s="28">
        <v>170</v>
      </c>
      <c r="D44" t="s" s="28">
        <v>171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" customHeight="1">
      <c r="A45" s="29">
        <v>6</v>
      </c>
      <c r="B45" t="s" s="28">
        <v>117</v>
      </c>
      <c r="C45" t="s" s="28">
        <v>172</v>
      </c>
      <c r="D45" t="s" s="28">
        <v>173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" customHeight="1">
      <c r="A46" s="29">
        <v>6</v>
      </c>
      <c r="B46" t="s" s="28">
        <v>117</v>
      </c>
      <c r="C46" t="s" s="28">
        <v>174</v>
      </c>
      <c r="D46" t="s" s="28">
        <v>175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" customHeight="1">
      <c r="A47" s="29">
        <v>6</v>
      </c>
      <c r="B47" t="s" s="28">
        <v>117</v>
      </c>
      <c r="C47" t="s" s="28">
        <v>176</v>
      </c>
      <c r="D47" t="s" s="28">
        <v>177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" customHeight="1">
      <c r="A48" s="29">
        <v>6</v>
      </c>
      <c r="B48" t="s" s="28">
        <v>117</v>
      </c>
      <c r="C48" t="s" s="28">
        <v>178</v>
      </c>
      <c r="D48" t="s" s="28">
        <v>179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" customHeight="1">
      <c r="A49" s="29">
        <v>7</v>
      </c>
      <c r="B49" t="s" s="28">
        <v>118</v>
      </c>
      <c r="C49" t="s" s="28">
        <v>180</v>
      </c>
      <c r="D49" t="s" s="28">
        <v>181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" customHeight="1">
      <c r="A50" s="29">
        <v>7</v>
      </c>
      <c r="B50" t="s" s="28">
        <v>118</v>
      </c>
      <c r="C50" t="s" s="28">
        <v>182</v>
      </c>
      <c r="D50" t="s" s="28">
        <v>183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" customHeight="1">
      <c r="A51" s="29">
        <v>7</v>
      </c>
      <c r="B51" t="s" s="28">
        <v>118</v>
      </c>
      <c r="C51" t="s" s="28">
        <v>184</v>
      </c>
      <c r="D51" t="s" s="28">
        <v>185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" customHeight="1">
      <c r="A52" s="29">
        <v>7</v>
      </c>
      <c r="B52" t="s" s="28">
        <v>118</v>
      </c>
      <c r="C52" t="s" s="28">
        <v>186</v>
      </c>
      <c r="D52" t="s" s="28">
        <v>187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" customHeight="1">
      <c r="A53" s="29">
        <v>8</v>
      </c>
      <c r="B53" t="s" s="28">
        <v>119</v>
      </c>
      <c r="C53" t="s" s="28">
        <v>188</v>
      </c>
      <c r="D53" t="s" s="28">
        <v>189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" customHeight="1">
      <c r="A54" s="29">
        <v>8</v>
      </c>
      <c r="B54" t="s" s="28">
        <v>119</v>
      </c>
      <c r="C54" t="s" s="28">
        <v>190</v>
      </c>
      <c r="D54" t="s" s="28">
        <v>191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" customHeight="1">
      <c r="A55" s="29">
        <v>8</v>
      </c>
      <c r="B55" t="s" s="28">
        <v>119</v>
      </c>
      <c r="C55" t="s" s="28">
        <v>192</v>
      </c>
      <c r="D55" t="s" s="28">
        <v>161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" customHeight="1">
      <c r="A56" s="29">
        <v>8</v>
      </c>
      <c r="B56" t="s" s="28">
        <v>119</v>
      </c>
      <c r="C56" t="s" s="28">
        <v>193</v>
      </c>
      <c r="D56" t="s" s="28">
        <v>194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" customHeight="1">
      <c r="A57" s="29">
        <v>9</v>
      </c>
      <c r="B57" t="s" s="28">
        <v>120</v>
      </c>
      <c r="C57" t="s" s="28">
        <v>195</v>
      </c>
      <c r="D57" t="s" s="28">
        <v>161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" customHeight="1">
      <c r="A58" s="29">
        <v>9</v>
      </c>
      <c r="B58" t="s" s="28">
        <v>120</v>
      </c>
      <c r="C58" t="s" s="28">
        <v>196</v>
      </c>
      <c r="D58" t="s" s="28">
        <v>177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" customHeight="1">
      <c r="A59" s="29">
        <v>9</v>
      </c>
      <c r="B59" t="s" s="28">
        <v>120</v>
      </c>
      <c r="C59" t="s" s="28">
        <v>197</v>
      </c>
      <c r="D59" t="s" s="28">
        <v>198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" customHeight="1">
      <c r="A60" s="29">
        <v>9</v>
      </c>
      <c r="B60" t="s" s="28">
        <v>120</v>
      </c>
      <c r="C60" t="s" s="28">
        <v>199</v>
      </c>
      <c r="D60" t="s" s="28">
        <v>200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" customHeight="1">
      <c r="A61" s="29">
        <v>10</v>
      </c>
      <c r="B61" t="s" s="28">
        <v>121</v>
      </c>
      <c r="C61" t="s" s="28">
        <v>201</v>
      </c>
      <c r="D61" t="s" s="28">
        <v>202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" customHeight="1">
      <c r="A62" s="29">
        <v>10</v>
      </c>
      <c r="B62" t="s" s="28">
        <v>121</v>
      </c>
      <c r="C62" t="s" s="28">
        <v>203</v>
      </c>
      <c r="D62" t="s" s="28">
        <v>177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" customHeight="1">
      <c r="A63" s="29">
        <v>10</v>
      </c>
      <c r="B63" t="s" s="28">
        <v>121</v>
      </c>
      <c r="C63" t="s" s="28">
        <v>204</v>
      </c>
      <c r="D63" t="s" s="28">
        <v>205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" customHeight="1">
      <c r="A64" s="29">
        <v>10</v>
      </c>
      <c r="B64" t="s" s="28">
        <v>121</v>
      </c>
      <c r="C64" t="s" s="28">
        <v>206</v>
      </c>
      <c r="D64" t="s" s="28">
        <v>202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" customHeight="1">
      <c r="A65" s="29">
        <v>11</v>
      </c>
      <c r="B65" t="s" s="28">
        <v>122</v>
      </c>
      <c r="C65" t="s" s="28">
        <v>207</v>
      </c>
      <c r="D65" t="s" s="28">
        <v>208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" customHeight="1">
      <c r="A66" s="29">
        <v>11</v>
      </c>
      <c r="B66" t="s" s="28">
        <v>122</v>
      </c>
      <c r="C66" t="s" s="28">
        <v>209</v>
      </c>
      <c r="D66" t="s" s="28">
        <v>210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" customHeight="1">
      <c r="A67" s="29">
        <v>11</v>
      </c>
      <c r="B67" t="s" s="28">
        <v>122</v>
      </c>
      <c r="C67" t="s" s="28">
        <v>211</v>
      </c>
      <c r="D67" t="s" s="28">
        <v>212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" customHeight="1">
      <c r="A68" s="29">
        <v>11</v>
      </c>
      <c r="B68" t="s" s="28">
        <v>122</v>
      </c>
      <c r="C68" t="s" s="28">
        <v>213</v>
      </c>
      <c r="D68" t="s" s="28">
        <v>214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" customHeight="1">
      <c r="A69" s="29">
        <v>12</v>
      </c>
      <c r="B69" t="s" s="28">
        <v>95</v>
      </c>
      <c r="C69" t="s" s="28">
        <v>215</v>
      </c>
      <c r="D69" t="s" s="28">
        <v>216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" customHeight="1">
      <c r="A70" s="29">
        <v>12</v>
      </c>
      <c r="B70" t="s" s="28">
        <v>95</v>
      </c>
      <c r="C70" t="s" s="28">
        <v>217</v>
      </c>
      <c r="D70" t="s" s="28">
        <v>218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" customHeight="1">
      <c r="A71" s="29">
        <v>12</v>
      </c>
      <c r="B71" t="s" s="28">
        <v>95</v>
      </c>
      <c r="C71" t="s" s="28">
        <v>219</v>
      </c>
      <c r="D71" t="s" s="28">
        <v>191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" customHeight="1">
      <c r="A72" s="29">
        <v>12</v>
      </c>
      <c r="B72" t="s" s="28">
        <v>95</v>
      </c>
      <c r="C72" t="s" s="28">
        <v>220</v>
      </c>
      <c r="D72" t="s" s="28">
        <v>221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" customHeight="1">
      <c r="A73" s="29">
        <v>13</v>
      </c>
      <c r="B73" t="s" s="28">
        <v>123</v>
      </c>
      <c r="C73" t="s" s="28">
        <v>222</v>
      </c>
      <c r="D73" t="s" s="28">
        <v>223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" customHeight="1">
      <c r="A74" s="29">
        <v>13</v>
      </c>
      <c r="B74" t="s" s="28">
        <v>123</v>
      </c>
      <c r="C74" t="s" s="28">
        <v>224</v>
      </c>
      <c r="D74" t="s" s="28">
        <v>202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" customHeight="1">
      <c r="A75" s="29">
        <v>13</v>
      </c>
      <c r="B75" t="s" s="28">
        <v>123</v>
      </c>
      <c r="C75" t="s" s="28">
        <v>225</v>
      </c>
      <c r="D75" t="s" s="28">
        <v>226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" customHeight="1">
      <c r="A76" s="29">
        <v>13</v>
      </c>
      <c r="B76" t="s" s="28">
        <v>123</v>
      </c>
      <c r="C76" t="s" s="28">
        <v>227</v>
      </c>
      <c r="D76" t="s" s="28">
        <v>177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" customHeight="1">
      <c r="A77" s="29">
        <v>14</v>
      </c>
      <c r="B77" t="s" s="28">
        <v>124</v>
      </c>
      <c r="C77" t="s" s="28">
        <v>228</v>
      </c>
      <c r="D77" t="s" s="28">
        <v>229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" customHeight="1">
      <c r="A78" s="29">
        <v>14</v>
      </c>
      <c r="B78" t="s" s="28">
        <v>124</v>
      </c>
      <c r="C78" t="s" s="28">
        <v>230</v>
      </c>
      <c r="D78" t="s" s="28">
        <v>231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" customHeight="1">
      <c r="A79" s="29">
        <v>14</v>
      </c>
      <c r="B79" t="s" s="28">
        <v>124</v>
      </c>
      <c r="C79" t="s" s="28">
        <v>232</v>
      </c>
      <c r="D79" t="s" s="28">
        <v>233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" customHeight="1">
      <c r="A80" s="29">
        <v>14</v>
      </c>
      <c r="B80" t="s" s="28">
        <v>124</v>
      </c>
      <c r="C80" t="s" s="28">
        <v>234</v>
      </c>
      <c r="D80" t="s" s="28">
        <v>235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" customHeight="1">
      <c r="A81" s="29">
        <v>15</v>
      </c>
      <c r="B81" t="s" s="28">
        <v>125</v>
      </c>
      <c r="C81" t="s" s="28">
        <v>236</v>
      </c>
      <c r="D81" t="s" s="28">
        <v>161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" customHeight="1">
      <c r="A82" s="29">
        <v>15</v>
      </c>
      <c r="B82" t="s" s="28">
        <v>125</v>
      </c>
      <c r="C82" t="s" s="28">
        <v>237</v>
      </c>
      <c r="D82" t="s" s="28">
        <v>238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" customHeight="1">
      <c r="A83" s="29">
        <v>15</v>
      </c>
      <c r="B83" t="s" s="28">
        <v>125</v>
      </c>
      <c r="C83" t="s" s="28">
        <v>239</v>
      </c>
      <c r="D83" t="s" s="28">
        <v>240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" customHeight="1">
      <c r="A84" s="29">
        <v>15</v>
      </c>
      <c r="B84" t="s" s="28">
        <v>125</v>
      </c>
      <c r="C84" t="s" s="28">
        <v>241</v>
      </c>
      <c r="D84" t="s" s="28">
        <v>208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" customHeight="1">
      <c r="A85" s="29">
        <v>16</v>
      </c>
      <c r="B85" t="s" s="28">
        <v>126</v>
      </c>
      <c r="C85" t="s" s="28">
        <v>242</v>
      </c>
      <c r="D85" t="s" s="28">
        <v>243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" customHeight="1">
      <c r="A86" s="29">
        <v>16</v>
      </c>
      <c r="B86" t="s" s="28">
        <v>126</v>
      </c>
      <c r="C86" t="s" s="28">
        <v>244</v>
      </c>
      <c r="D86" t="s" s="28">
        <v>245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" customHeight="1">
      <c r="A87" s="29">
        <v>16</v>
      </c>
      <c r="B87" t="s" s="28">
        <v>126</v>
      </c>
      <c r="C87" t="s" s="28">
        <v>246</v>
      </c>
      <c r="D87" t="s" s="28">
        <v>247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" customHeight="1">
      <c r="A88" s="29">
        <v>16</v>
      </c>
      <c r="B88" t="s" s="28">
        <v>126</v>
      </c>
      <c r="C88" t="s" s="28">
        <v>248</v>
      </c>
      <c r="D88" t="s" s="28">
        <v>238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</sheetData>
  <mergeCells count="4">
    <mergeCell ref="A1:H1"/>
    <mergeCell ref="A2:H2"/>
    <mergeCell ref="A4:H4"/>
    <mergeCell ref="A23:D2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Z125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42" customWidth="1"/>
    <col min="2" max="3" width="12" style="42" customWidth="1"/>
    <col min="4" max="4" width="16" style="42" customWidth="1"/>
    <col min="5" max="5" width="12" style="42" customWidth="1"/>
    <col min="6" max="6" width="24" style="42" customWidth="1"/>
    <col min="7" max="11" width="12" style="42" customWidth="1"/>
    <col min="12" max="12" width="16" style="42" customWidth="1"/>
    <col min="13" max="13" width="14" style="42" customWidth="1"/>
    <col min="14" max="15" width="13" style="42" customWidth="1"/>
    <col min="16" max="16" width="12" style="42" customWidth="1"/>
    <col min="17" max="17" width="14" style="42" customWidth="1"/>
    <col min="18" max="26" width="8.85156" style="42" customWidth="1"/>
    <col min="27" max="16384" width="8.85156" style="42" customWidth="1"/>
  </cols>
  <sheetData>
    <row r="1" ht="24" customHeight="1">
      <c r="A1" t="s" s="2">
        <v>249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" customHeight="1">
      <c r="A2" t="s" s="5">
        <v>250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" customHeight="1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7"/>
      <c r="S3" s="7"/>
      <c r="T3" s="7"/>
      <c r="U3" s="7"/>
      <c r="V3" s="7"/>
      <c r="W3" s="7"/>
      <c r="X3" s="7"/>
      <c r="Y3" s="7"/>
      <c r="Z3" s="7"/>
    </row>
    <row r="4" ht="20" customHeight="1">
      <c r="A4" t="s" s="45">
        <v>251</v>
      </c>
      <c r="B4" t="s" s="46">
        <v>252</v>
      </c>
      <c r="C4" t="s" s="46">
        <v>253</v>
      </c>
      <c r="D4" t="s" s="46">
        <v>254</v>
      </c>
      <c r="E4" t="s" s="46">
        <v>255</v>
      </c>
      <c r="F4" t="s" s="46">
        <v>256</v>
      </c>
      <c r="G4" t="s" s="46">
        <v>257</v>
      </c>
      <c r="H4" t="s" s="46">
        <v>258</v>
      </c>
      <c r="I4" t="s" s="46">
        <v>259</v>
      </c>
      <c r="J4" t="s" s="46">
        <v>41</v>
      </c>
      <c r="K4" t="s" s="46">
        <v>260</v>
      </c>
      <c r="L4" t="s" s="46">
        <v>261</v>
      </c>
      <c r="M4" t="s" s="46">
        <v>262</v>
      </c>
      <c r="N4" t="s" s="46">
        <v>263</v>
      </c>
      <c r="O4" t="s" s="46">
        <v>264</v>
      </c>
      <c r="P4" t="s" s="46">
        <v>265</v>
      </c>
      <c r="Q4" t="s" s="47">
        <v>266</v>
      </c>
      <c r="R4" s="48"/>
      <c r="S4" s="7"/>
      <c r="T4" s="7"/>
      <c r="U4" s="7"/>
      <c r="V4" s="7"/>
      <c r="W4" s="7"/>
      <c r="X4" s="7"/>
      <c r="Y4" s="7"/>
      <c r="Z4" s="7"/>
    </row>
    <row r="5" ht="15" customHeight="1">
      <c r="A5" s="49">
        <v>1</v>
      </c>
      <c r="B5" t="s" s="50">
        <v>267</v>
      </c>
      <c r="C5" t="s" s="50">
        <v>268</v>
      </c>
      <c r="D5" t="s" s="50">
        <v>17</v>
      </c>
      <c r="E5" s="51">
        <v>0.1189</v>
      </c>
      <c r="F5" t="s" s="50">
        <v>48</v>
      </c>
      <c r="G5" s="52" cm="1">
        <f t="array" ref="G5">COUNTIF('الفحوصات_والاختبارات'!$C$5:$C$704,A5)</f>
        <v>1</v>
      </c>
      <c r="H5" s="52" cm="1">
        <f t="array" ref="H5">_xlfn.COUNTIFS('الفحوصات_والاختبارات'!$C$5:$C$704,A5,'الفحوصات_والاختبارات'!$G$5:$G$704,"مقبول من أول مرة")</f>
        <v>1</v>
      </c>
      <c r="I5" s="51" cm="1">
        <f t="array" ref="I5">_xlfn.IFERROR(H5/G5,0)</f>
        <v>1</v>
      </c>
      <c r="J5" s="52">
        <v>0</v>
      </c>
      <c r="K5" s="52">
        <v>0</v>
      </c>
      <c r="L5" s="53">
        <v>0</v>
      </c>
      <c r="M5" t="str" s="54" cm="1">
        <f t="array" ref="M5">IF(AND(I5&gt;=0.9,J5&lt;=2),"مستقرة",IF(AND(I5&gt;=0.82,J5&lt;=5),"تحت المراقبة","حرجة"))</f>
        <v>مستقرة</v>
      </c>
      <c r="N5" s="55">
        <v>46052</v>
      </c>
      <c r="O5" s="55">
        <v>46135</v>
      </c>
      <c r="P5" s="56" cm="1">
        <f t="array" ref="P5">O5-N5</f>
        <v>83</v>
      </c>
      <c r="Q5" t="str" s="57" cm="1">
        <f t="array" ref="Q5">IF(D5="مكتملة","مرشحة للتسليم",IF(D5="تشطيبات","قيد التجهيز","تحت التنفيذ"))</f>
        <v>تحت التنفيذ</v>
      </c>
      <c r="R5" s="48"/>
      <c r="S5" s="7"/>
      <c r="T5" s="7"/>
      <c r="U5" s="7"/>
      <c r="V5" s="7"/>
      <c r="W5" s="7"/>
      <c r="X5" s="7"/>
      <c r="Y5" s="7"/>
      <c r="Z5" s="7"/>
    </row>
    <row r="6" ht="15" customHeight="1">
      <c r="A6" s="58">
        <v>2</v>
      </c>
      <c r="B6" t="s" s="59">
        <v>267</v>
      </c>
      <c r="C6" t="s" s="59">
        <v>271</v>
      </c>
      <c r="D6" t="s" s="59">
        <v>17</v>
      </c>
      <c r="E6" s="60">
        <v>0.1423</v>
      </c>
      <c r="F6" t="s" s="59">
        <v>48</v>
      </c>
      <c r="G6" s="61" cm="1">
        <f t="array" ref="G6">COUNTIF('الفحوصات_والاختبارات'!$C$5:$C$704,A6)</f>
        <v>1</v>
      </c>
      <c r="H6" s="61" cm="1">
        <f t="array" ref="H6">_xlfn.COUNTIFS('الفحوصات_والاختبارات'!$C$5:$C$704,A6,'الفحوصات_والاختبارات'!$G$5:$G$704,"مقبول من أول مرة")</f>
        <v>1</v>
      </c>
      <c r="I6" s="60" cm="1">
        <f t="array" ref="I6">_xlfn.IFERROR(H6/G6,0)</f>
        <v>1</v>
      </c>
      <c r="J6" s="61">
        <v>0</v>
      </c>
      <c r="K6" s="61">
        <v>2</v>
      </c>
      <c r="L6" s="62">
        <v>1469</v>
      </c>
      <c r="M6" t="str" s="63" cm="1">
        <f t="array" ref="M6">IF(AND(I6&gt;=0.9,J6&lt;=2),"مستقرة",IF(AND(I6&gt;=0.82,J6&lt;=5),"تحت المراقبة","حرجة"))</f>
        <v>مستقرة</v>
      </c>
      <c r="N6" s="64">
        <v>46055</v>
      </c>
      <c r="O6" s="64">
        <v>46148</v>
      </c>
      <c r="P6" s="61" cm="1">
        <f t="array" ref="P6">O6-N6</f>
        <v>93</v>
      </c>
      <c r="Q6" t="str" s="65" cm="1">
        <f t="array" ref="Q6">IF(D6="مكتملة","مرشحة للتسليم",IF(D6="تشطيبات","قيد التجهيز","تحت التنفيذ"))</f>
        <v>تحت التنفيذ</v>
      </c>
      <c r="R6" s="48"/>
      <c r="S6" s="7"/>
      <c r="T6" s="7"/>
      <c r="U6" s="7"/>
      <c r="V6" s="7"/>
      <c r="W6" s="7"/>
      <c r="X6" s="7"/>
      <c r="Y6" s="7"/>
      <c r="Z6" s="7"/>
    </row>
    <row r="7" ht="15" customHeight="1">
      <c r="A7" s="49">
        <v>3</v>
      </c>
      <c r="B7" t="s" s="50">
        <v>267</v>
      </c>
      <c r="C7" t="s" s="50">
        <v>272</v>
      </c>
      <c r="D7" t="s" s="50">
        <v>17</v>
      </c>
      <c r="E7" s="51">
        <v>0.1353</v>
      </c>
      <c r="F7" t="s" s="50">
        <v>48</v>
      </c>
      <c r="G7" s="52" cm="1">
        <f t="array" ref="G7">COUNTIF('الفحوصات_والاختبارات'!$C$5:$C$704,A7)</f>
        <v>1</v>
      </c>
      <c r="H7" s="52" cm="1">
        <f t="array" ref="H7">_xlfn.COUNTIFS('الفحوصات_والاختبارات'!$C$5:$C$704,A7,'الفحوصات_والاختبارات'!$G$5:$G$704,"مقبول من أول مرة")</f>
        <v>1</v>
      </c>
      <c r="I7" s="51" cm="1">
        <f t="array" ref="I7">_xlfn.IFERROR(H7/G7,0)</f>
        <v>1</v>
      </c>
      <c r="J7" s="52">
        <v>1</v>
      </c>
      <c r="K7" s="52">
        <v>0</v>
      </c>
      <c r="L7" s="53">
        <v>942</v>
      </c>
      <c r="M7" t="str" s="54" cm="1">
        <f t="array" ref="M7">IF(AND(I7&gt;=0.9,J7&lt;=2),"مستقرة",IF(AND(I7&gt;=0.82,J7&lt;=5),"تحت المراقبة","حرجة"))</f>
        <v>مستقرة</v>
      </c>
      <c r="N7" s="55">
        <v>46058</v>
      </c>
      <c r="O7" s="55">
        <v>46165</v>
      </c>
      <c r="P7" s="56" cm="1">
        <f t="array" ref="P7">O7-N7</f>
        <v>107</v>
      </c>
      <c r="Q7" t="str" s="57" cm="1">
        <f t="array" ref="Q7">IF(D7="مكتملة","مرشحة للتسليم",IF(D7="تشطيبات","قيد التجهيز","تحت التنفيذ"))</f>
        <v>تحت التنفيذ</v>
      </c>
      <c r="R7" s="48"/>
      <c r="S7" s="7"/>
      <c r="T7" s="7"/>
      <c r="U7" s="7"/>
      <c r="V7" s="7"/>
      <c r="W7" s="7"/>
      <c r="X7" s="7"/>
      <c r="Y7" s="7"/>
      <c r="Z7" s="7"/>
    </row>
    <row r="8" ht="15" customHeight="1">
      <c r="A8" s="58">
        <v>4</v>
      </c>
      <c r="B8" t="s" s="59">
        <v>267</v>
      </c>
      <c r="C8" t="s" s="59">
        <v>268</v>
      </c>
      <c r="D8" t="s" s="59">
        <v>17</v>
      </c>
      <c r="E8" s="60">
        <v>0.1419</v>
      </c>
      <c r="F8" t="s" s="59">
        <v>48</v>
      </c>
      <c r="G8" s="61" cm="1">
        <f t="array" ref="G8">COUNTIF('الفحوصات_والاختبارات'!$C$5:$C$704,A8)</f>
        <v>1</v>
      </c>
      <c r="H8" s="61" cm="1">
        <f t="array" ref="H8">_xlfn.COUNTIFS('الفحوصات_والاختبارات'!$C$5:$C$704,A8,'الفحوصات_والاختبارات'!$G$5:$G$704,"مقبول من أول مرة")</f>
        <v>1</v>
      </c>
      <c r="I8" s="60" cm="1">
        <f t="array" ref="I8">_xlfn.IFERROR(H8/G8,0)</f>
        <v>1</v>
      </c>
      <c r="J8" s="61">
        <v>1</v>
      </c>
      <c r="K8" s="61">
        <v>1</v>
      </c>
      <c r="L8" s="62">
        <v>5138</v>
      </c>
      <c r="M8" t="str" s="63" cm="1">
        <f t="array" ref="M8">IF(AND(I8&gt;=0.9,J8&lt;=2),"مستقرة",IF(AND(I8&gt;=0.82,J8&lt;=5),"تحت المراقبة","حرجة"))</f>
        <v>مستقرة</v>
      </c>
      <c r="N8" s="64">
        <v>46061</v>
      </c>
      <c r="O8" s="64">
        <v>46147</v>
      </c>
      <c r="P8" s="61" cm="1">
        <f t="array" ref="P8">O8-N8</f>
        <v>86</v>
      </c>
      <c r="Q8" t="str" s="65" cm="1">
        <f t="array" ref="Q8">IF(D8="مكتملة","مرشحة للتسليم",IF(D8="تشطيبات","قيد التجهيز","تحت التنفيذ"))</f>
        <v>تحت التنفيذ</v>
      </c>
      <c r="R8" s="48"/>
      <c r="S8" s="7"/>
      <c r="T8" s="7"/>
      <c r="U8" s="7"/>
      <c r="V8" s="7"/>
      <c r="W8" s="7"/>
      <c r="X8" s="7"/>
      <c r="Y8" s="7"/>
      <c r="Z8" s="7"/>
    </row>
    <row r="9" ht="15" customHeight="1">
      <c r="A9" s="49">
        <v>5</v>
      </c>
      <c r="B9" t="s" s="50">
        <v>267</v>
      </c>
      <c r="C9" t="s" s="50">
        <v>271</v>
      </c>
      <c r="D9" t="s" s="50">
        <v>17</v>
      </c>
      <c r="E9" s="51">
        <v>0.1199</v>
      </c>
      <c r="F9" t="s" s="50">
        <v>48</v>
      </c>
      <c r="G9" s="52" cm="1">
        <f t="array" ref="G9">COUNTIF('الفحوصات_والاختبارات'!$C$5:$C$704,A9)</f>
        <v>1</v>
      </c>
      <c r="H9" s="52" cm="1">
        <f t="array" ref="H9">_xlfn.COUNTIFS('الفحوصات_والاختبارات'!$C$5:$C$704,A9,'الفحوصات_والاختبارات'!$G$5:$G$704,"مقبول من أول مرة")</f>
        <v>1</v>
      </c>
      <c r="I9" s="51" cm="1">
        <f t="array" ref="I9">_xlfn.IFERROR(H9/G9,0)</f>
        <v>1</v>
      </c>
      <c r="J9" s="52">
        <v>1</v>
      </c>
      <c r="K9" s="52">
        <v>1</v>
      </c>
      <c r="L9" s="53">
        <v>3214</v>
      </c>
      <c r="M9" t="str" s="54" cm="1">
        <f t="array" ref="M9">IF(AND(I9&gt;=0.9,J9&lt;=2),"مستقرة",IF(AND(I9&gt;=0.82,J9&lt;=5),"تحت المراقبة","حرجة"))</f>
        <v>مستقرة</v>
      </c>
      <c r="N9" s="55">
        <v>46064</v>
      </c>
      <c r="O9" s="55">
        <v>46156</v>
      </c>
      <c r="P9" s="56" cm="1">
        <f t="array" ref="P9">O9-N9</f>
        <v>92</v>
      </c>
      <c r="Q9" t="str" s="57" cm="1">
        <f t="array" ref="Q9">IF(D9="مكتملة","مرشحة للتسليم",IF(D9="تشطيبات","قيد التجهيز","تحت التنفيذ"))</f>
        <v>تحت التنفيذ</v>
      </c>
      <c r="R9" s="48"/>
      <c r="S9" s="7"/>
      <c r="T9" s="7"/>
      <c r="U9" s="7"/>
      <c r="V9" s="7"/>
      <c r="W9" s="7"/>
      <c r="X9" s="7"/>
      <c r="Y9" s="7"/>
      <c r="Z9" s="7"/>
    </row>
    <row r="10" ht="15" customHeight="1">
      <c r="A10" s="58">
        <v>6</v>
      </c>
      <c r="B10" t="s" s="59">
        <v>267</v>
      </c>
      <c r="C10" t="s" s="59">
        <v>272</v>
      </c>
      <c r="D10" t="s" s="59">
        <v>17</v>
      </c>
      <c r="E10" s="60">
        <v>0.1271</v>
      </c>
      <c r="F10" t="s" s="59">
        <v>48</v>
      </c>
      <c r="G10" s="61" cm="1">
        <f t="array" ref="G10">COUNTIF('الفحوصات_والاختبارات'!$C$5:$C$704,A10)</f>
        <v>1</v>
      </c>
      <c r="H10" s="61" cm="1">
        <f t="array" ref="H10">_xlfn.COUNTIFS('الفحوصات_والاختبارات'!$C$5:$C$704,A10,'الفحوصات_والاختبارات'!$G$5:$G$704,"مقبول من أول مرة")</f>
        <v>1</v>
      </c>
      <c r="I10" s="60" cm="1">
        <f t="array" ref="I10">_xlfn.IFERROR(H10/G10,0)</f>
        <v>1</v>
      </c>
      <c r="J10" s="61">
        <v>0</v>
      </c>
      <c r="K10" s="61">
        <v>2</v>
      </c>
      <c r="L10" s="62">
        <v>5556</v>
      </c>
      <c r="M10" t="str" s="63" cm="1">
        <f t="array" ref="M10">IF(AND(I10&gt;=0.9,J10&lt;=2),"مستقرة",IF(AND(I10&gt;=0.82,J10&lt;=5),"تحت المراقبة","حرجة"))</f>
        <v>مستقرة</v>
      </c>
      <c r="N10" s="64">
        <v>46067</v>
      </c>
      <c r="O10" s="64">
        <v>46145</v>
      </c>
      <c r="P10" s="61" cm="1">
        <f t="array" ref="P10">O10-N10</f>
        <v>78</v>
      </c>
      <c r="Q10" t="str" s="65" cm="1">
        <f t="array" ref="Q10">IF(D10="مكتملة","مرشحة للتسليم",IF(D10="تشطيبات","قيد التجهيز","تحت التنفيذ"))</f>
        <v>تحت التنفيذ</v>
      </c>
      <c r="R10" s="48"/>
      <c r="S10" s="7"/>
      <c r="T10" s="7"/>
      <c r="U10" s="7"/>
      <c r="V10" s="7"/>
      <c r="W10" s="7"/>
      <c r="X10" s="7"/>
      <c r="Y10" s="7"/>
      <c r="Z10" s="7"/>
    </row>
    <row r="11" ht="15" customHeight="1">
      <c r="A11" s="49">
        <v>7</v>
      </c>
      <c r="B11" t="s" s="50">
        <v>267</v>
      </c>
      <c r="C11" t="s" s="50">
        <v>268</v>
      </c>
      <c r="D11" t="s" s="50">
        <v>17</v>
      </c>
      <c r="E11" s="51">
        <v>0.1333</v>
      </c>
      <c r="F11" t="s" s="50">
        <v>48</v>
      </c>
      <c r="G11" s="52" cm="1">
        <f t="array" ref="G11">COUNTIF('الفحوصات_والاختبارات'!$C$5:$C$704,A11)</f>
        <v>1</v>
      </c>
      <c r="H11" s="52" cm="1">
        <f t="array" ref="H11">_xlfn.COUNTIFS('الفحوصات_والاختبارات'!$C$5:$C$704,A11,'الفحوصات_والاختبارات'!$G$5:$G$704,"مقبول من أول مرة")</f>
        <v>1</v>
      </c>
      <c r="I11" s="51" cm="1">
        <f t="array" ref="I11">_xlfn.IFERROR(H11/G11,0)</f>
        <v>1</v>
      </c>
      <c r="J11" s="52">
        <v>0</v>
      </c>
      <c r="K11" s="52">
        <v>2</v>
      </c>
      <c r="L11" s="53">
        <v>9782</v>
      </c>
      <c r="M11" t="str" s="54" cm="1">
        <f t="array" ref="M11">IF(AND(I11&gt;=0.9,J11&lt;=2),"مستقرة",IF(AND(I11&gt;=0.82,J11&lt;=5),"تحت المراقبة","حرجة"))</f>
        <v>مستقرة</v>
      </c>
      <c r="N11" s="55">
        <v>46070</v>
      </c>
      <c r="O11" s="55">
        <v>46155</v>
      </c>
      <c r="P11" s="56" cm="1">
        <f t="array" ref="P11">O11-N11</f>
        <v>85</v>
      </c>
      <c r="Q11" t="str" s="57" cm="1">
        <f t="array" ref="Q11">IF(D11="مكتملة","مرشحة للتسليم",IF(D11="تشطيبات","قيد التجهيز","تحت التنفيذ"))</f>
        <v>تحت التنفيذ</v>
      </c>
      <c r="R11" s="48"/>
      <c r="S11" s="7"/>
      <c r="T11" s="7"/>
      <c r="U11" s="7"/>
      <c r="V11" s="7"/>
      <c r="W11" s="7"/>
      <c r="X11" s="7"/>
      <c r="Y11" s="7"/>
      <c r="Z11" s="7"/>
    </row>
    <row r="12" ht="15" customHeight="1">
      <c r="A12" s="58">
        <v>8</v>
      </c>
      <c r="B12" t="s" s="59">
        <v>267</v>
      </c>
      <c r="C12" t="s" s="59">
        <v>271</v>
      </c>
      <c r="D12" t="s" s="59">
        <v>17</v>
      </c>
      <c r="E12" s="60">
        <v>0.1079</v>
      </c>
      <c r="F12" t="s" s="59">
        <v>48</v>
      </c>
      <c r="G12" s="61" cm="1">
        <f t="array" ref="G12">COUNTIF('الفحوصات_والاختبارات'!$C$5:$C$704,A12)</f>
        <v>1</v>
      </c>
      <c r="H12" s="61" cm="1">
        <f t="array" ref="H12">_xlfn.COUNTIFS('الفحوصات_والاختبارات'!$C$5:$C$704,A12,'الفحوصات_والاختبارات'!$G$5:$G$704,"مقبول من أول مرة")</f>
        <v>1</v>
      </c>
      <c r="I12" s="60" cm="1">
        <f t="array" ref="I12">_xlfn.IFERROR(H12/G12,0)</f>
        <v>1</v>
      </c>
      <c r="J12" s="61">
        <v>2</v>
      </c>
      <c r="K12" s="61">
        <v>0</v>
      </c>
      <c r="L12" s="62">
        <v>10864</v>
      </c>
      <c r="M12" t="str" s="63" cm="1">
        <f t="array" ref="M12">IF(AND(I12&gt;=0.9,J12&lt;=2),"مستقرة",IF(AND(I12&gt;=0.82,J12&lt;=5),"تحت المراقبة","حرجة"))</f>
        <v>مستقرة</v>
      </c>
      <c r="N12" s="64">
        <v>46073</v>
      </c>
      <c r="O12" s="64">
        <v>46191</v>
      </c>
      <c r="P12" s="61" cm="1">
        <f t="array" ref="P12">O12-N12</f>
        <v>118</v>
      </c>
      <c r="Q12" t="str" s="65" cm="1">
        <f t="array" ref="Q12">IF(D12="مكتملة","مرشحة للتسليم",IF(D12="تشطيبات","قيد التجهيز","تحت التنفيذ"))</f>
        <v>تحت التنفيذ</v>
      </c>
      <c r="R12" s="48"/>
      <c r="S12" s="7"/>
      <c r="T12" s="7"/>
      <c r="U12" s="7"/>
      <c r="V12" s="7"/>
      <c r="W12" s="7"/>
      <c r="X12" s="7"/>
      <c r="Y12" s="7"/>
      <c r="Z12" s="7"/>
    </row>
    <row r="13" ht="15" customHeight="1">
      <c r="A13" s="49">
        <v>9</v>
      </c>
      <c r="B13" t="s" s="50">
        <v>267</v>
      </c>
      <c r="C13" t="s" s="50">
        <v>272</v>
      </c>
      <c r="D13" t="s" s="50">
        <v>17</v>
      </c>
      <c r="E13" s="51">
        <v>0.141</v>
      </c>
      <c r="F13" t="s" s="50">
        <v>48</v>
      </c>
      <c r="G13" s="52" cm="1">
        <f t="array" ref="G13">COUNTIF('الفحوصات_والاختبارات'!$C$5:$C$704,A13)</f>
        <v>1</v>
      </c>
      <c r="H13" s="52" cm="1">
        <f t="array" ref="H13">_xlfn.COUNTIFS('الفحوصات_والاختبارات'!$C$5:$C$704,A13,'الفحوصات_والاختبارات'!$G$5:$G$704,"مقبول من أول مرة")</f>
        <v>1</v>
      </c>
      <c r="I13" s="51" cm="1">
        <f t="array" ref="I13">_xlfn.IFERROR(H13/G13,0)</f>
        <v>1</v>
      </c>
      <c r="J13" s="52">
        <v>1</v>
      </c>
      <c r="K13" s="52">
        <v>1</v>
      </c>
      <c r="L13" s="53">
        <v>1597</v>
      </c>
      <c r="M13" t="str" s="54" cm="1">
        <f t="array" ref="M13">IF(AND(I13&gt;=0.9,J13&lt;=2),"مستقرة",IF(AND(I13&gt;=0.82,J13&lt;=5),"تحت المراقبة","حرجة"))</f>
        <v>مستقرة</v>
      </c>
      <c r="N13" s="55">
        <v>46076</v>
      </c>
      <c r="O13" s="55">
        <v>46187</v>
      </c>
      <c r="P13" s="56" cm="1">
        <f t="array" ref="P13">O13-N13</f>
        <v>111</v>
      </c>
      <c r="Q13" t="str" s="57" cm="1">
        <f t="array" ref="Q13">IF(D13="مكتملة","مرشحة للتسليم",IF(D13="تشطيبات","قيد التجهيز","تحت التنفيذ"))</f>
        <v>تحت التنفيذ</v>
      </c>
      <c r="R13" s="48"/>
      <c r="S13" s="7"/>
      <c r="T13" s="7"/>
      <c r="U13" s="7"/>
      <c r="V13" s="7"/>
      <c r="W13" s="7"/>
      <c r="X13" s="7"/>
      <c r="Y13" s="7"/>
      <c r="Z13" s="7"/>
    </row>
    <row r="14" ht="15" customHeight="1">
      <c r="A14" s="58">
        <v>10</v>
      </c>
      <c r="B14" t="s" s="59">
        <v>267</v>
      </c>
      <c r="C14" t="s" s="59">
        <v>268</v>
      </c>
      <c r="D14" t="s" s="59">
        <v>17</v>
      </c>
      <c r="E14" s="60">
        <v>0.1072</v>
      </c>
      <c r="F14" t="s" s="59">
        <v>48</v>
      </c>
      <c r="G14" s="61" cm="1">
        <f t="array" ref="G14">COUNTIF('الفحوصات_والاختبارات'!$C$5:$C$704,A14)</f>
        <v>1</v>
      </c>
      <c r="H14" s="61" cm="1">
        <f t="array" ref="H14">_xlfn.COUNTIFS('الفحوصات_والاختبارات'!$C$5:$C$704,A14,'الفحوصات_والاختبارات'!$G$5:$G$704,"مقبول من أول مرة")</f>
        <v>1</v>
      </c>
      <c r="I14" s="60" cm="1">
        <f t="array" ref="I14">_xlfn.IFERROR(H14/G14,0)</f>
        <v>1</v>
      </c>
      <c r="J14" s="61">
        <v>0</v>
      </c>
      <c r="K14" s="61">
        <v>2</v>
      </c>
      <c r="L14" s="62">
        <v>1497</v>
      </c>
      <c r="M14" t="str" s="63" cm="1">
        <f t="array" ref="M14">IF(AND(I14&gt;=0.9,J14&lt;=2),"مستقرة",IF(AND(I14&gt;=0.82,J14&lt;=5),"تحت المراقبة","حرجة"))</f>
        <v>مستقرة</v>
      </c>
      <c r="N14" s="64">
        <v>46079</v>
      </c>
      <c r="O14" s="64">
        <v>46196</v>
      </c>
      <c r="P14" s="61" cm="1">
        <f t="array" ref="P14">O14-N14</f>
        <v>117</v>
      </c>
      <c r="Q14" t="str" s="65" cm="1">
        <f t="array" ref="Q14">IF(D14="مكتملة","مرشحة للتسليم",IF(D14="تشطيبات","قيد التجهيز","تحت التنفيذ"))</f>
        <v>تحت التنفيذ</v>
      </c>
      <c r="R14" s="48"/>
      <c r="S14" s="7"/>
      <c r="T14" s="7"/>
      <c r="U14" s="7"/>
      <c r="V14" s="7"/>
      <c r="W14" s="7"/>
      <c r="X14" s="7"/>
      <c r="Y14" s="7"/>
      <c r="Z14" s="7"/>
    </row>
    <row r="15" ht="15" customHeight="1">
      <c r="A15" s="49">
        <v>11</v>
      </c>
      <c r="B15" t="s" s="50">
        <v>267</v>
      </c>
      <c r="C15" t="s" s="50">
        <v>271</v>
      </c>
      <c r="D15" t="s" s="50">
        <v>17</v>
      </c>
      <c r="E15" s="51">
        <v>0.0915</v>
      </c>
      <c r="F15" t="s" s="50">
        <v>48</v>
      </c>
      <c r="G15" s="52" cm="1">
        <f t="array" ref="G15">COUNTIF('الفحوصات_والاختبارات'!$C$5:$C$704,A15)</f>
        <v>1</v>
      </c>
      <c r="H15" s="52" cm="1">
        <f t="array" ref="H15">_xlfn.COUNTIFS('الفحوصات_والاختبارات'!$C$5:$C$704,A15,'الفحوصات_والاختبارات'!$G$5:$G$704,"مقبول من أول مرة")</f>
        <v>1</v>
      </c>
      <c r="I15" s="51" cm="1">
        <f t="array" ref="I15">_xlfn.IFERROR(H15/G15,0)</f>
        <v>1</v>
      </c>
      <c r="J15" s="52">
        <v>0</v>
      </c>
      <c r="K15" s="52">
        <v>2</v>
      </c>
      <c r="L15" s="53">
        <v>1315</v>
      </c>
      <c r="M15" t="str" s="54" cm="1">
        <f t="array" ref="M15">IF(AND(I15&gt;=0.9,J15&lt;=2),"مستقرة",IF(AND(I15&gt;=0.82,J15&lt;=5),"تحت المراقبة","حرجة"))</f>
        <v>مستقرة</v>
      </c>
      <c r="N15" s="55">
        <v>46082</v>
      </c>
      <c r="O15" s="55">
        <v>46177</v>
      </c>
      <c r="P15" s="56" cm="1">
        <f t="array" ref="P15">O15-N15</f>
        <v>95</v>
      </c>
      <c r="Q15" t="str" s="57" cm="1">
        <f t="array" ref="Q15">IF(D15="مكتملة","مرشحة للتسليم",IF(D15="تشطيبات","قيد التجهيز","تحت التنفيذ"))</f>
        <v>تحت التنفيذ</v>
      </c>
      <c r="R15" s="48"/>
      <c r="S15" s="7"/>
      <c r="T15" s="7"/>
      <c r="U15" s="7"/>
      <c r="V15" s="7"/>
      <c r="W15" s="7"/>
      <c r="X15" s="7"/>
      <c r="Y15" s="7"/>
      <c r="Z15" s="7"/>
    </row>
    <row r="16" ht="15" customHeight="1">
      <c r="A16" s="58">
        <v>12</v>
      </c>
      <c r="B16" t="s" s="59">
        <v>267</v>
      </c>
      <c r="C16" t="s" s="59">
        <v>272</v>
      </c>
      <c r="D16" t="s" s="59">
        <v>17</v>
      </c>
      <c r="E16" s="60">
        <v>0.1488</v>
      </c>
      <c r="F16" t="s" s="59">
        <v>48</v>
      </c>
      <c r="G16" s="61" cm="1">
        <f t="array" ref="G16">COUNTIF('الفحوصات_والاختبارات'!$C$5:$C$704,A16)</f>
        <v>1</v>
      </c>
      <c r="H16" s="61" cm="1">
        <f t="array" ref="H16">_xlfn.COUNTIFS('الفحوصات_والاختبارات'!$C$5:$C$704,A16,'الفحوصات_والاختبارات'!$G$5:$G$704,"مقبول من أول مرة")</f>
        <v>1</v>
      </c>
      <c r="I16" s="60" cm="1">
        <f t="array" ref="I16">_xlfn.IFERROR(H16/G16,0)</f>
        <v>1</v>
      </c>
      <c r="J16" s="61">
        <v>0</v>
      </c>
      <c r="K16" s="61">
        <v>0</v>
      </c>
      <c r="L16" s="62">
        <v>0</v>
      </c>
      <c r="M16" t="str" s="63" cm="1">
        <f t="array" ref="M16">IF(AND(I16&gt;=0.9,J16&lt;=2),"مستقرة",IF(AND(I16&gt;=0.82,J16&lt;=5),"تحت المراقبة","حرجة"))</f>
        <v>مستقرة</v>
      </c>
      <c r="N16" s="64">
        <v>46085</v>
      </c>
      <c r="O16" s="64">
        <v>46196</v>
      </c>
      <c r="P16" s="61" cm="1">
        <f t="array" ref="P16">O16-N16</f>
        <v>111</v>
      </c>
      <c r="Q16" t="str" s="65" cm="1">
        <f t="array" ref="Q16">IF(D16="مكتملة","مرشحة للتسليم",IF(D16="تشطيبات","قيد التجهيز","تحت التنفيذ"))</f>
        <v>تحت التنفيذ</v>
      </c>
      <c r="R16" s="48"/>
      <c r="S16" s="7"/>
      <c r="T16" s="7"/>
      <c r="U16" s="7"/>
      <c r="V16" s="7"/>
      <c r="W16" s="7"/>
      <c r="X16" s="7"/>
      <c r="Y16" s="7"/>
      <c r="Z16" s="7"/>
    </row>
    <row r="17" ht="15" customHeight="1">
      <c r="A17" s="49">
        <v>13</v>
      </c>
      <c r="B17" t="s" s="50">
        <v>267</v>
      </c>
      <c r="C17" t="s" s="50">
        <v>268</v>
      </c>
      <c r="D17" t="s" s="50">
        <v>17</v>
      </c>
      <c r="E17" s="51">
        <v>0.1055</v>
      </c>
      <c r="F17" t="s" s="50">
        <v>48</v>
      </c>
      <c r="G17" s="52" cm="1">
        <f t="array" ref="G17">COUNTIF('الفحوصات_والاختبارات'!$C$5:$C$704,A17)</f>
        <v>1</v>
      </c>
      <c r="H17" s="52" cm="1">
        <f t="array" ref="H17">_xlfn.COUNTIFS('الفحوصات_والاختبارات'!$C$5:$C$704,A17,'الفحوصات_والاختبارات'!$G$5:$G$704,"مقبول من أول مرة")</f>
        <v>1</v>
      </c>
      <c r="I17" s="51" cm="1">
        <f t="array" ref="I17">_xlfn.IFERROR(H17/G17,0)</f>
        <v>1</v>
      </c>
      <c r="J17" s="52">
        <v>0</v>
      </c>
      <c r="K17" s="52">
        <v>1</v>
      </c>
      <c r="L17" s="53">
        <v>888</v>
      </c>
      <c r="M17" t="str" s="54" cm="1">
        <f t="array" ref="M17">IF(AND(I17&gt;=0.9,J17&lt;=2),"مستقرة",IF(AND(I17&gt;=0.82,J17&lt;=5),"تحت المراقبة","حرجة"))</f>
        <v>مستقرة</v>
      </c>
      <c r="N17" s="55">
        <v>46088</v>
      </c>
      <c r="O17" s="55">
        <v>46185</v>
      </c>
      <c r="P17" s="56" cm="1">
        <f t="array" ref="P17">O17-N17</f>
        <v>97</v>
      </c>
      <c r="Q17" t="str" s="57" cm="1">
        <f t="array" ref="Q17">IF(D17="مكتملة","مرشحة للتسليم",IF(D17="تشطيبات","قيد التجهيز","تحت التنفيذ"))</f>
        <v>تحت التنفيذ</v>
      </c>
      <c r="R17" s="48"/>
      <c r="S17" s="7"/>
      <c r="T17" s="7"/>
      <c r="U17" s="7"/>
      <c r="V17" s="7"/>
      <c r="W17" s="7"/>
      <c r="X17" s="7"/>
      <c r="Y17" s="7"/>
      <c r="Z17" s="7"/>
    </row>
    <row r="18" ht="15" customHeight="1">
      <c r="A18" s="58">
        <v>14</v>
      </c>
      <c r="B18" t="s" s="59">
        <v>267</v>
      </c>
      <c r="C18" t="s" s="59">
        <v>271</v>
      </c>
      <c r="D18" t="s" s="59">
        <v>17</v>
      </c>
      <c r="E18" s="60">
        <v>0.112</v>
      </c>
      <c r="F18" t="s" s="59">
        <v>48</v>
      </c>
      <c r="G18" s="61" cm="1">
        <f t="array" ref="G18">COUNTIF('الفحوصات_والاختبارات'!$C$5:$C$704,A18)</f>
        <v>1</v>
      </c>
      <c r="H18" s="61" cm="1">
        <f t="array" ref="H18">_xlfn.COUNTIFS('الفحوصات_والاختبارات'!$C$5:$C$704,A18,'الفحوصات_والاختبارات'!$G$5:$G$704,"مقبول من أول مرة")</f>
        <v>1</v>
      </c>
      <c r="I18" s="60" cm="1">
        <f t="array" ref="I18">_xlfn.IFERROR(H18/G18,0)</f>
        <v>1</v>
      </c>
      <c r="J18" s="61">
        <v>0</v>
      </c>
      <c r="K18" s="61">
        <v>1</v>
      </c>
      <c r="L18" s="62">
        <v>989</v>
      </c>
      <c r="M18" t="str" s="63" cm="1">
        <f t="array" ref="M18">IF(AND(I18&gt;=0.9,J18&lt;=2),"مستقرة",IF(AND(I18&gt;=0.82,J18&lt;=5),"تحت المراقبة","حرجة"))</f>
        <v>مستقرة</v>
      </c>
      <c r="N18" s="64">
        <v>46091</v>
      </c>
      <c r="O18" s="64">
        <v>46204</v>
      </c>
      <c r="P18" s="61" cm="1">
        <f t="array" ref="P18">O18-N18</f>
        <v>113</v>
      </c>
      <c r="Q18" t="str" s="65" cm="1">
        <f t="array" ref="Q18">IF(D18="مكتملة","مرشحة للتسليم",IF(D18="تشطيبات","قيد التجهيز","تحت التنفيذ"))</f>
        <v>تحت التنفيذ</v>
      </c>
      <c r="R18" s="48"/>
      <c r="S18" s="7"/>
      <c r="T18" s="7"/>
      <c r="U18" s="7"/>
      <c r="V18" s="7"/>
      <c r="W18" s="7"/>
      <c r="X18" s="7"/>
      <c r="Y18" s="7"/>
      <c r="Z18" s="7"/>
    </row>
    <row r="19" ht="15" customHeight="1">
      <c r="A19" s="49">
        <v>15</v>
      </c>
      <c r="B19" t="s" s="50">
        <v>267</v>
      </c>
      <c r="C19" t="s" s="50">
        <v>272</v>
      </c>
      <c r="D19" t="s" s="50">
        <v>17</v>
      </c>
      <c r="E19" s="51">
        <v>0.1376</v>
      </c>
      <c r="F19" t="s" s="50">
        <v>48</v>
      </c>
      <c r="G19" s="52" cm="1">
        <f t="array" ref="G19">COUNTIF('الفحوصات_والاختبارات'!$C$5:$C$704,A19)</f>
        <v>1</v>
      </c>
      <c r="H19" s="52" cm="1">
        <f t="array" ref="H19">_xlfn.COUNTIFS('الفحوصات_والاختبارات'!$C$5:$C$704,A19,'الفحوصات_والاختبارات'!$G$5:$G$704,"مقبول من أول مرة")</f>
        <v>1</v>
      </c>
      <c r="I19" s="51" cm="1">
        <f t="array" ref="I19">_xlfn.IFERROR(H19/G19,0)</f>
        <v>1</v>
      </c>
      <c r="J19" s="52">
        <v>0</v>
      </c>
      <c r="K19" s="52">
        <v>0</v>
      </c>
      <c r="L19" s="53">
        <v>0</v>
      </c>
      <c r="M19" t="str" s="54" cm="1">
        <f t="array" ref="M19">IF(AND(I19&gt;=0.9,J19&lt;=2),"مستقرة",IF(AND(I19&gt;=0.82,J19&lt;=5),"تحت المراقبة","حرجة"))</f>
        <v>مستقرة</v>
      </c>
      <c r="N19" s="55">
        <v>46094</v>
      </c>
      <c r="O19" s="55">
        <v>46176</v>
      </c>
      <c r="P19" s="56" cm="1">
        <f t="array" ref="P19">O19-N19</f>
        <v>82</v>
      </c>
      <c r="Q19" t="str" s="57" cm="1">
        <f t="array" ref="Q19">IF(D19="مكتملة","مرشحة للتسليم",IF(D19="تشطيبات","قيد التجهيز","تحت التنفيذ"))</f>
        <v>تحت التنفيذ</v>
      </c>
      <c r="R19" s="48"/>
      <c r="S19" s="7"/>
      <c r="T19" s="7"/>
      <c r="U19" s="7"/>
      <c r="V19" s="7"/>
      <c r="W19" s="7"/>
      <c r="X19" s="7"/>
      <c r="Y19" s="7"/>
      <c r="Z19" s="7"/>
    </row>
    <row r="20" ht="15" customHeight="1">
      <c r="A20" s="58">
        <v>16</v>
      </c>
      <c r="B20" t="s" s="59">
        <v>267</v>
      </c>
      <c r="C20" t="s" s="59">
        <v>268</v>
      </c>
      <c r="D20" t="s" s="59">
        <v>17</v>
      </c>
      <c r="E20" s="60">
        <v>0.1249</v>
      </c>
      <c r="F20" t="s" s="59">
        <v>48</v>
      </c>
      <c r="G20" s="61" cm="1">
        <f t="array" ref="G20">COUNTIF('الفحوصات_والاختبارات'!$C$5:$C$704,A20)</f>
        <v>1</v>
      </c>
      <c r="H20" s="61" cm="1">
        <f t="array" ref="H20">_xlfn.COUNTIFS('الفحوصات_والاختبارات'!$C$5:$C$704,A20,'الفحوصات_والاختبارات'!$G$5:$G$704,"مقبول من أول مرة")</f>
        <v>1</v>
      </c>
      <c r="I20" s="60" cm="1">
        <f t="array" ref="I20">_xlfn.IFERROR(H20/G20,0)</f>
        <v>1</v>
      </c>
      <c r="J20" s="61">
        <v>0</v>
      </c>
      <c r="K20" s="61">
        <v>1</v>
      </c>
      <c r="L20" s="62">
        <v>7059</v>
      </c>
      <c r="M20" t="str" s="63" cm="1">
        <f t="array" ref="M20">IF(AND(I20&gt;=0.9,J20&lt;=2),"مستقرة",IF(AND(I20&gt;=0.82,J20&lt;=5),"تحت المراقبة","حرجة"))</f>
        <v>مستقرة</v>
      </c>
      <c r="N20" s="64">
        <v>46097</v>
      </c>
      <c r="O20" s="64">
        <v>46192</v>
      </c>
      <c r="P20" s="61" cm="1">
        <f t="array" ref="P20">O20-N20</f>
        <v>95</v>
      </c>
      <c r="Q20" t="str" s="65" cm="1">
        <f t="array" ref="Q20">IF(D20="مكتملة","مرشحة للتسليم",IF(D20="تشطيبات","قيد التجهيز","تحت التنفيذ"))</f>
        <v>تحت التنفيذ</v>
      </c>
      <c r="R20" s="48"/>
      <c r="S20" s="7"/>
      <c r="T20" s="7"/>
      <c r="U20" s="7"/>
      <c r="V20" s="7"/>
      <c r="W20" s="7"/>
      <c r="X20" s="7"/>
      <c r="Y20" s="7"/>
      <c r="Z20" s="7"/>
    </row>
    <row r="21" ht="15" customHeight="1">
      <c r="A21" s="49">
        <v>17</v>
      </c>
      <c r="B21" t="s" s="50">
        <v>267</v>
      </c>
      <c r="C21" t="s" s="50">
        <v>271</v>
      </c>
      <c r="D21" t="s" s="50">
        <v>17</v>
      </c>
      <c r="E21" s="51">
        <v>0.1137</v>
      </c>
      <c r="F21" t="s" s="50">
        <v>48</v>
      </c>
      <c r="G21" s="52" cm="1">
        <f t="array" ref="G21">COUNTIF('الفحوصات_والاختبارات'!$C$5:$C$704,A21)</f>
        <v>1</v>
      </c>
      <c r="H21" s="52" cm="1">
        <f t="array" ref="H21">_xlfn.COUNTIFS('الفحوصات_والاختبارات'!$C$5:$C$704,A21,'الفحوصات_والاختبارات'!$G$5:$G$704,"مقبول من أول مرة")</f>
        <v>1</v>
      </c>
      <c r="I21" s="51" cm="1">
        <f t="array" ref="I21">_xlfn.IFERROR(H21/G21,0)</f>
        <v>1</v>
      </c>
      <c r="J21" s="52">
        <v>0</v>
      </c>
      <c r="K21" s="52">
        <v>0</v>
      </c>
      <c r="L21" s="53">
        <v>0</v>
      </c>
      <c r="M21" t="str" s="54" cm="1">
        <f t="array" ref="M21">IF(AND(I21&gt;=0.9,J21&lt;=2),"مستقرة",IF(AND(I21&gt;=0.82,J21&lt;=5),"تحت المراقبة","حرجة"))</f>
        <v>مستقرة</v>
      </c>
      <c r="N21" s="55">
        <v>46100</v>
      </c>
      <c r="O21" s="55">
        <v>46179</v>
      </c>
      <c r="P21" s="56" cm="1">
        <f t="array" ref="P21">O21-N21</f>
        <v>79</v>
      </c>
      <c r="Q21" t="str" s="57" cm="1">
        <f t="array" ref="Q21">IF(D21="مكتملة","مرشحة للتسليم",IF(D21="تشطيبات","قيد التجهيز","تحت التنفيذ"))</f>
        <v>تحت التنفيذ</v>
      </c>
      <c r="R21" s="48"/>
      <c r="S21" s="7"/>
      <c r="T21" s="7"/>
      <c r="U21" s="7"/>
      <c r="V21" s="7"/>
      <c r="W21" s="7"/>
      <c r="X21" s="7"/>
      <c r="Y21" s="7"/>
      <c r="Z21" s="7"/>
    </row>
    <row r="22" ht="15" customHeight="1">
      <c r="A22" s="58">
        <v>18</v>
      </c>
      <c r="B22" t="s" s="59">
        <v>267</v>
      </c>
      <c r="C22" t="s" s="59">
        <v>272</v>
      </c>
      <c r="D22" t="s" s="59">
        <v>17</v>
      </c>
      <c r="E22" s="60">
        <v>0.1325</v>
      </c>
      <c r="F22" t="s" s="59">
        <v>48</v>
      </c>
      <c r="G22" s="61" cm="1">
        <f t="array" ref="G22">COUNTIF('الفحوصات_والاختبارات'!$C$5:$C$704,A22)</f>
        <v>1</v>
      </c>
      <c r="H22" s="61" cm="1">
        <f t="array" ref="H22">_xlfn.COUNTIFS('الفحوصات_والاختبارات'!$C$5:$C$704,A22,'الفحوصات_والاختبارات'!$G$5:$G$704,"مقبول من أول مرة")</f>
        <v>1</v>
      </c>
      <c r="I22" s="60" cm="1">
        <f t="array" ref="I22">_xlfn.IFERROR(H22/G22,0)</f>
        <v>1</v>
      </c>
      <c r="J22" s="61">
        <v>0</v>
      </c>
      <c r="K22" s="61">
        <v>1</v>
      </c>
      <c r="L22" s="62">
        <v>1000</v>
      </c>
      <c r="M22" t="str" s="63" cm="1">
        <f t="array" ref="M22">IF(AND(I22&gt;=0.9,J22&lt;=2),"مستقرة",IF(AND(I22&gt;=0.82,J22&lt;=5),"تحت المراقبة","حرجة"))</f>
        <v>مستقرة</v>
      </c>
      <c r="N22" s="64">
        <v>46103</v>
      </c>
      <c r="O22" s="64">
        <v>46186</v>
      </c>
      <c r="P22" s="61" cm="1">
        <f t="array" ref="P22">O22-N22</f>
        <v>83</v>
      </c>
      <c r="Q22" t="str" s="65" cm="1">
        <f t="array" ref="Q22">IF(D22="مكتملة","مرشحة للتسليم",IF(D22="تشطيبات","قيد التجهيز","تحت التنفيذ"))</f>
        <v>تحت التنفيذ</v>
      </c>
      <c r="R22" s="48"/>
      <c r="S22" s="7"/>
      <c r="T22" s="7"/>
      <c r="U22" s="7"/>
      <c r="V22" s="7"/>
      <c r="W22" s="7"/>
      <c r="X22" s="7"/>
      <c r="Y22" s="7"/>
      <c r="Z22" s="7"/>
    </row>
    <row r="23" ht="15" customHeight="1">
      <c r="A23" s="49">
        <v>19</v>
      </c>
      <c r="B23" t="s" s="50">
        <v>267</v>
      </c>
      <c r="C23" t="s" s="50">
        <v>268</v>
      </c>
      <c r="D23" t="s" s="50">
        <v>17</v>
      </c>
      <c r="E23" s="51">
        <v>0.1066</v>
      </c>
      <c r="F23" t="s" s="50">
        <v>48</v>
      </c>
      <c r="G23" s="52" cm="1">
        <f t="array" ref="G23">COUNTIF('الفحوصات_والاختبارات'!$C$5:$C$704,A23)</f>
        <v>1</v>
      </c>
      <c r="H23" s="52" cm="1">
        <f t="array" ref="H23">_xlfn.COUNTIFS('الفحوصات_والاختبارات'!$C$5:$C$704,A23,'الفحوصات_والاختبارات'!$G$5:$G$704,"مقبول من أول مرة")</f>
        <v>1</v>
      </c>
      <c r="I23" s="51" cm="1">
        <f t="array" ref="I23">_xlfn.IFERROR(H23/G23,0)</f>
        <v>1</v>
      </c>
      <c r="J23" s="52">
        <v>0</v>
      </c>
      <c r="K23" s="52">
        <v>0</v>
      </c>
      <c r="L23" s="53">
        <v>0</v>
      </c>
      <c r="M23" t="str" s="54" cm="1">
        <f t="array" ref="M23">IF(AND(I23&gt;=0.9,J23&lt;=2),"مستقرة",IF(AND(I23&gt;=0.82,J23&lt;=5),"تحت المراقبة","حرجة"))</f>
        <v>مستقرة</v>
      </c>
      <c r="N23" s="55">
        <v>46106</v>
      </c>
      <c r="O23" s="55">
        <v>46205</v>
      </c>
      <c r="P23" s="56" cm="1">
        <f t="array" ref="P23">O23-N23</f>
        <v>99</v>
      </c>
      <c r="Q23" t="str" s="57" cm="1">
        <f t="array" ref="Q23">IF(D23="مكتملة","مرشحة للتسليم",IF(D23="تشطيبات","قيد التجهيز","تحت التنفيذ"))</f>
        <v>تحت التنفيذ</v>
      </c>
      <c r="R23" s="48"/>
      <c r="S23" s="7"/>
      <c r="T23" s="7"/>
      <c r="U23" s="7"/>
      <c r="V23" s="7"/>
      <c r="W23" s="7"/>
      <c r="X23" s="7"/>
      <c r="Y23" s="7"/>
      <c r="Z23" s="7"/>
    </row>
    <row r="24" ht="15" customHeight="1">
      <c r="A24" s="58">
        <v>20</v>
      </c>
      <c r="B24" t="s" s="59">
        <v>267</v>
      </c>
      <c r="C24" t="s" s="59">
        <v>271</v>
      </c>
      <c r="D24" t="s" s="59">
        <v>17</v>
      </c>
      <c r="E24" s="60">
        <v>0.1428</v>
      </c>
      <c r="F24" t="s" s="59">
        <v>48</v>
      </c>
      <c r="G24" s="61" cm="1">
        <f t="array" ref="G24">COUNTIF('الفحوصات_والاختبارات'!$C$5:$C$704,A24)</f>
        <v>1</v>
      </c>
      <c r="H24" s="61" cm="1">
        <f t="array" ref="H24">_xlfn.COUNTIFS('الفحوصات_والاختبارات'!$C$5:$C$704,A24,'الفحوصات_والاختبارات'!$G$5:$G$704,"مقبول من أول مرة")</f>
        <v>1</v>
      </c>
      <c r="I24" s="60" cm="1">
        <f t="array" ref="I24">_xlfn.IFERROR(H24/G24,0)</f>
        <v>1</v>
      </c>
      <c r="J24" s="61">
        <v>0</v>
      </c>
      <c r="K24" s="61">
        <v>1</v>
      </c>
      <c r="L24" s="62">
        <v>1443</v>
      </c>
      <c r="M24" t="str" s="63" cm="1">
        <f t="array" ref="M24">IF(AND(I24&gt;=0.9,J24&lt;=2),"مستقرة",IF(AND(I24&gt;=0.82,J24&lt;=5),"تحت المراقبة","حرجة"))</f>
        <v>مستقرة</v>
      </c>
      <c r="N24" s="64">
        <v>46109</v>
      </c>
      <c r="O24" s="64">
        <v>46203</v>
      </c>
      <c r="P24" s="61" cm="1">
        <f t="array" ref="P24">O24-N24</f>
        <v>94</v>
      </c>
      <c r="Q24" t="str" s="65" cm="1">
        <f t="array" ref="Q24">IF(D24="مكتملة","مرشحة للتسليم",IF(D24="تشطيبات","قيد التجهيز","تحت التنفيذ"))</f>
        <v>تحت التنفيذ</v>
      </c>
      <c r="R24" s="48"/>
      <c r="S24" s="7"/>
      <c r="T24" s="7"/>
      <c r="U24" s="7"/>
      <c r="V24" s="7"/>
      <c r="W24" s="7"/>
      <c r="X24" s="7"/>
      <c r="Y24" s="7"/>
      <c r="Z24" s="7"/>
    </row>
    <row r="25" ht="15" customHeight="1">
      <c r="A25" s="49">
        <v>21</v>
      </c>
      <c r="B25" t="s" s="50">
        <v>267</v>
      </c>
      <c r="C25" t="s" s="50">
        <v>272</v>
      </c>
      <c r="D25" t="s" s="50">
        <v>23</v>
      </c>
      <c r="E25" s="51">
        <v>0.197</v>
      </c>
      <c r="F25" t="s" s="50">
        <v>48</v>
      </c>
      <c r="G25" s="52" cm="1">
        <f t="array" ref="G25">COUNTIF('الفحوصات_والاختبارات'!$C$5:$C$704,A25)</f>
        <v>3</v>
      </c>
      <c r="H25" s="52" cm="1">
        <f t="array" ref="H25">_xlfn.COUNTIFS('الفحوصات_والاختبارات'!$C$5:$C$704,A25,'الفحوصات_والاختبارات'!$G$5:$G$704,"مقبول من أول مرة")</f>
        <v>3</v>
      </c>
      <c r="I25" s="51" cm="1">
        <f t="array" ref="I25">_xlfn.IFERROR(H25/G25,0)</f>
        <v>1</v>
      </c>
      <c r="J25" s="52">
        <v>2</v>
      </c>
      <c r="K25" s="52">
        <v>1</v>
      </c>
      <c r="L25" s="53">
        <v>6015</v>
      </c>
      <c r="M25" t="str" s="54" cm="1">
        <f t="array" ref="M25">IF(AND(I25&gt;=0.9,J25&lt;=2),"مستقرة",IF(AND(I25&gt;=0.82,J25&lt;=5),"تحت المراقبة","حرجة"))</f>
        <v>مستقرة</v>
      </c>
      <c r="N25" s="55">
        <v>46124</v>
      </c>
      <c r="O25" s="55">
        <v>46216</v>
      </c>
      <c r="P25" s="56" cm="1">
        <f t="array" ref="P25">O25-N25</f>
        <v>92</v>
      </c>
      <c r="Q25" t="str" s="57" cm="1">
        <f t="array" ref="Q25">IF(D25="مكتملة","مرشحة للتسليم",IF(D25="تشطيبات","قيد التجهيز","تحت التنفيذ"))</f>
        <v>تحت التنفيذ</v>
      </c>
      <c r="R25" s="48"/>
      <c r="S25" s="7"/>
      <c r="T25" s="7"/>
      <c r="U25" s="7"/>
      <c r="V25" s="7"/>
      <c r="W25" s="7"/>
      <c r="X25" s="7"/>
      <c r="Y25" s="7"/>
      <c r="Z25" s="7"/>
    </row>
    <row r="26" ht="15" customHeight="1">
      <c r="A26" s="58">
        <v>22</v>
      </c>
      <c r="B26" t="s" s="59">
        <v>267</v>
      </c>
      <c r="C26" t="s" s="59">
        <v>268</v>
      </c>
      <c r="D26" t="s" s="59">
        <v>23</v>
      </c>
      <c r="E26" s="60">
        <v>0.2536</v>
      </c>
      <c r="F26" t="s" s="59">
        <v>48</v>
      </c>
      <c r="G26" s="61" cm="1">
        <f t="array" ref="G26">COUNTIF('الفحوصات_والاختبارات'!$C$5:$C$704,A26)</f>
        <v>3</v>
      </c>
      <c r="H26" s="61" cm="1">
        <f t="array" ref="H26">_xlfn.COUNTIFS('الفحوصات_والاختبارات'!$C$5:$C$704,A26,'الفحوصات_والاختبارات'!$G$5:$G$704,"مقبول من أول مرة")</f>
        <v>2</v>
      </c>
      <c r="I26" s="60" cm="1">
        <f t="array" ref="I26">_xlfn.IFERROR(H26/G26,0)</f>
        <v>0.666666666666667</v>
      </c>
      <c r="J26" s="61">
        <v>0</v>
      </c>
      <c r="K26" s="61">
        <v>3</v>
      </c>
      <c r="L26" s="62">
        <v>22044</v>
      </c>
      <c r="M26" t="str" s="63" cm="1">
        <f t="array" ref="M26">IF(AND(I26&gt;=0.9,J26&lt;=2),"مستقرة",IF(AND(I26&gt;=0.82,J26&lt;=5),"تحت المراقبة","حرجة"))</f>
        <v>حرجة</v>
      </c>
      <c r="N26" s="64">
        <v>46127</v>
      </c>
      <c r="O26" s="64">
        <v>46203</v>
      </c>
      <c r="P26" s="61" cm="1">
        <f t="array" ref="P26">O26-N26</f>
        <v>76</v>
      </c>
      <c r="Q26" t="str" s="65" cm="1">
        <f t="array" ref="Q26">IF(D26="مكتملة","مرشحة للتسليم",IF(D26="تشطيبات","قيد التجهيز","تحت التنفيذ"))</f>
        <v>تحت التنفيذ</v>
      </c>
      <c r="R26" s="48"/>
      <c r="S26" s="7"/>
      <c r="T26" s="7"/>
      <c r="U26" s="7"/>
      <c r="V26" s="7"/>
      <c r="W26" s="7"/>
      <c r="X26" s="7"/>
      <c r="Y26" s="7"/>
      <c r="Z26" s="7"/>
    </row>
    <row r="27" ht="15" customHeight="1">
      <c r="A27" s="49">
        <v>23</v>
      </c>
      <c r="B27" t="s" s="50">
        <v>267</v>
      </c>
      <c r="C27" t="s" s="50">
        <v>271</v>
      </c>
      <c r="D27" t="s" s="50">
        <v>23</v>
      </c>
      <c r="E27" s="51">
        <v>0.2746</v>
      </c>
      <c r="F27" t="s" s="50">
        <v>48</v>
      </c>
      <c r="G27" s="52" cm="1">
        <f t="array" ref="G27">COUNTIF('الفحوصات_والاختبارات'!$C$5:$C$704,A27)</f>
        <v>3</v>
      </c>
      <c r="H27" s="52" cm="1">
        <f t="array" ref="H27">_xlfn.COUNTIFS('الفحوصات_والاختبارات'!$C$5:$C$704,A27,'الفحوصات_والاختبارات'!$G$5:$G$704,"مقبول من أول مرة")</f>
        <v>3</v>
      </c>
      <c r="I27" s="51" cm="1">
        <f t="array" ref="I27">_xlfn.IFERROR(H27/G27,0)</f>
        <v>1</v>
      </c>
      <c r="J27" s="52">
        <v>1</v>
      </c>
      <c r="K27" s="52">
        <v>0</v>
      </c>
      <c r="L27" s="53">
        <v>857</v>
      </c>
      <c r="M27" t="str" s="54" cm="1">
        <f t="array" ref="M27">IF(AND(I27&gt;=0.9,J27&lt;=2),"مستقرة",IF(AND(I27&gt;=0.82,J27&lt;=5),"تحت المراقبة","حرجة"))</f>
        <v>مستقرة</v>
      </c>
      <c r="N27" s="55">
        <v>46130</v>
      </c>
      <c r="O27" s="55">
        <v>46214</v>
      </c>
      <c r="P27" s="56" cm="1">
        <f t="array" ref="P27">O27-N27</f>
        <v>84</v>
      </c>
      <c r="Q27" t="str" s="57" cm="1">
        <f t="array" ref="Q27">IF(D27="مكتملة","مرشحة للتسليم",IF(D27="تشطيبات","قيد التجهيز","تحت التنفيذ"))</f>
        <v>تحت التنفيذ</v>
      </c>
      <c r="R27" s="48"/>
      <c r="S27" s="7"/>
      <c r="T27" s="7"/>
      <c r="U27" s="7"/>
      <c r="V27" s="7"/>
      <c r="W27" s="7"/>
      <c r="X27" s="7"/>
      <c r="Y27" s="7"/>
      <c r="Z27" s="7"/>
    </row>
    <row r="28" ht="15" customHeight="1">
      <c r="A28" s="58">
        <v>24</v>
      </c>
      <c r="B28" t="s" s="59">
        <v>267</v>
      </c>
      <c r="C28" t="s" s="59">
        <v>272</v>
      </c>
      <c r="D28" t="s" s="59">
        <v>23</v>
      </c>
      <c r="E28" s="60">
        <v>0.2417</v>
      </c>
      <c r="F28" t="s" s="59">
        <v>48</v>
      </c>
      <c r="G28" s="61" cm="1">
        <f t="array" ref="G28">COUNTIF('الفحوصات_والاختبارات'!$C$5:$C$704,A28)</f>
        <v>3</v>
      </c>
      <c r="H28" s="61" cm="1">
        <f t="array" ref="H28">_xlfn.COUNTIFS('الفحوصات_والاختبارات'!$C$5:$C$704,A28,'الفحوصات_والاختبارات'!$G$5:$G$704,"مقبول من أول مرة")</f>
        <v>2</v>
      </c>
      <c r="I28" s="60" cm="1">
        <f t="array" ref="I28">_xlfn.IFERROR(H28/G28,0)</f>
        <v>0.666666666666667</v>
      </c>
      <c r="J28" s="61">
        <v>2</v>
      </c>
      <c r="K28" s="61">
        <v>0</v>
      </c>
      <c r="L28" s="62">
        <v>4076</v>
      </c>
      <c r="M28" t="str" s="63" cm="1">
        <f t="array" ref="M28">IF(AND(I28&gt;=0.9,J28&lt;=2),"مستقرة",IF(AND(I28&gt;=0.82,J28&lt;=5),"تحت المراقبة","حرجة"))</f>
        <v>حرجة</v>
      </c>
      <c r="N28" s="64">
        <v>46133</v>
      </c>
      <c r="O28" s="64">
        <v>46214</v>
      </c>
      <c r="P28" s="61" cm="1">
        <f t="array" ref="P28">O28-N28</f>
        <v>81</v>
      </c>
      <c r="Q28" t="str" s="65" cm="1">
        <f t="array" ref="Q28">IF(D28="مكتملة","مرشحة للتسليم",IF(D28="تشطيبات","قيد التجهيز","تحت التنفيذ"))</f>
        <v>تحت التنفيذ</v>
      </c>
      <c r="R28" s="48"/>
      <c r="S28" s="7"/>
      <c r="T28" s="7"/>
      <c r="U28" s="7"/>
      <c r="V28" s="7"/>
      <c r="W28" s="7"/>
      <c r="X28" s="7"/>
      <c r="Y28" s="7"/>
      <c r="Z28" s="7"/>
    </row>
    <row r="29" ht="15" customHeight="1">
      <c r="A29" s="49">
        <v>25</v>
      </c>
      <c r="B29" t="s" s="50">
        <v>267</v>
      </c>
      <c r="C29" t="s" s="50">
        <v>268</v>
      </c>
      <c r="D29" t="s" s="50">
        <v>23</v>
      </c>
      <c r="E29" s="51">
        <v>0.2431</v>
      </c>
      <c r="F29" t="s" s="50">
        <v>48</v>
      </c>
      <c r="G29" s="52" cm="1">
        <f t="array" ref="G29">COUNTIF('الفحوصات_والاختبارات'!$C$5:$C$704,A29)</f>
        <v>3</v>
      </c>
      <c r="H29" s="52" cm="1">
        <f t="array" ref="H29">_xlfn.COUNTIFS('الفحوصات_والاختبارات'!$C$5:$C$704,A29,'الفحوصات_والاختبارات'!$G$5:$G$704,"مقبول من أول مرة")</f>
        <v>3</v>
      </c>
      <c r="I29" s="51" cm="1">
        <f t="array" ref="I29">_xlfn.IFERROR(H29/G29,0)</f>
        <v>1</v>
      </c>
      <c r="J29" s="52">
        <v>1</v>
      </c>
      <c r="K29" s="52">
        <v>0</v>
      </c>
      <c r="L29" s="53">
        <v>1401</v>
      </c>
      <c r="M29" t="str" s="54" cm="1">
        <f t="array" ref="M29">IF(AND(I29&gt;=0.9,J29&lt;=2),"مستقرة",IF(AND(I29&gt;=0.82,J29&lt;=5),"تحت المراقبة","حرجة"))</f>
        <v>مستقرة</v>
      </c>
      <c r="N29" s="55">
        <v>46136</v>
      </c>
      <c r="O29" s="55">
        <v>46210</v>
      </c>
      <c r="P29" s="56" cm="1">
        <f t="array" ref="P29">O29-N29</f>
        <v>74</v>
      </c>
      <c r="Q29" t="str" s="57" cm="1">
        <f t="array" ref="Q29">IF(D29="مكتملة","مرشحة للتسليم",IF(D29="تشطيبات","قيد التجهيز","تحت التنفيذ"))</f>
        <v>تحت التنفيذ</v>
      </c>
      <c r="R29" s="48"/>
      <c r="S29" s="7"/>
      <c r="T29" s="7"/>
      <c r="U29" s="7"/>
      <c r="V29" s="7"/>
      <c r="W29" s="7"/>
      <c r="X29" s="7"/>
      <c r="Y29" s="7"/>
      <c r="Z29" s="7"/>
    </row>
    <row r="30" ht="15" customHeight="1">
      <c r="A30" s="58">
        <v>26</v>
      </c>
      <c r="B30" t="s" s="59">
        <v>267</v>
      </c>
      <c r="C30" t="s" s="59">
        <v>271</v>
      </c>
      <c r="D30" t="s" s="59">
        <v>23</v>
      </c>
      <c r="E30" s="60">
        <v>0.2177</v>
      </c>
      <c r="F30" t="s" s="59">
        <v>48</v>
      </c>
      <c r="G30" s="61" cm="1">
        <f t="array" ref="G30">COUNTIF('الفحوصات_والاختبارات'!$C$5:$C$704,A30)</f>
        <v>3</v>
      </c>
      <c r="H30" s="61" cm="1">
        <f t="array" ref="H30">_xlfn.COUNTIFS('الفحوصات_والاختبارات'!$C$5:$C$704,A30,'الفحوصات_والاختبارات'!$G$5:$G$704,"مقبول من أول مرة")</f>
        <v>3</v>
      </c>
      <c r="I30" s="60" cm="1">
        <f t="array" ref="I30">_xlfn.IFERROR(H30/G30,0)</f>
        <v>1</v>
      </c>
      <c r="J30" s="61">
        <v>1</v>
      </c>
      <c r="K30" s="61">
        <v>0</v>
      </c>
      <c r="L30" s="62">
        <v>8652</v>
      </c>
      <c r="M30" t="str" s="63" cm="1">
        <f t="array" ref="M30">IF(AND(I30&gt;=0.9,J30&lt;=2),"مستقرة",IF(AND(I30&gt;=0.82,J30&lt;=5),"تحت المراقبة","حرجة"))</f>
        <v>مستقرة</v>
      </c>
      <c r="N30" s="64">
        <v>46139</v>
      </c>
      <c r="O30" s="64">
        <v>46211</v>
      </c>
      <c r="P30" s="61" cm="1">
        <f t="array" ref="P30">O30-N30</f>
        <v>72</v>
      </c>
      <c r="Q30" t="str" s="65" cm="1">
        <f t="array" ref="Q30">IF(D30="مكتملة","مرشحة للتسليم",IF(D30="تشطيبات","قيد التجهيز","تحت التنفيذ"))</f>
        <v>تحت التنفيذ</v>
      </c>
      <c r="R30" s="48"/>
      <c r="S30" s="7"/>
      <c r="T30" s="7"/>
      <c r="U30" s="7"/>
      <c r="V30" s="7"/>
      <c r="W30" s="7"/>
      <c r="X30" s="7"/>
      <c r="Y30" s="7"/>
      <c r="Z30" s="7"/>
    </row>
    <row r="31" ht="15" customHeight="1">
      <c r="A31" s="49">
        <v>27</v>
      </c>
      <c r="B31" t="s" s="50">
        <v>267</v>
      </c>
      <c r="C31" t="s" s="50">
        <v>272</v>
      </c>
      <c r="D31" t="s" s="50">
        <v>23</v>
      </c>
      <c r="E31" s="51">
        <v>0.2535</v>
      </c>
      <c r="F31" t="s" s="50">
        <v>48</v>
      </c>
      <c r="G31" s="52" cm="1">
        <f t="array" ref="G31">COUNTIF('الفحوصات_والاختبارات'!$C$5:$C$704,A31)</f>
        <v>3</v>
      </c>
      <c r="H31" s="52" cm="1">
        <f t="array" ref="H31">_xlfn.COUNTIFS('الفحوصات_والاختبارات'!$C$5:$C$704,A31,'الفحوصات_والاختبارات'!$G$5:$G$704,"مقبول من أول مرة")</f>
        <v>3</v>
      </c>
      <c r="I31" s="51" cm="1">
        <f t="array" ref="I31">_xlfn.IFERROR(H31/G31,0)</f>
        <v>1</v>
      </c>
      <c r="J31" s="52">
        <v>0</v>
      </c>
      <c r="K31" s="52">
        <v>2</v>
      </c>
      <c r="L31" s="53">
        <v>5440</v>
      </c>
      <c r="M31" t="str" s="54" cm="1">
        <f t="array" ref="M31">IF(AND(I31&gt;=0.9,J31&lt;=2),"مستقرة",IF(AND(I31&gt;=0.82,J31&lt;=5),"تحت المراقبة","حرجة"))</f>
        <v>مستقرة</v>
      </c>
      <c r="N31" s="55">
        <v>46142</v>
      </c>
      <c r="O31" s="55">
        <v>46205</v>
      </c>
      <c r="P31" s="56" cm="1">
        <f t="array" ref="P31">O31-N31</f>
        <v>63</v>
      </c>
      <c r="Q31" t="str" s="57" cm="1">
        <f t="array" ref="Q31">IF(D31="مكتملة","مرشحة للتسليم",IF(D31="تشطيبات","قيد التجهيز","تحت التنفيذ"))</f>
        <v>تحت التنفيذ</v>
      </c>
      <c r="R31" s="48"/>
      <c r="S31" s="7"/>
      <c r="T31" s="7"/>
      <c r="U31" s="7"/>
      <c r="V31" s="7"/>
      <c r="W31" s="7"/>
      <c r="X31" s="7"/>
      <c r="Y31" s="7"/>
      <c r="Z31" s="7"/>
    </row>
    <row r="32" ht="15" customHeight="1">
      <c r="A32" s="58">
        <v>28</v>
      </c>
      <c r="B32" t="s" s="59">
        <v>267</v>
      </c>
      <c r="C32" t="s" s="59">
        <v>268</v>
      </c>
      <c r="D32" t="s" s="59">
        <v>23</v>
      </c>
      <c r="E32" s="60">
        <v>0.1889</v>
      </c>
      <c r="F32" t="s" s="59">
        <v>48</v>
      </c>
      <c r="G32" s="61" cm="1">
        <f t="array" ref="G32">COUNTIF('الفحوصات_والاختبارات'!$C$5:$C$704,A32)</f>
        <v>3</v>
      </c>
      <c r="H32" s="61" cm="1">
        <f t="array" ref="H32">_xlfn.COUNTIFS('الفحوصات_والاختبارات'!$C$5:$C$704,A32,'الفحوصات_والاختبارات'!$G$5:$G$704,"مقبول من أول مرة")</f>
        <v>3</v>
      </c>
      <c r="I32" s="60" cm="1">
        <f t="array" ref="I32">_xlfn.IFERROR(H32/G32,0)</f>
        <v>1</v>
      </c>
      <c r="J32" s="61">
        <v>1</v>
      </c>
      <c r="K32" s="61">
        <v>1</v>
      </c>
      <c r="L32" s="62">
        <v>5190</v>
      </c>
      <c r="M32" t="str" s="63" cm="1">
        <f t="array" ref="M32">IF(AND(I32&gt;=0.9,J32&lt;=2),"مستقرة",IF(AND(I32&gt;=0.82,J32&lt;=5),"تحت المراقبة","حرجة"))</f>
        <v>مستقرة</v>
      </c>
      <c r="N32" s="64">
        <v>46145</v>
      </c>
      <c r="O32" s="64">
        <v>46226</v>
      </c>
      <c r="P32" s="61" cm="1">
        <f t="array" ref="P32">O32-N32</f>
        <v>81</v>
      </c>
      <c r="Q32" t="str" s="65" cm="1">
        <f t="array" ref="Q32">IF(D32="مكتملة","مرشحة للتسليم",IF(D32="تشطيبات","قيد التجهيز","تحت التنفيذ"))</f>
        <v>تحت التنفيذ</v>
      </c>
      <c r="R32" s="48"/>
      <c r="S32" s="7"/>
      <c r="T32" s="7"/>
      <c r="U32" s="7"/>
      <c r="V32" s="7"/>
      <c r="W32" s="7"/>
      <c r="X32" s="7"/>
      <c r="Y32" s="7"/>
      <c r="Z32" s="7"/>
    </row>
    <row r="33" ht="15" customHeight="1">
      <c r="A33" s="49">
        <v>29</v>
      </c>
      <c r="B33" t="s" s="50">
        <v>267</v>
      </c>
      <c r="C33" t="s" s="50">
        <v>271</v>
      </c>
      <c r="D33" t="s" s="50">
        <v>23</v>
      </c>
      <c r="E33" s="51">
        <v>0.2111</v>
      </c>
      <c r="F33" t="s" s="50">
        <v>48</v>
      </c>
      <c r="G33" s="52" cm="1">
        <f t="array" ref="G33">COUNTIF('الفحوصات_والاختبارات'!$C$5:$C$704,A33)</f>
        <v>3</v>
      </c>
      <c r="H33" s="52" cm="1">
        <f t="array" ref="H33">_xlfn.COUNTIFS('الفحوصات_والاختبارات'!$C$5:$C$704,A33,'الفحوصات_والاختبارات'!$G$5:$G$704,"مقبول من أول مرة")</f>
        <v>2</v>
      </c>
      <c r="I33" s="51" cm="1">
        <f t="array" ref="I33">_xlfn.IFERROR(H33/G33,0)</f>
        <v>0.666666666666667</v>
      </c>
      <c r="J33" s="52">
        <v>0</v>
      </c>
      <c r="K33" s="52">
        <v>1</v>
      </c>
      <c r="L33" s="53">
        <v>797</v>
      </c>
      <c r="M33" t="str" s="54" cm="1">
        <f t="array" ref="M33">IF(AND(I33&gt;=0.9,J33&lt;=2),"مستقرة",IF(AND(I33&gt;=0.82,J33&lt;=5),"تحت المراقبة","حرجة"))</f>
        <v>حرجة</v>
      </c>
      <c r="N33" s="55">
        <v>46148</v>
      </c>
      <c r="O33" s="55">
        <v>46203</v>
      </c>
      <c r="P33" s="56" cm="1">
        <f t="array" ref="P33">O33-N33</f>
        <v>55</v>
      </c>
      <c r="Q33" t="str" s="57" cm="1">
        <f t="array" ref="Q33">IF(D33="مكتملة","مرشحة للتسليم",IF(D33="تشطيبات","قيد التجهيز","تحت التنفيذ"))</f>
        <v>تحت التنفيذ</v>
      </c>
      <c r="R33" s="48"/>
      <c r="S33" s="7"/>
      <c r="T33" s="7"/>
      <c r="U33" s="7"/>
      <c r="V33" s="7"/>
      <c r="W33" s="7"/>
      <c r="X33" s="7"/>
      <c r="Y33" s="7"/>
      <c r="Z33" s="7"/>
    </row>
    <row r="34" ht="15" customHeight="1">
      <c r="A34" s="58">
        <v>30</v>
      </c>
      <c r="B34" t="s" s="59">
        <v>267</v>
      </c>
      <c r="C34" t="s" s="59">
        <v>272</v>
      </c>
      <c r="D34" t="s" s="59">
        <v>23</v>
      </c>
      <c r="E34" s="60">
        <v>0.2663</v>
      </c>
      <c r="F34" t="s" s="59">
        <v>48</v>
      </c>
      <c r="G34" s="61" cm="1">
        <f t="array" ref="G34">COUNTIF('الفحوصات_والاختبارات'!$C$5:$C$704,A34)</f>
        <v>3</v>
      </c>
      <c r="H34" s="61" cm="1">
        <f t="array" ref="H34">_xlfn.COUNTIFS('الفحوصات_والاختبارات'!$C$5:$C$704,A34,'الفحوصات_والاختبارات'!$G$5:$G$704,"مقبول من أول مرة")</f>
        <v>3</v>
      </c>
      <c r="I34" s="60" cm="1">
        <f t="array" ref="I34">_xlfn.IFERROR(H34/G34,0)</f>
        <v>1</v>
      </c>
      <c r="J34" s="61">
        <v>0</v>
      </c>
      <c r="K34" s="61">
        <v>2</v>
      </c>
      <c r="L34" s="62">
        <v>5319</v>
      </c>
      <c r="M34" t="str" s="63" cm="1">
        <f t="array" ref="M34">IF(AND(I34&gt;=0.9,J34&lt;=2),"مستقرة",IF(AND(I34&gt;=0.82,J34&lt;=5),"تحت المراقبة","حرجة"))</f>
        <v>مستقرة</v>
      </c>
      <c r="N34" s="64">
        <v>46151</v>
      </c>
      <c r="O34" s="64">
        <v>46208</v>
      </c>
      <c r="P34" s="61" cm="1">
        <f t="array" ref="P34">O34-N34</f>
        <v>57</v>
      </c>
      <c r="Q34" t="str" s="65" cm="1">
        <f t="array" ref="Q34">IF(D34="مكتملة","مرشحة للتسليم",IF(D34="تشطيبات","قيد التجهيز","تحت التنفيذ"))</f>
        <v>تحت التنفيذ</v>
      </c>
      <c r="R34" s="48"/>
      <c r="S34" s="7"/>
      <c r="T34" s="7"/>
      <c r="U34" s="7"/>
      <c r="V34" s="7"/>
      <c r="W34" s="7"/>
      <c r="X34" s="7"/>
      <c r="Y34" s="7"/>
      <c r="Z34" s="7"/>
    </row>
    <row r="35" ht="15" customHeight="1">
      <c r="A35" s="49">
        <v>31</v>
      </c>
      <c r="B35" t="s" s="50">
        <v>274</v>
      </c>
      <c r="C35" t="s" s="50">
        <v>268</v>
      </c>
      <c r="D35" t="s" s="50">
        <v>23</v>
      </c>
      <c r="E35" s="51">
        <v>0.2391</v>
      </c>
      <c r="F35" t="s" s="50">
        <v>48</v>
      </c>
      <c r="G35" s="52" cm="1">
        <f t="array" ref="G35">COUNTIF('الفحوصات_والاختبارات'!$C$5:$C$704,A35)</f>
        <v>3</v>
      </c>
      <c r="H35" s="52" cm="1">
        <f t="array" ref="H35">_xlfn.COUNTIFS('الفحوصات_والاختبارات'!$C$5:$C$704,A35,'الفحوصات_والاختبارات'!$G$5:$G$704,"مقبول من أول مرة")</f>
        <v>3</v>
      </c>
      <c r="I35" s="51" cm="1">
        <f t="array" ref="I35">_xlfn.IFERROR(H35/G35,0)</f>
        <v>1</v>
      </c>
      <c r="J35" s="52">
        <v>2</v>
      </c>
      <c r="K35" s="52">
        <v>1</v>
      </c>
      <c r="L35" s="53">
        <v>5030</v>
      </c>
      <c r="M35" t="str" s="54" cm="1">
        <f t="array" ref="M35">IF(AND(I35&gt;=0.9,J35&lt;=2),"مستقرة",IF(AND(I35&gt;=0.82,J35&lt;=5),"تحت المراقبة","حرجة"))</f>
        <v>مستقرة</v>
      </c>
      <c r="N35" s="55">
        <v>46154</v>
      </c>
      <c r="O35" s="55">
        <v>46221</v>
      </c>
      <c r="P35" s="56" cm="1">
        <f t="array" ref="P35">O35-N35</f>
        <v>67</v>
      </c>
      <c r="Q35" t="str" s="57" cm="1">
        <f t="array" ref="Q35">IF(D35="مكتملة","مرشحة للتسليم",IF(D35="تشطيبات","قيد التجهيز","تحت التنفيذ"))</f>
        <v>تحت التنفيذ</v>
      </c>
      <c r="R35" s="48"/>
      <c r="S35" s="7"/>
      <c r="T35" s="7"/>
      <c r="U35" s="7"/>
      <c r="V35" s="7"/>
      <c r="W35" s="7"/>
      <c r="X35" s="7"/>
      <c r="Y35" s="7"/>
      <c r="Z35" s="7"/>
    </row>
    <row r="36" ht="15" customHeight="1">
      <c r="A36" s="58">
        <v>32</v>
      </c>
      <c r="B36" t="s" s="59">
        <v>274</v>
      </c>
      <c r="C36" t="s" s="59">
        <v>271</v>
      </c>
      <c r="D36" t="s" s="59">
        <v>23</v>
      </c>
      <c r="E36" s="60">
        <v>0.2566</v>
      </c>
      <c r="F36" t="s" s="59">
        <v>48</v>
      </c>
      <c r="G36" s="61" cm="1">
        <f t="array" ref="G36">COUNTIF('الفحوصات_والاختبارات'!$C$5:$C$704,A36)</f>
        <v>3</v>
      </c>
      <c r="H36" s="61" cm="1">
        <f t="array" ref="H36">_xlfn.COUNTIFS('الفحوصات_والاختبارات'!$C$5:$C$704,A36,'الفحوصات_والاختبارات'!$G$5:$G$704,"مقبول من أول مرة")</f>
        <v>3</v>
      </c>
      <c r="I36" s="60" cm="1">
        <f t="array" ref="I36">_xlfn.IFERROR(H36/G36,0)</f>
        <v>1</v>
      </c>
      <c r="J36" s="61">
        <v>1</v>
      </c>
      <c r="K36" s="61">
        <v>1</v>
      </c>
      <c r="L36" s="62">
        <v>963</v>
      </c>
      <c r="M36" t="str" s="63" cm="1">
        <f t="array" ref="M36">IF(AND(I36&gt;=0.9,J36&lt;=2),"مستقرة",IF(AND(I36&gt;=0.82,J36&lt;=5),"تحت المراقبة","حرجة"))</f>
        <v>مستقرة</v>
      </c>
      <c r="N36" s="64">
        <v>46157</v>
      </c>
      <c r="O36" s="64">
        <v>46214</v>
      </c>
      <c r="P36" s="61" cm="1">
        <f t="array" ref="P36">O36-N36</f>
        <v>57</v>
      </c>
      <c r="Q36" t="str" s="65" cm="1">
        <f t="array" ref="Q36">IF(D36="مكتملة","مرشحة للتسليم",IF(D36="تشطيبات","قيد التجهيز","تحت التنفيذ"))</f>
        <v>تحت التنفيذ</v>
      </c>
      <c r="R36" s="48"/>
      <c r="S36" s="7"/>
      <c r="T36" s="7"/>
      <c r="U36" s="7"/>
      <c r="V36" s="7"/>
      <c r="W36" s="7"/>
      <c r="X36" s="7"/>
      <c r="Y36" s="7"/>
      <c r="Z36" s="7"/>
    </row>
    <row r="37" ht="15" customHeight="1">
      <c r="A37" s="49">
        <v>33</v>
      </c>
      <c r="B37" t="s" s="50">
        <v>274</v>
      </c>
      <c r="C37" t="s" s="50">
        <v>272</v>
      </c>
      <c r="D37" t="s" s="50">
        <v>23</v>
      </c>
      <c r="E37" s="51">
        <v>0.2109</v>
      </c>
      <c r="F37" t="s" s="50">
        <v>48</v>
      </c>
      <c r="G37" s="52" cm="1">
        <f t="array" ref="G37">COUNTIF('الفحوصات_والاختبارات'!$C$5:$C$704,A37)</f>
        <v>3</v>
      </c>
      <c r="H37" s="52" cm="1">
        <f t="array" ref="H37">_xlfn.COUNTIFS('الفحوصات_والاختبارات'!$C$5:$C$704,A37,'الفحوصات_والاختبارات'!$G$5:$G$704,"مقبول من أول مرة")</f>
        <v>3</v>
      </c>
      <c r="I37" s="51" cm="1">
        <f t="array" ref="I37">_xlfn.IFERROR(H37/G37,0)</f>
        <v>1</v>
      </c>
      <c r="J37" s="52">
        <v>0</v>
      </c>
      <c r="K37" s="52">
        <v>1</v>
      </c>
      <c r="L37" s="53">
        <v>1251</v>
      </c>
      <c r="M37" t="str" s="54" cm="1">
        <f t="array" ref="M37">IF(AND(I37&gt;=0.9,J37&lt;=2),"مستقرة",IF(AND(I37&gt;=0.82,J37&lt;=5),"تحت المراقبة","حرجة"))</f>
        <v>مستقرة</v>
      </c>
      <c r="N37" s="55">
        <v>46160</v>
      </c>
      <c r="O37" s="55">
        <v>46236</v>
      </c>
      <c r="P37" s="56" cm="1">
        <f t="array" ref="P37">O37-N37</f>
        <v>76</v>
      </c>
      <c r="Q37" t="str" s="57" cm="1">
        <f t="array" ref="Q37">IF(D37="مكتملة","مرشحة للتسليم",IF(D37="تشطيبات","قيد التجهيز","تحت التنفيذ"))</f>
        <v>تحت التنفيذ</v>
      </c>
      <c r="R37" s="48"/>
      <c r="S37" s="7"/>
      <c r="T37" s="7"/>
      <c r="U37" s="7"/>
      <c r="V37" s="7"/>
      <c r="W37" s="7"/>
      <c r="X37" s="7"/>
      <c r="Y37" s="7"/>
      <c r="Z37" s="7"/>
    </row>
    <row r="38" ht="15" customHeight="1">
      <c r="A38" s="58">
        <v>34</v>
      </c>
      <c r="B38" t="s" s="59">
        <v>274</v>
      </c>
      <c r="C38" t="s" s="59">
        <v>268</v>
      </c>
      <c r="D38" t="s" s="59">
        <v>23</v>
      </c>
      <c r="E38" s="60">
        <v>0.1894</v>
      </c>
      <c r="F38" t="s" s="59">
        <v>48</v>
      </c>
      <c r="G38" s="61" cm="1">
        <f t="array" ref="G38">COUNTIF('الفحوصات_والاختبارات'!$C$5:$C$704,A38)</f>
        <v>3</v>
      </c>
      <c r="H38" s="61" cm="1">
        <f t="array" ref="H38">_xlfn.COUNTIFS('الفحوصات_والاختبارات'!$C$5:$C$704,A38,'الفحوصات_والاختبارات'!$G$5:$G$704,"مقبول من أول مرة")</f>
        <v>3</v>
      </c>
      <c r="I38" s="60" cm="1">
        <f t="array" ref="I38">_xlfn.IFERROR(H38/G38,0)</f>
        <v>1</v>
      </c>
      <c r="J38" s="61">
        <v>0</v>
      </c>
      <c r="K38" s="61">
        <v>1</v>
      </c>
      <c r="L38" s="62">
        <v>2759</v>
      </c>
      <c r="M38" t="str" s="63" cm="1">
        <f t="array" ref="M38">IF(AND(I38&gt;=0.9,J38&lt;=2),"مستقرة",IF(AND(I38&gt;=0.82,J38&lt;=5),"تحت المراقبة","حرجة"))</f>
        <v>مستقرة</v>
      </c>
      <c r="N38" s="64">
        <v>46163</v>
      </c>
      <c r="O38" s="64">
        <v>46253</v>
      </c>
      <c r="P38" s="61" cm="1">
        <f t="array" ref="P38">O38-N38</f>
        <v>90</v>
      </c>
      <c r="Q38" t="str" s="65" cm="1">
        <f t="array" ref="Q38">IF(D38="مكتملة","مرشحة للتسليم",IF(D38="تشطيبات","قيد التجهيز","تحت التنفيذ"))</f>
        <v>تحت التنفيذ</v>
      </c>
      <c r="R38" s="48"/>
      <c r="S38" s="7"/>
      <c r="T38" s="7"/>
      <c r="U38" s="7"/>
      <c r="V38" s="7"/>
      <c r="W38" s="7"/>
      <c r="X38" s="7"/>
      <c r="Y38" s="7"/>
      <c r="Z38" s="7"/>
    </row>
    <row r="39" ht="15" customHeight="1">
      <c r="A39" s="49">
        <v>35</v>
      </c>
      <c r="B39" t="s" s="50">
        <v>274</v>
      </c>
      <c r="C39" t="s" s="50">
        <v>271</v>
      </c>
      <c r="D39" t="s" s="50">
        <v>23</v>
      </c>
      <c r="E39" s="51">
        <v>0.2115</v>
      </c>
      <c r="F39" t="s" s="50">
        <v>48</v>
      </c>
      <c r="G39" s="52" cm="1">
        <f t="array" ref="G39">COUNTIF('الفحوصات_والاختبارات'!$C$5:$C$704,A39)</f>
        <v>3</v>
      </c>
      <c r="H39" s="52" cm="1">
        <f t="array" ref="H39">_xlfn.COUNTIFS('الفحوصات_والاختبارات'!$C$5:$C$704,A39,'الفحوصات_والاختبارات'!$G$5:$G$704,"مقبول من أول مرة")</f>
        <v>3</v>
      </c>
      <c r="I39" s="51" cm="1">
        <f t="array" ref="I39">_xlfn.IFERROR(H39/G39,0)</f>
        <v>1</v>
      </c>
      <c r="J39" s="52">
        <v>0</v>
      </c>
      <c r="K39" s="52">
        <v>1</v>
      </c>
      <c r="L39" s="53">
        <v>820</v>
      </c>
      <c r="M39" t="str" s="54" cm="1">
        <f t="array" ref="M39">IF(AND(I39&gt;=0.9,J39&lt;=2),"مستقرة",IF(AND(I39&gt;=0.82,J39&lt;=5),"تحت المراقبة","حرجة"))</f>
        <v>مستقرة</v>
      </c>
      <c r="N39" s="55">
        <v>46166</v>
      </c>
      <c r="O39" s="55">
        <v>46221</v>
      </c>
      <c r="P39" s="56" cm="1">
        <f t="array" ref="P39">O39-N39</f>
        <v>55</v>
      </c>
      <c r="Q39" t="str" s="57" cm="1">
        <f t="array" ref="Q39">IF(D39="مكتملة","مرشحة للتسليم",IF(D39="تشطيبات","قيد التجهيز","تحت التنفيذ"))</f>
        <v>تحت التنفيذ</v>
      </c>
      <c r="R39" s="48"/>
      <c r="S39" s="7"/>
      <c r="T39" s="7"/>
      <c r="U39" s="7"/>
      <c r="V39" s="7"/>
      <c r="W39" s="7"/>
      <c r="X39" s="7"/>
      <c r="Y39" s="7"/>
      <c r="Z39" s="7"/>
    </row>
    <row r="40" ht="15" customHeight="1">
      <c r="A40" s="58">
        <v>36</v>
      </c>
      <c r="B40" t="s" s="59">
        <v>274</v>
      </c>
      <c r="C40" t="s" s="59">
        <v>272</v>
      </c>
      <c r="D40" t="s" s="59">
        <v>23</v>
      </c>
      <c r="E40" s="60">
        <v>0.2047</v>
      </c>
      <c r="F40" t="s" s="59">
        <v>48</v>
      </c>
      <c r="G40" s="61" cm="1">
        <f t="array" ref="G40">COUNTIF('الفحوصات_والاختبارات'!$C$5:$C$704,A40)</f>
        <v>3</v>
      </c>
      <c r="H40" s="61" cm="1">
        <f t="array" ref="H40">_xlfn.COUNTIFS('الفحوصات_والاختبارات'!$C$5:$C$704,A40,'الفحوصات_والاختبارات'!$G$5:$G$704,"مقبول من أول مرة")</f>
        <v>3</v>
      </c>
      <c r="I40" s="60" cm="1">
        <f t="array" ref="I40">_xlfn.IFERROR(H40/G40,0)</f>
        <v>1</v>
      </c>
      <c r="J40" s="61">
        <v>3</v>
      </c>
      <c r="K40" s="61">
        <v>0</v>
      </c>
      <c r="L40" s="62">
        <v>2113</v>
      </c>
      <c r="M40" t="str" s="63" cm="1">
        <f t="array" ref="M40">IF(AND(I40&gt;=0.9,J40&lt;=2),"مستقرة",IF(AND(I40&gt;=0.82,J40&lt;=5),"تحت المراقبة","حرجة"))</f>
        <v>تحت المراقبة</v>
      </c>
      <c r="N40" s="64">
        <v>46169</v>
      </c>
      <c r="O40" s="64">
        <v>46256</v>
      </c>
      <c r="P40" s="61" cm="1">
        <f t="array" ref="P40">O40-N40</f>
        <v>87</v>
      </c>
      <c r="Q40" t="str" s="65" cm="1">
        <f t="array" ref="Q40">IF(D40="مكتملة","مرشحة للتسليم",IF(D40="تشطيبات","قيد التجهيز","تحت التنفيذ"))</f>
        <v>تحت التنفيذ</v>
      </c>
      <c r="R40" s="48"/>
      <c r="S40" s="7"/>
      <c r="T40" s="7"/>
      <c r="U40" s="7"/>
      <c r="V40" s="7"/>
      <c r="W40" s="7"/>
      <c r="X40" s="7"/>
      <c r="Y40" s="7"/>
      <c r="Z40" s="7"/>
    </row>
    <row r="41" ht="15" customHeight="1">
      <c r="A41" s="49">
        <v>37</v>
      </c>
      <c r="B41" t="s" s="50">
        <v>274</v>
      </c>
      <c r="C41" t="s" s="50">
        <v>268</v>
      </c>
      <c r="D41" t="s" s="50">
        <v>23</v>
      </c>
      <c r="E41" s="51">
        <v>0.2654</v>
      </c>
      <c r="F41" t="s" s="50">
        <v>48</v>
      </c>
      <c r="G41" s="52" cm="1">
        <f t="array" ref="G41">COUNTIF('الفحوصات_والاختبارات'!$C$5:$C$704,A41)</f>
        <v>3</v>
      </c>
      <c r="H41" s="52" cm="1">
        <f t="array" ref="H41">_xlfn.COUNTIFS('الفحوصات_والاختبارات'!$C$5:$C$704,A41,'الفحوصات_والاختبارات'!$G$5:$G$704,"مقبول من أول مرة")</f>
        <v>2</v>
      </c>
      <c r="I41" s="51" cm="1">
        <f t="array" ref="I41">_xlfn.IFERROR(H41/G41,0)</f>
        <v>0.666666666666667</v>
      </c>
      <c r="J41" s="52">
        <v>1</v>
      </c>
      <c r="K41" s="52">
        <v>1</v>
      </c>
      <c r="L41" s="53">
        <v>10286</v>
      </c>
      <c r="M41" t="str" s="54" cm="1">
        <f t="array" ref="M41">IF(AND(I41&gt;=0.9,J41&lt;=2),"مستقرة",IF(AND(I41&gt;=0.82,J41&lt;=5),"تحت المراقبة","حرجة"))</f>
        <v>حرجة</v>
      </c>
      <c r="N41" s="55">
        <v>46172</v>
      </c>
      <c r="O41" s="55">
        <v>46264</v>
      </c>
      <c r="P41" s="56" cm="1">
        <f t="array" ref="P41">O41-N41</f>
        <v>92</v>
      </c>
      <c r="Q41" t="str" s="57" cm="1">
        <f t="array" ref="Q41">IF(D41="مكتملة","مرشحة للتسليم",IF(D41="تشطيبات","قيد التجهيز","تحت التنفيذ"))</f>
        <v>تحت التنفيذ</v>
      </c>
      <c r="R41" s="48"/>
      <c r="S41" s="7"/>
      <c r="T41" s="7"/>
      <c r="U41" s="7"/>
      <c r="V41" s="7"/>
      <c r="W41" s="7"/>
      <c r="X41" s="7"/>
      <c r="Y41" s="7"/>
      <c r="Z41" s="7"/>
    </row>
    <row r="42" ht="15" customHeight="1">
      <c r="A42" s="58">
        <v>38</v>
      </c>
      <c r="B42" t="s" s="59">
        <v>274</v>
      </c>
      <c r="C42" t="s" s="59">
        <v>271</v>
      </c>
      <c r="D42" t="s" s="59">
        <v>23</v>
      </c>
      <c r="E42" s="60">
        <v>0.2434</v>
      </c>
      <c r="F42" t="s" s="59">
        <v>48</v>
      </c>
      <c r="G42" s="61" cm="1">
        <f t="array" ref="G42">COUNTIF('الفحوصات_والاختبارات'!$C$5:$C$704,A42)</f>
        <v>3</v>
      </c>
      <c r="H42" s="61" cm="1">
        <f t="array" ref="H42">_xlfn.COUNTIFS('الفحوصات_والاختبارات'!$C$5:$C$704,A42,'الفحوصات_والاختبارات'!$G$5:$G$704,"مقبول من أول مرة")</f>
        <v>3</v>
      </c>
      <c r="I42" s="60" cm="1">
        <f t="array" ref="I42">_xlfn.IFERROR(H42/G42,0)</f>
        <v>1</v>
      </c>
      <c r="J42" s="61">
        <v>0</v>
      </c>
      <c r="K42" s="61">
        <v>2</v>
      </c>
      <c r="L42" s="62">
        <v>3572</v>
      </c>
      <c r="M42" t="str" s="63" cm="1">
        <f t="array" ref="M42">IF(AND(I42&gt;=0.9,J42&lt;=2),"مستقرة",IF(AND(I42&gt;=0.82,J42&lt;=5),"تحت المراقبة","حرجة"))</f>
        <v>مستقرة</v>
      </c>
      <c r="N42" s="64">
        <v>46175</v>
      </c>
      <c r="O42" s="64">
        <v>46265</v>
      </c>
      <c r="P42" s="61" cm="1">
        <f t="array" ref="P42">O42-N42</f>
        <v>90</v>
      </c>
      <c r="Q42" t="str" s="65" cm="1">
        <f t="array" ref="Q42">IF(D42="مكتملة","مرشحة للتسليم",IF(D42="تشطيبات","قيد التجهيز","تحت التنفيذ"))</f>
        <v>تحت التنفيذ</v>
      </c>
      <c r="R42" s="48"/>
      <c r="S42" s="7"/>
      <c r="T42" s="7"/>
      <c r="U42" s="7"/>
      <c r="V42" s="7"/>
      <c r="W42" s="7"/>
      <c r="X42" s="7"/>
      <c r="Y42" s="7"/>
      <c r="Z42" s="7"/>
    </row>
    <row r="43" ht="15" customHeight="1">
      <c r="A43" s="49">
        <v>39</v>
      </c>
      <c r="B43" t="s" s="50">
        <v>274</v>
      </c>
      <c r="C43" t="s" s="50">
        <v>272</v>
      </c>
      <c r="D43" t="s" s="50">
        <v>28</v>
      </c>
      <c r="E43" s="51">
        <v>0.3857</v>
      </c>
      <c r="F43" t="s" s="50">
        <v>48</v>
      </c>
      <c r="G43" s="52" cm="1">
        <f t="array" ref="G43">COUNTIF('الفحوصات_والاختبارات'!$C$5:$C$704,A43)</f>
        <v>5</v>
      </c>
      <c r="H43" s="52" cm="1">
        <f t="array" ref="H43">_xlfn.COUNTIFS('الفحوصات_والاختبارات'!$C$5:$C$704,A43,'الفحوصات_والاختبارات'!$G$5:$G$704,"مقبول من أول مرة")</f>
        <v>4</v>
      </c>
      <c r="I43" s="51" cm="1">
        <f t="array" ref="I43">_xlfn.IFERROR(H43/G43,0)</f>
        <v>0.8</v>
      </c>
      <c r="J43" s="52">
        <v>0</v>
      </c>
      <c r="K43" s="52">
        <v>2</v>
      </c>
      <c r="L43" s="53">
        <v>3946</v>
      </c>
      <c r="M43" t="str" s="54" cm="1">
        <f t="array" ref="M43">IF(AND(I43&gt;=0.9,J43&lt;=2),"مستقرة",IF(AND(I43&gt;=0.82,J43&lt;=5),"تحت المراقبة","حرجة"))</f>
        <v>حرجة</v>
      </c>
      <c r="N43" s="55">
        <v>46190</v>
      </c>
      <c r="O43" s="55">
        <v>46229</v>
      </c>
      <c r="P43" s="56" cm="1">
        <f t="array" ref="P43">O43-N43</f>
        <v>39</v>
      </c>
      <c r="Q43" t="str" s="57" cm="1">
        <f t="array" ref="Q43">IF(D43="مكتملة","مرشحة للتسليم",IF(D43="تشطيبات","قيد التجهيز","تحت التنفيذ"))</f>
        <v>تحت التنفيذ</v>
      </c>
      <c r="R43" s="48"/>
      <c r="S43" s="7"/>
      <c r="T43" s="7"/>
      <c r="U43" s="7"/>
      <c r="V43" s="7"/>
      <c r="W43" s="7"/>
      <c r="X43" s="7"/>
      <c r="Y43" s="7"/>
      <c r="Z43" s="7"/>
    </row>
    <row r="44" ht="15" customHeight="1">
      <c r="A44" s="58">
        <v>40</v>
      </c>
      <c r="B44" t="s" s="59">
        <v>274</v>
      </c>
      <c r="C44" t="s" s="59">
        <v>268</v>
      </c>
      <c r="D44" t="s" s="59">
        <v>28</v>
      </c>
      <c r="E44" s="60">
        <v>0.3992</v>
      </c>
      <c r="F44" t="s" s="59">
        <v>48</v>
      </c>
      <c r="G44" s="61" cm="1">
        <f t="array" ref="G44">COUNTIF('الفحوصات_والاختبارات'!$C$5:$C$704,A44)</f>
        <v>5</v>
      </c>
      <c r="H44" s="61" cm="1">
        <f t="array" ref="H44">_xlfn.COUNTIFS('الفحوصات_والاختبارات'!$C$5:$C$704,A44,'الفحوصات_والاختبارات'!$G$5:$G$704,"مقبول من أول مرة")</f>
        <v>5</v>
      </c>
      <c r="I44" s="60" cm="1">
        <f t="array" ref="I44">_xlfn.IFERROR(H44/G44,0)</f>
        <v>1</v>
      </c>
      <c r="J44" s="61">
        <v>1</v>
      </c>
      <c r="K44" s="61">
        <v>2</v>
      </c>
      <c r="L44" s="62">
        <v>4137</v>
      </c>
      <c r="M44" t="str" s="63" cm="1">
        <f t="array" ref="M44">IF(AND(I44&gt;=0.9,J44&lt;=2),"مستقرة",IF(AND(I44&gt;=0.82,J44&lt;=5),"تحت المراقبة","حرجة"))</f>
        <v>مستقرة</v>
      </c>
      <c r="N44" s="64">
        <v>46193</v>
      </c>
      <c r="O44" s="64">
        <v>46246</v>
      </c>
      <c r="P44" s="61" cm="1">
        <f t="array" ref="P44">O44-N44</f>
        <v>53</v>
      </c>
      <c r="Q44" t="str" s="65" cm="1">
        <f t="array" ref="Q44">IF(D44="مكتملة","مرشحة للتسليم",IF(D44="تشطيبات","قيد التجهيز","تحت التنفيذ"))</f>
        <v>تحت التنفيذ</v>
      </c>
      <c r="R44" s="48"/>
      <c r="S44" s="7"/>
      <c r="T44" s="7"/>
      <c r="U44" s="7"/>
      <c r="V44" s="7"/>
      <c r="W44" s="7"/>
      <c r="X44" s="7"/>
      <c r="Y44" s="7"/>
      <c r="Z44" s="7"/>
    </row>
    <row r="45" ht="15" customHeight="1">
      <c r="A45" s="49">
        <v>41</v>
      </c>
      <c r="B45" t="s" s="50">
        <v>274</v>
      </c>
      <c r="C45" t="s" s="50">
        <v>271</v>
      </c>
      <c r="D45" t="s" s="50">
        <v>28</v>
      </c>
      <c r="E45" s="51">
        <v>0.3872</v>
      </c>
      <c r="F45" t="s" s="50">
        <v>48</v>
      </c>
      <c r="G45" s="52" cm="1">
        <f t="array" ref="G45">COUNTIF('الفحوصات_والاختبارات'!$C$5:$C$704,A45)</f>
        <v>5</v>
      </c>
      <c r="H45" s="52" cm="1">
        <f t="array" ref="H45">_xlfn.COUNTIFS('الفحوصات_والاختبارات'!$C$5:$C$704,A45,'الفحوصات_والاختبارات'!$G$5:$G$704,"مقبول من أول مرة")</f>
        <v>5</v>
      </c>
      <c r="I45" s="51" cm="1">
        <f t="array" ref="I45">_xlfn.IFERROR(H45/G45,0)</f>
        <v>1</v>
      </c>
      <c r="J45" s="52">
        <v>3</v>
      </c>
      <c r="K45" s="52">
        <v>1</v>
      </c>
      <c r="L45" s="53">
        <v>14551</v>
      </c>
      <c r="M45" t="str" s="54" cm="1">
        <f t="array" ref="M45">IF(AND(I45&gt;=0.9,J45&lt;=2),"مستقرة",IF(AND(I45&gt;=0.82,J45&lt;=5),"تحت المراقبة","حرجة"))</f>
        <v>تحت المراقبة</v>
      </c>
      <c r="N45" s="55">
        <v>46196</v>
      </c>
      <c r="O45" s="55">
        <v>46238</v>
      </c>
      <c r="P45" s="56" cm="1">
        <f t="array" ref="P45">O45-N45</f>
        <v>42</v>
      </c>
      <c r="Q45" t="str" s="57" cm="1">
        <f t="array" ref="Q45">IF(D45="مكتملة","مرشحة للتسليم",IF(D45="تشطيبات","قيد التجهيز","تحت التنفيذ"))</f>
        <v>تحت التنفيذ</v>
      </c>
      <c r="R45" s="48"/>
      <c r="S45" s="7"/>
      <c r="T45" s="7"/>
      <c r="U45" s="7"/>
      <c r="V45" s="7"/>
      <c r="W45" s="7"/>
      <c r="X45" s="7"/>
      <c r="Y45" s="7"/>
      <c r="Z45" s="7"/>
    </row>
    <row r="46" ht="15" customHeight="1">
      <c r="A46" s="58">
        <v>42</v>
      </c>
      <c r="B46" t="s" s="59">
        <v>274</v>
      </c>
      <c r="C46" t="s" s="59">
        <v>272</v>
      </c>
      <c r="D46" t="s" s="59">
        <v>28</v>
      </c>
      <c r="E46" s="60">
        <v>0.4292</v>
      </c>
      <c r="F46" t="s" s="59">
        <v>48</v>
      </c>
      <c r="G46" s="61" cm="1">
        <f t="array" ref="G46">COUNTIF('الفحوصات_والاختبارات'!$C$5:$C$704,A46)</f>
        <v>5</v>
      </c>
      <c r="H46" s="61" cm="1">
        <f t="array" ref="H46">_xlfn.COUNTIFS('الفحوصات_والاختبارات'!$C$5:$C$704,A46,'الفحوصات_والاختبارات'!$G$5:$G$704,"مقبول من أول مرة")</f>
        <v>5</v>
      </c>
      <c r="I46" s="60" cm="1">
        <f t="array" ref="I46">_xlfn.IFERROR(H46/G46,0)</f>
        <v>1</v>
      </c>
      <c r="J46" s="61">
        <v>2</v>
      </c>
      <c r="K46" s="61">
        <v>2</v>
      </c>
      <c r="L46" s="62">
        <v>20235</v>
      </c>
      <c r="M46" t="str" s="63" cm="1">
        <f t="array" ref="M46">IF(AND(I46&gt;=0.9,J46&lt;=2),"مستقرة",IF(AND(I46&gt;=0.82,J46&lt;=5),"تحت المراقبة","حرجة"))</f>
        <v>مستقرة</v>
      </c>
      <c r="N46" s="64">
        <v>46199</v>
      </c>
      <c r="O46" s="64">
        <v>46274</v>
      </c>
      <c r="P46" s="61" cm="1">
        <f t="array" ref="P46">O46-N46</f>
        <v>75</v>
      </c>
      <c r="Q46" t="str" s="65" cm="1">
        <f t="array" ref="Q46">IF(D46="مكتملة","مرشحة للتسليم",IF(D46="تشطيبات","قيد التجهيز","تحت التنفيذ"))</f>
        <v>تحت التنفيذ</v>
      </c>
      <c r="R46" s="48"/>
      <c r="S46" s="7"/>
      <c r="T46" s="7"/>
      <c r="U46" s="7"/>
      <c r="V46" s="7"/>
      <c r="W46" s="7"/>
      <c r="X46" s="7"/>
      <c r="Y46" s="7"/>
      <c r="Z46" s="7"/>
    </row>
    <row r="47" ht="15" customHeight="1">
      <c r="A47" s="49">
        <v>43</v>
      </c>
      <c r="B47" t="s" s="50">
        <v>274</v>
      </c>
      <c r="C47" t="s" s="50">
        <v>268</v>
      </c>
      <c r="D47" t="s" s="50">
        <v>28</v>
      </c>
      <c r="E47" s="51">
        <v>0.4364</v>
      </c>
      <c r="F47" t="s" s="50">
        <v>48</v>
      </c>
      <c r="G47" s="52" cm="1">
        <f t="array" ref="G47">COUNTIF('الفحوصات_والاختبارات'!$C$5:$C$704,A47)</f>
        <v>5</v>
      </c>
      <c r="H47" s="52" cm="1">
        <f t="array" ref="H47">_xlfn.COUNTIFS('الفحوصات_والاختبارات'!$C$5:$C$704,A47,'الفحوصات_والاختبارات'!$G$5:$G$704,"مقبول من أول مرة")</f>
        <v>5</v>
      </c>
      <c r="I47" s="51" cm="1">
        <f t="array" ref="I47">_xlfn.IFERROR(H47/G47,0)</f>
        <v>1</v>
      </c>
      <c r="J47" s="52">
        <v>0</v>
      </c>
      <c r="K47" s="52">
        <v>2</v>
      </c>
      <c r="L47" s="53">
        <v>5547</v>
      </c>
      <c r="M47" t="str" s="54" cm="1">
        <f t="array" ref="M47">IF(AND(I47&gt;=0.9,J47&lt;=2),"مستقرة",IF(AND(I47&gt;=0.82,J47&lt;=5),"تحت المراقبة","حرجة"))</f>
        <v>مستقرة</v>
      </c>
      <c r="N47" s="55">
        <v>46202</v>
      </c>
      <c r="O47" s="55">
        <v>46252</v>
      </c>
      <c r="P47" s="56" cm="1">
        <f t="array" ref="P47">O47-N47</f>
        <v>50</v>
      </c>
      <c r="Q47" t="str" s="57" cm="1">
        <f t="array" ref="Q47">IF(D47="مكتملة","مرشحة للتسليم",IF(D47="تشطيبات","قيد التجهيز","تحت التنفيذ"))</f>
        <v>تحت التنفيذ</v>
      </c>
      <c r="R47" s="48"/>
      <c r="S47" s="7"/>
      <c r="T47" s="7"/>
      <c r="U47" s="7"/>
      <c r="V47" s="7"/>
      <c r="W47" s="7"/>
      <c r="X47" s="7"/>
      <c r="Y47" s="7"/>
      <c r="Z47" s="7"/>
    </row>
    <row r="48" ht="15" customHeight="1">
      <c r="A48" s="58">
        <v>44</v>
      </c>
      <c r="B48" t="s" s="59">
        <v>274</v>
      </c>
      <c r="C48" t="s" s="59">
        <v>271</v>
      </c>
      <c r="D48" t="s" s="59">
        <v>28</v>
      </c>
      <c r="E48" s="60">
        <v>0.4707</v>
      </c>
      <c r="F48" t="s" s="59">
        <v>48</v>
      </c>
      <c r="G48" s="61" cm="1">
        <f t="array" ref="G48">COUNTIF('الفحوصات_والاختبارات'!$C$5:$C$704,A48)</f>
        <v>5</v>
      </c>
      <c r="H48" s="61" cm="1">
        <f t="array" ref="H48">_xlfn.COUNTIFS('الفحوصات_والاختبارات'!$C$5:$C$704,A48,'الفحوصات_والاختبارات'!$G$5:$G$704,"مقبول من أول مرة")</f>
        <v>5</v>
      </c>
      <c r="I48" s="60" cm="1">
        <f t="array" ref="I48">_xlfn.IFERROR(H48/G48,0)</f>
        <v>1</v>
      </c>
      <c r="J48" s="61">
        <v>1</v>
      </c>
      <c r="K48" s="61">
        <v>3</v>
      </c>
      <c r="L48" s="62">
        <v>7129</v>
      </c>
      <c r="M48" t="str" s="63" cm="1">
        <f t="array" ref="M48">IF(AND(I48&gt;=0.9,J48&lt;=2),"مستقرة",IF(AND(I48&gt;=0.82,J48&lt;=5),"تحت المراقبة","حرجة"))</f>
        <v>مستقرة</v>
      </c>
      <c r="N48" s="64">
        <v>46205</v>
      </c>
      <c r="O48" s="64">
        <v>46279</v>
      </c>
      <c r="P48" s="61" cm="1">
        <f t="array" ref="P48">O48-N48</f>
        <v>74</v>
      </c>
      <c r="Q48" t="str" s="65" cm="1">
        <f t="array" ref="Q48">IF(D48="مكتملة","مرشحة للتسليم",IF(D48="تشطيبات","قيد التجهيز","تحت التنفيذ"))</f>
        <v>تحت التنفيذ</v>
      </c>
      <c r="R48" s="48"/>
      <c r="S48" s="7"/>
      <c r="T48" s="7"/>
      <c r="U48" s="7"/>
      <c r="V48" s="7"/>
      <c r="W48" s="7"/>
      <c r="X48" s="7"/>
      <c r="Y48" s="7"/>
      <c r="Z48" s="7"/>
    </row>
    <row r="49" ht="15" customHeight="1">
      <c r="A49" s="49">
        <v>45</v>
      </c>
      <c r="B49" t="s" s="50">
        <v>274</v>
      </c>
      <c r="C49" t="s" s="50">
        <v>272</v>
      </c>
      <c r="D49" t="s" s="50">
        <v>28</v>
      </c>
      <c r="E49" s="51">
        <v>0.4236</v>
      </c>
      <c r="F49" t="s" s="50">
        <v>48</v>
      </c>
      <c r="G49" s="52" cm="1">
        <f t="array" ref="G49">COUNTIF('الفحوصات_والاختبارات'!$C$5:$C$704,A49)</f>
        <v>5</v>
      </c>
      <c r="H49" s="52" cm="1">
        <f t="array" ref="H49">_xlfn.COUNTIFS('الفحوصات_والاختبارات'!$C$5:$C$704,A49,'الفحوصات_والاختبارات'!$G$5:$G$704,"مقبول من أول مرة")</f>
        <v>4</v>
      </c>
      <c r="I49" s="51" cm="1">
        <f t="array" ref="I49">_xlfn.IFERROR(H49/G49,0)</f>
        <v>0.8</v>
      </c>
      <c r="J49" s="52">
        <v>0</v>
      </c>
      <c r="K49" s="52">
        <v>2</v>
      </c>
      <c r="L49" s="53">
        <v>3282</v>
      </c>
      <c r="M49" t="str" s="54" cm="1">
        <f t="array" ref="M49">IF(AND(I49&gt;=0.9,J49&lt;=2),"مستقرة",IF(AND(I49&gt;=0.82,J49&lt;=5),"تحت المراقبة","حرجة"))</f>
        <v>حرجة</v>
      </c>
      <c r="N49" s="55">
        <v>46208</v>
      </c>
      <c r="O49" s="55">
        <v>46254</v>
      </c>
      <c r="P49" s="56" cm="1">
        <f t="array" ref="P49">O49-N49</f>
        <v>46</v>
      </c>
      <c r="Q49" t="str" s="57" cm="1">
        <f t="array" ref="Q49">IF(D49="مكتملة","مرشحة للتسليم",IF(D49="تشطيبات","قيد التجهيز","تحت التنفيذ"))</f>
        <v>تحت التنفيذ</v>
      </c>
      <c r="R49" s="48"/>
      <c r="S49" s="7"/>
      <c r="T49" s="7"/>
      <c r="U49" s="7"/>
      <c r="V49" s="7"/>
      <c r="W49" s="7"/>
      <c r="X49" s="7"/>
      <c r="Y49" s="7"/>
      <c r="Z49" s="7"/>
    </row>
    <row r="50" ht="15" customHeight="1">
      <c r="A50" s="58">
        <v>46</v>
      </c>
      <c r="B50" t="s" s="59">
        <v>274</v>
      </c>
      <c r="C50" t="s" s="59">
        <v>268</v>
      </c>
      <c r="D50" t="s" s="59">
        <v>28</v>
      </c>
      <c r="E50" s="60">
        <v>0.3721</v>
      </c>
      <c r="F50" t="s" s="59">
        <v>48</v>
      </c>
      <c r="G50" s="61" cm="1">
        <f t="array" ref="G50">COUNTIF('الفحوصات_والاختبارات'!$C$5:$C$704,A50)</f>
        <v>5</v>
      </c>
      <c r="H50" s="61" cm="1">
        <f t="array" ref="H50">_xlfn.COUNTIFS('الفحوصات_والاختبارات'!$C$5:$C$704,A50,'الفحوصات_والاختبارات'!$G$5:$G$704,"مقبول من أول مرة")</f>
        <v>5</v>
      </c>
      <c r="I50" s="60" cm="1">
        <f t="array" ref="I50">_xlfn.IFERROR(H50/G50,0)</f>
        <v>1</v>
      </c>
      <c r="J50" s="61">
        <v>3</v>
      </c>
      <c r="K50" s="61">
        <v>0</v>
      </c>
      <c r="L50" s="62">
        <v>23925</v>
      </c>
      <c r="M50" t="str" s="63" cm="1">
        <f t="array" ref="M50">IF(AND(I50&gt;=0.9,J50&lt;=2),"مستقرة",IF(AND(I50&gt;=0.82,J50&lt;=5),"تحت المراقبة","حرجة"))</f>
        <v>تحت المراقبة</v>
      </c>
      <c r="N50" s="64">
        <v>46211</v>
      </c>
      <c r="O50" s="64">
        <v>46268</v>
      </c>
      <c r="P50" s="61" cm="1">
        <f t="array" ref="P50">O50-N50</f>
        <v>57</v>
      </c>
      <c r="Q50" t="str" s="65" cm="1">
        <f t="array" ref="Q50">IF(D50="مكتملة","مرشحة للتسليم",IF(D50="تشطيبات","قيد التجهيز","تحت التنفيذ"))</f>
        <v>تحت التنفيذ</v>
      </c>
      <c r="R50" s="48"/>
      <c r="S50" s="7"/>
      <c r="T50" s="7"/>
      <c r="U50" s="7"/>
      <c r="V50" s="7"/>
      <c r="W50" s="7"/>
      <c r="X50" s="7"/>
      <c r="Y50" s="7"/>
      <c r="Z50" s="7"/>
    </row>
    <row r="51" ht="15" customHeight="1">
      <c r="A51" s="49">
        <v>47</v>
      </c>
      <c r="B51" t="s" s="50">
        <v>274</v>
      </c>
      <c r="C51" t="s" s="50">
        <v>271</v>
      </c>
      <c r="D51" t="s" s="50">
        <v>28</v>
      </c>
      <c r="E51" s="51">
        <v>0.3659</v>
      </c>
      <c r="F51" t="s" s="50">
        <v>48</v>
      </c>
      <c r="G51" s="52" cm="1">
        <f t="array" ref="G51">COUNTIF('الفحوصات_والاختبارات'!$C$5:$C$704,A51)</f>
        <v>5</v>
      </c>
      <c r="H51" s="52" cm="1">
        <f t="array" ref="H51">_xlfn.COUNTIFS('الفحوصات_والاختبارات'!$C$5:$C$704,A51,'الفحوصات_والاختبارات'!$G$5:$G$704,"مقبول من أول مرة")</f>
        <v>2</v>
      </c>
      <c r="I51" s="51" cm="1">
        <f t="array" ref="I51">_xlfn.IFERROR(H51/G51,0)</f>
        <v>0.4</v>
      </c>
      <c r="J51" s="52">
        <v>1</v>
      </c>
      <c r="K51" s="52">
        <v>3</v>
      </c>
      <c r="L51" s="53">
        <v>12529</v>
      </c>
      <c r="M51" t="str" s="54" cm="1">
        <f t="array" ref="M51">IF(AND(I51&gt;=0.9,J51&lt;=2),"مستقرة",IF(AND(I51&gt;=0.82,J51&lt;=5),"تحت المراقبة","حرجة"))</f>
        <v>حرجة</v>
      </c>
      <c r="N51" s="55">
        <v>46214</v>
      </c>
      <c r="O51" s="55">
        <v>46269</v>
      </c>
      <c r="P51" s="56" cm="1">
        <f t="array" ref="P51">O51-N51</f>
        <v>55</v>
      </c>
      <c r="Q51" t="str" s="57" cm="1">
        <f t="array" ref="Q51">IF(D51="مكتملة","مرشحة للتسليم",IF(D51="تشطيبات","قيد التجهيز","تحت التنفيذ"))</f>
        <v>تحت التنفيذ</v>
      </c>
      <c r="R51" s="48"/>
      <c r="S51" s="7"/>
      <c r="T51" s="7"/>
      <c r="U51" s="7"/>
      <c r="V51" s="7"/>
      <c r="W51" s="7"/>
      <c r="X51" s="7"/>
      <c r="Y51" s="7"/>
      <c r="Z51" s="7"/>
    </row>
    <row r="52" ht="15" customHeight="1">
      <c r="A52" s="58">
        <v>48</v>
      </c>
      <c r="B52" t="s" s="59">
        <v>274</v>
      </c>
      <c r="C52" t="s" s="59">
        <v>272</v>
      </c>
      <c r="D52" t="s" s="59">
        <v>28</v>
      </c>
      <c r="E52" s="60">
        <v>0.4842</v>
      </c>
      <c r="F52" t="s" s="59">
        <v>48</v>
      </c>
      <c r="G52" s="61" cm="1">
        <f t="array" ref="G52">COUNTIF('الفحوصات_والاختبارات'!$C$5:$C$704,A52)</f>
        <v>5</v>
      </c>
      <c r="H52" s="61" cm="1">
        <f t="array" ref="H52">_xlfn.COUNTIFS('الفحوصات_والاختبارات'!$C$5:$C$704,A52,'الفحوصات_والاختبارات'!$G$5:$G$704,"مقبول من أول مرة")</f>
        <v>5</v>
      </c>
      <c r="I52" s="60" cm="1">
        <f t="array" ref="I52">_xlfn.IFERROR(H52/G52,0)</f>
        <v>1</v>
      </c>
      <c r="J52" s="61">
        <v>1</v>
      </c>
      <c r="K52" s="61">
        <v>2</v>
      </c>
      <c r="L52" s="62">
        <v>9001</v>
      </c>
      <c r="M52" t="str" s="63" cm="1">
        <f t="array" ref="M52">IF(AND(I52&gt;=0.9,J52&lt;=2),"مستقرة",IF(AND(I52&gt;=0.82,J52&lt;=5),"تحت المراقبة","حرجة"))</f>
        <v>مستقرة</v>
      </c>
      <c r="N52" s="64">
        <v>46217</v>
      </c>
      <c r="O52" s="64">
        <v>46256</v>
      </c>
      <c r="P52" s="61" cm="1">
        <f t="array" ref="P52">O52-N52</f>
        <v>39</v>
      </c>
      <c r="Q52" t="str" s="65" cm="1">
        <f t="array" ref="Q52">IF(D52="مكتملة","مرشحة للتسليم",IF(D52="تشطيبات","قيد التجهيز","تحت التنفيذ"))</f>
        <v>تحت التنفيذ</v>
      </c>
      <c r="R52" s="48"/>
      <c r="S52" s="7"/>
      <c r="T52" s="7"/>
      <c r="U52" s="7"/>
      <c r="V52" s="7"/>
      <c r="W52" s="7"/>
      <c r="X52" s="7"/>
      <c r="Y52" s="7"/>
      <c r="Z52" s="7"/>
    </row>
    <row r="53" ht="15" customHeight="1">
      <c r="A53" s="49">
        <v>49</v>
      </c>
      <c r="B53" t="s" s="50">
        <v>274</v>
      </c>
      <c r="C53" t="s" s="50">
        <v>268</v>
      </c>
      <c r="D53" t="s" s="50">
        <v>28</v>
      </c>
      <c r="E53" s="51">
        <v>0.507</v>
      </c>
      <c r="F53" t="s" s="50">
        <v>48</v>
      </c>
      <c r="G53" s="52" cm="1">
        <f t="array" ref="G53">COUNTIF('الفحوصات_والاختبارات'!$C$5:$C$704,A53)</f>
        <v>5</v>
      </c>
      <c r="H53" s="52" cm="1">
        <f t="array" ref="H53">_xlfn.COUNTIFS('الفحوصات_والاختبارات'!$C$5:$C$704,A53,'الفحوصات_والاختبارات'!$G$5:$G$704,"مقبول من أول مرة")</f>
        <v>3</v>
      </c>
      <c r="I53" s="51" cm="1">
        <f t="array" ref="I53">_xlfn.IFERROR(H53/G53,0)</f>
        <v>0.6</v>
      </c>
      <c r="J53" s="52">
        <v>0</v>
      </c>
      <c r="K53" s="52">
        <v>2</v>
      </c>
      <c r="L53" s="53">
        <v>8602</v>
      </c>
      <c r="M53" t="str" s="54" cm="1">
        <f t="array" ref="M53">IF(AND(I53&gt;=0.9,J53&lt;=2),"مستقرة",IF(AND(I53&gt;=0.82,J53&lt;=5),"تحت المراقبة","حرجة"))</f>
        <v>حرجة</v>
      </c>
      <c r="N53" s="55">
        <v>46220</v>
      </c>
      <c r="O53" s="55">
        <v>46276</v>
      </c>
      <c r="P53" s="56" cm="1">
        <f t="array" ref="P53">O53-N53</f>
        <v>56</v>
      </c>
      <c r="Q53" t="str" s="57" cm="1">
        <f t="array" ref="Q53">IF(D53="مكتملة","مرشحة للتسليم",IF(D53="تشطيبات","قيد التجهيز","تحت التنفيذ"))</f>
        <v>تحت التنفيذ</v>
      </c>
      <c r="R53" s="48"/>
      <c r="S53" s="7"/>
      <c r="T53" s="7"/>
      <c r="U53" s="7"/>
      <c r="V53" s="7"/>
      <c r="W53" s="7"/>
      <c r="X53" s="7"/>
      <c r="Y53" s="7"/>
      <c r="Z53" s="7"/>
    </row>
    <row r="54" ht="15" customHeight="1">
      <c r="A54" s="58">
        <v>50</v>
      </c>
      <c r="B54" t="s" s="59">
        <v>274</v>
      </c>
      <c r="C54" t="s" s="59">
        <v>271</v>
      </c>
      <c r="D54" t="s" s="59">
        <v>28</v>
      </c>
      <c r="E54" s="60">
        <v>0.4328</v>
      </c>
      <c r="F54" t="s" s="59">
        <v>48</v>
      </c>
      <c r="G54" s="61" cm="1">
        <f t="array" ref="G54">COUNTIF('الفحوصات_والاختبارات'!$C$5:$C$704,A54)</f>
        <v>5</v>
      </c>
      <c r="H54" s="61" cm="1">
        <f t="array" ref="H54">_xlfn.COUNTIFS('الفحوصات_والاختبارات'!$C$5:$C$704,A54,'الفحوصات_والاختبارات'!$G$5:$G$704,"مقبول من أول مرة")</f>
        <v>5</v>
      </c>
      <c r="I54" s="60" cm="1">
        <f t="array" ref="I54">_xlfn.IFERROR(H54/G54,0)</f>
        <v>1</v>
      </c>
      <c r="J54" s="61">
        <v>3</v>
      </c>
      <c r="K54" s="61">
        <v>0</v>
      </c>
      <c r="L54" s="62">
        <v>14003</v>
      </c>
      <c r="M54" t="str" s="63" cm="1">
        <f t="array" ref="M54">IF(AND(I54&gt;=0.9,J54&lt;=2),"مستقرة",IF(AND(I54&gt;=0.82,J54&lt;=5),"تحت المراقبة","حرجة"))</f>
        <v>تحت المراقبة</v>
      </c>
      <c r="N54" s="64">
        <v>46223</v>
      </c>
      <c r="O54" s="64">
        <v>46293</v>
      </c>
      <c r="P54" s="61" cm="1">
        <f t="array" ref="P54">O54-N54</f>
        <v>70</v>
      </c>
      <c r="Q54" t="str" s="65" cm="1">
        <f t="array" ref="Q54">IF(D54="مكتملة","مرشحة للتسليم",IF(D54="تشطيبات","قيد التجهيز","تحت التنفيذ"))</f>
        <v>تحت التنفيذ</v>
      </c>
      <c r="R54" s="48"/>
      <c r="S54" s="7"/>
      <c r="T54" s="7"/>
      <c r="U54" s="7"/>
      <c r="V54" s="7"/>
      <c r="W54" s="7"/>
      <c r="X54" s="7"/>
      <c r="Y54" s="7"/>
      <c r="Z54" s="7"/>
    </row>
    <row r="55" ht="15" customHeight="1">
      <c r="A55" s="49">
        <v>51</v>
      </c>
      <c r="B55" t="s" s="50">
        <v>274</v>
      </c>
      <c r="C55" t="s" s="50">
        <v>272</v>
      </c>
      <c r="D55" t="s" s="50">
        <v>28</v>
      </c>
      <c r="E55" s="51">
        <v>0.4973</v>
      </c>
      <c r="F55" t="s" s="50">
        <v>48</v>
      </c>
      <c r="G55" s="52" cm="1">
        <f t="array" ref="G55">COUNTIF('الفحوصات_والاختبارات'!$C$5:$C$704,A55)</f>
        <v>5</v>
      </c>
      <c r="H55" s="52" cm="1">
        <f t="array" ref="H55">_xlfn.COUNTIFS('الفحوصات_والاختبارات'!$C$5:$C$704,A55,'الفحوصات_والاختبارات'!$G$5:$G$704,"مقبول من أول مرة")</f>
        <v>5</v>
      </c>
      <c r="I55" s="51" cm="1">
        <f t="array" ref="I55">_xlfn.IFERROR(H55/G55,0)</f>
        <v>1</v>
      </c>
      <c r="J55" s="52">
        <v>0</v>
      </c>
      <c r="K55" s="52">
        <v>4</v>
      </c>
      <c r="L55" s="53">
        <v>12846</v>
      </c>
      <c r="M55" t="str" s="54" cm="1">
        <f t="array" ref="M55">IF(AND(I55&gt;=0.9,J55&lt;=2),"مستقرة",IF(AND(I55&gt;=0.82,J55&lt;=5),"تحت المراقبة","حرجة"))</f>
        <v>مستقرة</v>
      </c>
      <c r="N55" s="55">
        <v>46226</v>
      </c>
      <c r="O55" s="55">
        <v>46279</v>
      </c>
      <c r="P55" s="56" cm="1">
        <f t="array" ref="P55">O55-N55</f>
        <v>53</v>
      </c>
      <c r="Q55" t="str" s="57" cm="1">
        <f t="array" ref="Q55">IF(D55="مكتملة","مرشحة للتسليم",IF(D55="تشطيبات","قيد التجهيز","تحت التنفيذ"))</f>
        <v>تحت التنفيذ</v>
      </c>
      <c r="R55" s="48"/>
      <c r="S55" s="7"/>
      <c r="T55" s="7"/>
      <c r="U55" s="7"/>
      <c r="V55" s="7"/>
      <c r="W55" s="7"/>
      <c r="X55" s="7"/>
      <c r="Y55" s="7"/>
      <c r="Z55" s="7"/>
    </row>
    <row r="56" ht="15" customHeight="1">
      <c r="A56" s="58">
        <v>52</v>
      </c>
      <c r="B56" t="s" s="59">
        <v>274</v>
      </c>
      <c r="C56" t="s" s="59">
        <v>268</v>
      </c>
      <c r="D56" t="s" s="59">
        <v>28</v>
      </c>
      <c r="E56" s="60">
        <v>0.3885</v>
      </c>
      <c r="F56" t="s" s="59">
        <v>48</v>
      </c>
      <c r="G56" s="61" cm="1">
        <f t="array" ref="G56">COUNTIF('الفحوصات_والاختبارات'!$C$5:$C$704,A56)</f>
        <v>5</v>
      </c>
      <c r="H56" s="61" cm="1">
        <f t="array" ref="H56">_xlfn.COUNTIFS('الفحوصات_والاختبارات'!$C$5:$C$704,A56,'الفحوصات_والاختبارات'!$G$5:$G$704,"مقبول من أول مرة")</f>
        <v>5</v>
      </c>
      <c r="I56" s="60" cm="1">
        <f t="array" ref="I56">_xlfn.IFERROR(H56/G56,0)</f>
        <v>1</v>
      </c>
      <c r="J56" s="61">
        <v>1</v>
      </c>
      <c r="K56" s="61">
        <v>3</v>
      </c>
      <c r="L56" s="62">
        <v>11800</v>
      </c>
      <c r="M56" t="str" s="63" cm="1">
        <f t="array" ref="M56">IF(AND(I56&gt;=0.9,J56&lt;=2),"مستقرة",IF(AND(I56&gt;=0.82,J56&lt;=5),"تحت المراقبة","حرجة"))</f>
        <v>مستقرة</v>
      </c>
      <c r="N56" s="64">
        <v>46229</v>
      </c>
      <c r="O56" s="64">
        <v>46265</v>
      </c>
      <c r="P56" s="61" cm="1">
        <f t="array" ref="P56">O56-N56</f>
        <v>36</v>
      </c>
      <c r="Q56" t="str" s="65" cm="1">
        <f t="array" ref="Q56">IF(D56="مكتملة","مرشحة للتسليم",IF(D56="تشطيبات","قيد التجهيز","تحت التنفيذ"))</f>
        <v>تحت التنفيذ</v>
      </c>
      <c r="R56" s="48"/>
      <c r="S56" s="7"/>
      <c r="T56" s="7"/>
      <c r="U56" s="7"/>
      <c r="V56" s="7"/>
      <c r="W56" s="7"/>
      <c r="X56" s="7"/>
      <c r="Y56" s="7"/>
      <c r="Z56" s="7"/>
    </row>
    <row r="57" ht="15" customHeight="1">
      <c r="A57" s="49">
        <v>53</v>
      </c>
      <c r="B57" t="s" s="50">
        <v>274</v>
      </c>
      <c r="C57" t="s" s="50">
        <v>271</v>
      </c>
      <c r="D57" t="s" s="50">
        <v>28</v>
      </c>
      <c r="E57" s="51">
        <v>0.4796</v>
      </c>
      <c r="F57" t="s" s="50">
        <v>48</v>
      </c>
      <c r="G57" s="52" cm="1">
        <f t="array" ref="G57">COUNTIF('الفحوصات_والاختبارات'!$C$5:$C$704,A57)</f>
        <v>5</v>
      </c>
      <c r="H57" s="52" cm="1">
        <f t="array" ref="H57">_xlfn.COUNTIFS('الفحوصات_والاختبارات'!$C$5:$C$704,A57,'الفحوصات_والاختبارات'!$G$5:$G$704,"مقبول من أول مرة")</f>
        <v>3</v>
      </c>
      <c r="I57" s="51" cm="1">
        <f t="array" ref="I57">_xlfn.IFERROR(H57/G57,0)</f>
        <v>0.6</v>
      </c>
      <c r="J57" s="52">
        <v>2</v>
      </c>
      <c r="K57" s="52">
        <v>2</v>
      </c>
      <c r="L57" s="53">
        <v>10775</v>
      </c>
      <c r="M57" t="str" s="54" cm="1">
        <f t="array" ref="M57">IF(AND(I57&gt;=0.9,J57&lt;=2),"مستقرة",IF(AND(I57&gt;=0.82,J57&lt;=5),"تحت المراقبة","حرجة"))</f>
        <v>حرجة</v>
      </c>
      <c r="N57" s="55">
        <v>46232</v>
      </c>
      <c r="O57" s="55">
        <v>46299</v>
      </c>
      <c r="P57" s="56" cm="1">
        <f t="array" ref="P57">O57-N57</f>
        <v>67</v>
      </c>
      <c r="Q57" t="str" s="57" cm="1">
        <f t="array" ref="Q57">IF(D57="مكتملة","مرشحة للتسليم",IF(D57="تشطيبات","قيد التجهيز","تحت التنفيذ"))</f>
        <v>تحت التنفيذ</v>
      </c>
      <c r="R57" s="48"/>
      <c r="S57" s="7"/>
      <c r="T57" s="7"/>
      <c r="U57" s="7"/>
      <c r="V57" s="7"/>
      <c r="W57" s="7"/>
      <c r="X57" s="7"/>
      <c r="Y57" s="7"/>
      <c r="Z57" s="7"/>
    </row>
    <row r="58" ht="15" customHeight="1">
      <c r="A58" s="58">
        <v>54</v>
      </c>
      <c r="B58" t="s" s="59">
        <v>274</v>
      </c>
      <c r="C58" t="s" s="59">
        <v>272</v>
      </c>
      <c r="D58" t="s" s="59">
        <v>28</v>
      </c>
      <c r="E58" s="60">
        <v>0.3589</v>
      </c>
      <c r="F58" t="s" s="59">
        <v>48</v>
      </c>
      <c r="G58" s="61" cm="1">
        <f t="array" ref="G58">COUNTIF('الفحوصات_والاختبارات'!$C$5:$C$704,A58)</f>
        <v>5</v>
      </c>
      <c r="H58" s="61" cm="1">
        <f t="array" ref="H58">_xlfn.COUNTIFS('الفحوصات_والاختبارات'!$C$5:$C$704,A58,'الفحوصات_والاختبارات'!$G$5:$G$704,"مقبول من أول مرة")</f>
        <v>3</v>
      </c>
      <c r="I58" s="60" cm="1">
        <f t="array" ref="I58">_xlfn.IFERROR(H58/G58,0)</f>
        <v>0.6</v>
      </c>
      <c r="J58" s="61">
        <v>0</v>
      </c>
      <c r="K58" s="61">
        <v>4</v>
      </c>
      <c r="L58" s="62">
        <v>24550</v>
      </c>
      <c r="M58" t="str" s="63" cm="1">
        <f t="array" ref="M58">IF(AND(I58&gt;=0.9,J58&lt;=2),"مستقرة",IF(AND(I58&gt;=0.82,J58&lt;=5),"تحت المراقبة","حرجة"))</f>
        <v>حرجة</v>
      </c>
      <c r="N58" s="64">
        <v>46235</v>
      </c>
      <c r="O58" s="64">
        <v>46270</v>
      </c>
      <c r="P58" s="61" cm="1">
        <f t="array" ref="P58">O58-N58</f>
        <v>35</v>
      </c>
      <c r="Q58" t="str" s="65" cm="1">
        <f t="array" ref="Q58">IF(D58="مكتملة","مرشحة للتسليم",IF(D58="تشطيبات","قيد التجهيز","تحت التنفيذ"))</f>
        <v>تحت التنفيذ</v>
      </c>
      <c r="R58" s="48"/>
      <c r="S58" s="7"/>
      <c r="T58" s="7"/>
      <c r="U58" s="7"/>
      <c r="V58" s="7"/>
      <c r="W58" s="7"/>
      <c r="X58" s="7"/>
      <c r="Y58" s="7"/>
      <c r="Z58" s="7"/>
    </row>
    <row r="59" ht="15" customHeight="1">
      <c r="A59" s="49">
        <v>55</v>
      </c>
      <c r="B59" t="s" s="50">
        <v>274</v>
      </c>
      <c r="C59" t="s" s="50">
        <v>268</v>
      </c>
      <c r="D59" t="s" s="50">
        <v>28</v>
      </c>
      <c r="E59" s="51">
        <v>0.4158</v>
      </c>
      <c r="F59" t="s" s="50">
        <v>48</v>
      </c>
      <c r="G59" s="52" cm="1">
        <f t="array" ref="G59">COUNTIF('الفحوصات_والاختبارات'!$C$5:$C$704,A59)</f>
        <v>5</v>
      </c>
      <c r="H59" s="52" cm="1">
        <f t="array" ref="H59">_xlfn.COUNTIFS('الفحوصات_والاختبارات'!$C$5:$C$704,A59,'الفحوصات_والاختبارات'!$G$5:$G$704,"مقبول من أول مرة")</f>
        <v>5</v>
      </c>
      <c r="I59" s="51" cm="1">
        <f t="array" ref="I59">_xlfn.IFERROR(H59/G59,0)</f>
        <v>1</v>
      </c>
      <c r="J59" s="52">
        <v>2</v>
      </c>
      <c r="K59" s="52">
        <v>1</v>
      </c>
      <c r="L59" s="53">
        <v>6186</v>
      </c>
      <c r="M59" t="str" s="54" cm="1">
        <f t="array" ref="M59">IF(AND(I59&gt;=0.9,J59&lt;=2),"مستقرة",IF(AND(I59&gt;=0.82,J59&lt;=5),"تحت المراقبة","حرجة"))</f>
        <v>مستقرة</v>
      </c>
      <c r="N59" s="55">
        <v>46238</v>
      </c>
      <c r="O59" s="55">
        <v>46304</v>
      </c>
      <c r="P59" s="56" cm="1">
        <f t="array" ref="P59">O59-N59</f>
        <v>66</v>
      </c>
      <c r="Q59" t="str" s="57" cm="1">
        <f t="array" ref="Q59">IF(D59="مكتملة","مرشحة للتسليم",IF(D59="تشطيبات","قيد التجهيز","تحت التنفيذ"))</f>
        <v>تحت التنفيذ</v>
      </c>
      <c r="R59" s="48"/>
      <c r="S59" s="7"/>
      <c r="T59" s="7"/>
      <c r="U59" s="7"/>
      <c r="V59" s="7"/>
      <c r="W59" s="7"/>
      <c r="X59" s="7"/>
      <c r="Y59" s="7"/>
      <c r="Z59" s="7"/>
    </row>
    <row r="60" ht="15" customHeight="1">
      <c r="A60" s="58">
        <v>56</v>
      </c>
      <c r="B60" t="s" s="59">
        <v>274</v>
      </c>
      <c r="C60" t="s" s="59">
        <v>271</v>
      </c>
      <c r="D60" t="s" s="59">
        <v>28</v>
      </c>
      <c r="E60" s="60">
        <v>0.3899</v>
      </c>
      <c r="F60" t="s" s="59">
        <v>48</v>
      </c>
      <c r="G60" s="61" cm="1">
        <f t="array" ref="G60">COUNTIF('الفحوصات_والاختبارات'!$C$5:$C$704,A60)</f>
        <v>5</v>
      </c>
      <c r="H60" s="61" cm="1">
        <f t="array" ref="H60">_xlfn.COUNTIFS('الفحوصات_والاختبارات'!$C$5:$C$704,A60,'الفحوصات_والاختبارات'!$G$5:$G$704,"مقبول من أول مرة")</f>
        <v>5</v>
      </c>
      <c r="I60" s="60" cm="1">
        <f t="array" ref="I60">_xlfn.IFERROR(H60/G60,0)</f>
        <v>1</v>
      </c>
      <c r="J60" s="61">
        <v>1</v>
      </c>
      <c r="K60" s="61">
        <v>1</v>
      </c>
      <c r="L60" s="62">
        <v>1641</v>
      </c>
      <c r="M60" t="str" s="63" cm="1">
        <f t="array" ref="M60">IF(AND(I60&gt;=0.9,J60&lt;=2),"مستقرة",IF(AND(I60&gt;=0.82,J60&lt;=5),"تحت المراقبة","حرجة"))</f>
        <v>مستقرة</v>
      </c>
      <c r="N60" s="64">
        <v>46241</v>
      </c>
      <c r="O60" s="64">
        <v>46288</v>
      </c>
      <c r="P60" s="61" cm="1">
        <f t="array" ref="P60">O60-N60</f>
        <v>47</v>
      </c>
      <c r="Q60" t="str" s="65" cm="1">
        <f t="array" ref="Q60">IF(D60="مكتملة","مرشحة للتسليم",IF(D60="تشطيبات","قيد التجهيز","تحت التنفيذ"))</f>
        <v>تحت التنفيذ</v>
      </c>
      <c r="R60" s="48"/>
      <c r="S60" s="7"/>
      <c r="T60" s="7"/>
      <c r="U60" s="7"/>
      <c r="V60" s="7"/>
      <c r="W60" s="7"/>
      <c r="X60" s="7"/>
      <c r="Y60" s="7"/>
      <c r="Z60" s="7"/>
    </row>
    <row r="61" ht="15" customHeight="1">
      <c r="A61" s="49">
        <v>57</v>
      </c>
      <c r="B61" t="s" s="50">
        <v>274</v>
      </c>
      <c r="C61" t="s" s="50">
        <v>272</v>
      </c>
      <c r="D61" t="s" s="50">
        <v>28</v>
      </c>
      <c r="E61" s="51">
        <v>0.3854</v>
      </c>
      <c r="F61" t="s" s="50">
        <v>48</v>
      </c>
      <c r="G61" s="52" cm="1">
        <f t="array" ref="G61">COUNTIF('الفحوصات_والاختبارات'!$C$5:$C$704,A61)</f>
        <v>5</v>
      </c>
      <c r="H61" s="52" cm="1">
        <f t="array" ref="H61">_xlfn.COUNTIFS('الفحوصات_والاختبارات'!$C$5:$C$704,A61,'الفحوصات_والاختبارات'!$G$5:$G$704,"مقبول من أول مرة")</f>
        <v>4</v>
      </c>
      <c r="I61" s="51" cm="1">
        <f t="array" ref="I61">_xlfn.IFERROR(H61/G61,0)</f>
        <v>0.8</v>
      </c>
      <c r="J61" s="52">
        <v>0</v>
      </c>
      <c r="K61" s="52">
        <v>4</v>
      </c>
      <c r="L61" s="53">
        <v>9302</v>
      </c>
      <c r="M61" t="str" s="54" cm="1">
        <f t="array" ref="M61">IF(AND(I61&gt;=0.9,J61&lt;=2),"مستقرة",IF(AND(I61&gt;=0.82,J61&lt;=5),"تحت المراقبة","حرجة"))</f>
        <v>حرجة</v>
      </c>
      <c r="N61" s="55">
        <v>46244</v>
      </c>
      <c r="O61" s="55">
        <v>46284</v>
      </c>
      <c r="P61" s="56" cm="1">
        <f t="array" ref="P61">O61-N61</f>
        <v>40</v>
      </c>
      <c r="Q61" t="str" s="57" cm="1">
        <f t="array" ref="Q61">IF(D61="مكتملة","مرشحة للتسليم",IF(D61="تشطيبات","قيد التجهيز","تحت التنفيذ"))</f>
        <v>تحت التنفيذ</v>
      </c>
      <c r="R61" s="48"/>
      <c r="S61" s="7"/>
      <c r="T61" s="7"/>
      <c r="U61" s="7"/>
      <c r="V61" s="7"/>
      <c r="W61" s="7"/>
      <c r="X61" s="7"/>
      <c r="Y61" s="7"/>
      <c r="Z61" s="7"/>
    </row>
    <row r="62" ht="15" customHeight="1">
      <c r="A62" s="58">
        <v>58</v>
      </c>
      <c r="B62" t="s" s="59">
        <v>274</v>
      </c>
      <c r="C62" t="s" s="59">
        <v>268</v>
      </c>
      <c r="D62" t="s" s="59">
        <v>28</v>
      </c>
      <c r="E62" s="60">
        <v>0.3883</v>
      </c>
      <c r="F62" t="s" s="59">
        <v>48</v>
      </c>
      <c r="G62" s="61" cm="1">
        <f t="array" ref="G62">COUNTIF('الفحوصات_والاختبارات'!$C$5:$C$704,A62)</f>
        <v>5</v>
      </c>
      <c r="H62" s="61" cm="1">
        <f t="array" ref="H62">_xlfn.COUNTIFS('الفحوصات_والاختبارات'!$C$5:$C$704,A62,'الفحوصات_والاختبارات'!$G$5:$G$704,"مقبول من أول مرة")</f>
        <v>5</v>
      </c>
      <c r="I62" s="60" cm="1">
        <f t="array" ref="I62">_xlfn.IFERROR(H62/G62,0)</f>
        <v>1</v>
      </c>
      <c r="J62" s="61">
        <v>1</v>
      </c>
      <c r="K62" s="61">
        <v>1</v>
      </c>
      <c r="L62" s="62">
        <v>3435</v>
      </c>
      <c r="M62" t="str" s="63" cm="1">
        <f t="array" ref="M62">IF(AND(I62&gt;=0.9,J62&lt;=2),"مستقرة",IF(AND(I62&gt;=0.82,J62&lt;=5),"تحت المراقبة","حرجة"))</f>
        <v>مستقرة</v>
      </c>
      <c r="N62" s="64">
        <v>46247</v>
      </c>
      <c r="O62" s="64">
        <v>46290</v>
      </c>
      <c r="P62" s="61" cm="1">
        <f t="array" ref="P62">O62-N62</f>
        <v>43</v>
      </c>
      <c r="Q62" t="str" s="65" cm="1">
        <f t="array" ref="Q62">IF(D62="مكتملة","مرشحة للتسليم",IF(D62="تشطيبات","قيد التجهيز","تحت التنفيذ"))</f>
        <v>تحت التنفيذ</v>
      </c>
      <c r="R62" s="48"/>
      <c r="S62" s="7"/>
      <c r="T62" s="7"/>
      <c r="U62" s="7"/>
      <c r="V62" s="7"/>
      <c r="W62" s="7"/>
      <c r="X62" s="7"/>
      <c r="Y62" s="7"/>
      <c r="Z62" s="7"/>
    </row>
    <row r="63" ht="15" customHeight="1">
      <c r="A63" s="49">
        <v>59</v>
      </c>
      <c r="B63" t="s" s="50">
        <v>274</v>
      </c>
      <c r="C63" t="s" s="50">
        <v>271</v>
      </c>
      <c r="D63" t="s" s="50">
        <v>28</v>
      </c>
      <c r="E63" s="51">
        <v>0.3503</v>
      </c>
      <c r="F63" t="s" s="50">
        <v>48</v>
      </c>
      <c r="G63" s="52" cm="1">
        <f t="array" ref="G63">COUNTIF('الفحوصات_والاختبارات'!$C$5:$C$704,A63)</f>
        <v>5</v>
      </c>
      <c r="H63" s="52" cm="1">
        <f t="array" ref="H63">_xlfn.COUNTIFS('الفحوصات_والاختبارات'!$C$5:$C$704,A63,'الفحوصات_والاختبارات'!$G$5:$G$704,"مقبول من أول مرة")</f>
        <v>5</v>
      </c>
      <c r="I63" s="51" cm="1">
        <f t="array" ref="I63">_xlfn.IFERROR(H63/G63,0)</f>
        <v>1</v>
      </c>
      <c r="J63" s="52">
        <v>1</v>
      </c>
      <c r="K63" s="52">
        <v>2</v>
      </c>
      <c r="L63" s="53">
        <v>7740</v>
      </c>
      <c r="M63" t="str" s="54" cm="1">
        <f t="array" ref="M63">IF(AND(I63&gt;=0.9,J63&lt;=2),"مستقرة",IF(AND(I63&gt;=0.82,J63&lt;=5),"تحت المراقبة","حرجة"))</f>
        <v>مستقرة</v>
      </c>
      <c r="N63" s="55">
        <v>46250</v>
      </c>
      <c r="O63" s="55">
        <v>46311</v>
      </c>
      <c r="P63" s="56" cm="1">
        <f t="array" ref="P63">O63-N63</f>
        <v>61</v>
      </c>
      <c r="Q63" t="str" s="57" cm="1">
        <f t="array" ref="Q63">IF(D63="مكتملة","مرشحة للتسليم",IF(D63="تشطيبات","قيد التجهيز","تحت التنفيذ"))</f>
        <v>تحت التنفيذ</v>
      </c>
      <c r="R63" s="48"/>
      <c r="S63" s="7"/>
      <c r="T63" s="7"/>
      <c r="U63" s="7"/>
      <c r="V63" s="7"/>
      <c r="W63" s="7"/>
      <c r="X63" s="7"/>
      <c r="Y63" s="7"/>
      <c r="Z63" s="7"/>
    </row>
    <row r="64" ht="15" customHeight="1">
      <c r="A64" s="58">
        <v>60</v>
      </c>
      <c r="B64" t="s" s="59">
        <v>274</v>
      </c>
      <c r="C64" t="s" s="59">
        <v>272</v>
      </c>
      <c r="D64" t="s" s="59">
        <v>28</v>
      </c>
      <c r="E64" s="60">
        <v>0.5188</v>
      </c>
      <c r="F64" t="s" s="59">
        <v>48</v>
      </c>
      <c r="G64" s="61" cm="1">
        <f t="array" ref="G64">COUNTIF('الفحوصات_والاختبارات'!$C$5:$C$704,A64)</f>
        <v>5</v>
      </c>
      <c r="H64" s="61" cm="1">
        <f t="array" ref="H64">_xlfn.COUNTIFS('الفحوصات_والاختبارات'!$C$5:$C$704,A64,'الفحوصات_والاختبارات'!$G$5:$G$704,"مقبول من أول مرة")</f>
        <v>5</v>
      </c>
      <c r="I64" s="60" cm="1">
        <f t="array" ref="I64">_xlfn.IFERROR(H64/G64,0)</f>
        <v>1</v>
      </c>
      <c r="J64" s="61">
        <v>1</v>
      </c>
      <c r="K64" s="61">
        <v>2</v>
      </c>
      <c r="L64" s="62">
        <v>6718</v>
      </c>
      <c r="M64" t="str" s="63" cm="1">
        <f t="array" ref="M64">IF(AND(I64&gt;=0.9,J64&lt;=2),"مستقرة",IF(AND(I64&gt;=0.82,J64&lt;=5),"تحت المراقبة","حرجة"))</f>
        <v>مستقرة</v>
      </c>
      <c r="N64" s="64">
        <v>46253</v>
      </c>
      <c r="O64" s="64">
        <v>46293</v>
      </c>
      <c r="P64" s="61" cm="1">
        <f t="array" ref="P64">O64-N64</f>
        <v>40</v>
      </c>
      <c r="Q64" t="str" s="65" cm="1">
        <f t="array" ref="Q64">IF(D64="مكتملة","مرشحة للتسليم",IF(D64="تشطيبات","قيد التجهيز","تحت التنفيذ"))</f>
        <v>تحت التنفيذ</v>
      </c>
      <c r="R64" s="48"/>
      <c r="S64" s="7"/>
      <c r="T64" s="7"/>
      <c r="U64" s="7"/>
      <c r="V64" s="7"/>
      <c r="W64" s="7"/>
      <c r="X64" s="7"/>
      <c r="Y64" s="7"/>
      <c r="Z64" s="7"/>
    </row>
    <row r="65" ht="15" customHeight="1">
      <c r="A65" s="49">
        <v>61</v>
      </c>
      <c r="B65" t="s" s="50">
        <v>276</v>
      </c>
      <c r="C65" t="s" s="50">
        <v>268</v>
      </c>
      <c r="D65" t="s" s="50">
        <v>33</v>
      </c>
      <c r="E65" s="51">
        <v>0.6533</v>
      </c>
      <c r="F65" t="s" s="50">
        <v>49</v>
      </c>
      <c r="G65" s="52" cm="1">
        <f t="array" ref="G65">COUNTIF('الفحوصات_والاختبارات'!$C$5:$C$704,A65)</f>
        <v>6</v>
      </c>
      <c r="H65" s="52" cm="1">
        <f t="array" ref="H65">_xlfn.COUNTIFS('الفحوصات_والاختبارات'!$C$5:$C$704,A65,'الفحوصات_والاختبارات'!$G$5:$G$704,"مقبول من أول مرة")</f>
        <v>6</v>
      </c>
      <c r="I65" s="51" cm="1">
        <f t="array" ref="I65">_xlfn.IFERROR(H65/G65,0)</f>
        <v>1</v>
      </c>
      <c r="J65" s="52">
        <v>1</v>
      </c>
      <c r="K65" s="52">
        <v>2</v>
      </c>
      <c r="L65" s="53">
        <v>11555</v>
      </c>
      <c r="M65" t="str" s="54" cm="1">
        <f t="array" ref="M65">IF(AND(I65&gt;=0.9,J65&lt;=2),"مستقرة",IF(AND(I65&gt;=0.82,J65&lt;=5),"تحت المراقبة","حرجة"))</f>
        <v>مستقرة</v>
      </c>
      <c r="N65" s="55">
        <v>46268</v>
      </c>
      <c r="O65" s="55">
        <v>46303</v>
      </c>
      <c r="P65" s="56" cm="1">
        <f t="array" ref="P65">O65-N65</f>
        <v>35</v>
      </c>
      <c r="Q65" t="str" s="57" cm="1">
        <f t="array" ref="Q65">IF(D65="مكتملة","مرشحة للتسليم",IF(D65="تشطيبات","قيد التجهيز","تحت التنفيذ"))</f>
        <v>تحت التنفيذ</v>
      </c>
      <c r="R65" s="48"/>
      <c r="S65" s="7"/>
      <c r="T65" s="7"/>
      <c r="U65" s="7"/>
      <c r="V65" s="7"/>
      <c r="W65" s="7"/>
      <c r="X65" s="7"/>
      <c r="Y65" s="7"/>
      <c r="Z65" s="7"/>
    </row>
    <row r="66" ht="15" customHeight="1">
      <c r="A66" s="58">
        <v>62</v>
      </c>
      <c r="B66" t="s" s="59">
        <v>276</v>
      </c>
      <c r="C66" t="s" s="59">
        <v>271</v>
      </c>
      <c r="D66" t="s" s="59">
        <v>33</v>
      </c>
      <c r="E66" s="60">
        <v>0.6744</v>
      </c>
      <c r="F66" t="s" s="59">
        <v>49</v>
      </c>
      <c r="G66" s="61" cm="1">
        <f t="array" ref="G66">COUNTIF('الفحوصات_والاختبارات'!$C$5:$C$704,A66)</f>
        <v>6</v>
      </c>
      <c r="H66" s="61" cm="1">
        <f t="array" ref="H66">_xlfn.COUNTIFS('الفحوصات_والاختبارات'!$C$5:$C$704,A66,'الفحوصات_والاختبارات'!$G$5:$G$704,"مقبول من أول مرة")</f>
        <v>6</v>
      </c>
      <c r="I66" s="60" cm="1">
        <f t="array" ref="I66">_xlfn.IFERROR(H66/G66,0)</f>
        <v>1</v>
      </c>
      <c r="J66" s="61">
        <v>2</v>
      </c>
      <c r="K66" s="61">
        <v>2</v>
      </c>
      <c r="L66" s="62">
        <v>10487</v>
      </c>
      <c r="M66" t="str" s="63" cm="1">
        <f t="array" ref="M66">IF(AND(I66&gt;=0.9,J66&lt;=2),"مستقرة",IF(AND(I66&gt;=0.82,J66&lt;=5),"تحت المراقبة","حرجة"))</f>
        <v>مستقرة</v>
      </c>
      <c r="N66" s="64">
        <v>46271</v>
      </c>
      <c r="O66" s="64">
        <v>46304</v>
      </c>
      <c r="P66" s="61" cm="1">
        <f t="array" ref="P66">O66-N66</f>
        <v>33</v>
      </c>
      <c r="Q66" t="str" s="65" cm="1">
        <f t="array" ref="Q66">IF(D66="مكتملة","مرشحة للتسليم",IF(D66="تشطيبات","قيد التجهيز","تحت التنفيذ"))</f>
        <v>تحت التنفيذ</v>
      </c>
      <c r="R66" s="48"/>
      <c r="S66" s="7"/>
      <c r="T66" s="7"/>
      <c r="U66" s="7"/>
      <c r="V66" s="7"/>
      <c r="W66" s="7"/>
      <c r="X66" s="7"/>
      <c r="Y66" s="7"/>
      <c r="Z66" s="7"/>
    </row>
    <row r="67" ht="15" customHeight="1">
      <c r="A67" s="49">
        <v>63</v>
      </c>
      <c r="B67" t="s" s="50">
        <v>276</v>
      </c>
      <c r="C67" t="s" s="50">
        <v>272</v>
      </c>
      <c r="D67" t="s" s="50">
        <v>33</v>
      </c>
      <c r="E67" s="51">
        <v>0.6413</v>
      </c>
      <c r="F67" t="s" s="50">
        <v>49</v>
      </c>
      <c r="G67" s="52" cm="1">
        <f t="array" ref="G67">COUNTIF('الفحوصات_والاختبارات'!$C$5:$C$704,A67)</f>
        <v>6</v>
      </c>
      <c r="H67" s="52" cm="1">
        <f t="array" ref="H67">_xlfn.COUNTIFS('الفحوصات_والاختبارات'!$C$5:$C$704,A67,'الفحوصات_والاختبارات'!$G$5:$G$704,"مقبول من أول مرة")</f>
        <v>4</v>
      </c>
      <c r="I67" s="51" cm="1">
        <f t="array" ref="I67">_xlfn.IFERROR(H67/G67,0)</f>
        <v>0.666666666666667</v>
      </c>
      <c r="J67" s="52">
        <v>0</v>
      </c>
      <c r="K67" s="52">
        <v>5</v>
      </c>
      <c r="L67" s="53">
        <v>8276</v>
      </c>
      <c r="M67" t="str" s="54" cm="1">
        <f t="array" ref="M67">IF(AND(I67&gt;=0.9,J67&lt;=2),"مستقرة",IF(AND(I67&gt;=0.82,J67&lt;=5),"تحت المراقبة","حرجة"))</f>
        <v>حرجة</v>
      </c>
      <c r="N67" s="55">
        <v>46274</v>
      </c>
      <c r="O67" s="55">
        <v>46309</v>
      </c>
      <c r="P67" s="56" cm="1">
        <f t="array" ref="P67">O67-N67</f>
        <v>35</v>
      </c>
      <c r="Q67" t="str" s="57" cm="1">
        <f t="array" ref="Q67">IF(D67="مكتملة","مرشحة للتسليم",IF(D67="تشطيبات","قيد التجهيز","تحت التنفيذ"))</f>
        <v>تحت التنفيذ</v>
      </c>
      <c r="R67" s="48"/>
      <c r="S67" s="7"/>
      <c r="T67" s="7"/>
      <c r="U67" s="7"/>
      <c r="V67" s="7"/>
      <c r="W67" s="7"/>
      <c r="X67" s="7"/>
      <c r="Y67" s="7"/>
      <c r="Z67" s="7"/>
    </row>
    <row r="68" ht="15" customHeight="1">
      <c r="A68" s="58">
        <v>64</v>
      </c>
      <c r="B68" t="s" s="59">
        <v>276</v>
      </c>
      <c r="C68" t="s" s="59">
        <v>268</v>
      </c>
      <c r="D68" t="s" s="59">
        <v>33</v>
      </c>
      <c r="E68" s="60">
        <v>0.6288</v>
      </c>
      <c r="F68" t="s" s="59">
        <v>49</v>
      </c>
      <c r="G68" s="61" cm="1">
        <f t="array" ref="G68">COUNTIF('الفحوصات_والاختبارات'!$C$5:$C$704,A68)</f>
        <v>6</v>
      </c>
      <c r="H68" s="61" cm="1">
        <f t="array" ref="H68">_xlfn.COUNTIFS('الفحوصات_والاختبارات'!$C$5:$C$704,A68,'الفحوصات_والاختبارات'!$G$5:$G$704,"مقبول من أول مرة")</f>
        <v>5</v>
      </c>
      <c r="I68" s="60" cm="1">
        <f t="array" ref="I68">_xlfn.IFERROR(H68/G68,0)</f>
        <v>0.833333333333333</v>
      </c>
      <c r="J68" s="61">
        <v>1</v>
      </c>
      <c r="K68" s="61">
        <v>3</v>
      </c>
      <c r="L68" s="62">
        <v>14176</v>
      </c>
      <c r="M68" t="str" s="63" cm="1">
        <f t="array" ref="M68">IF(AND(I68&gt;=0.9,J68&lt;=2),"مستقرة",IF(AND(I68&gt;=0.82,J68&lt;=5),"تحت المراقبة","حرجة"))</f>
        <v>تحت المراقبة</v>
      </c>
      <c r="N68" s="64">
        <v>46277</v>
      </c>
      <c r="O68" s="64">
        <v>46301</v>
      </c>
      <c r="P68" s="61" cm="1">
        <f t="array" ref="P68">O68-N68</f>
        <v>24</v>
      </c>
      <c r="Q68" t="str" s="65" cm="1">
        <f t="array" ref="Q68">IF(D68="مكتملة","مرشحة للتسليم",IF(D68="تشطيبات","قيد التجهيز","تحت التنفيذ"))</f>
        <v>تحت التنفيذ</v>
      </c>
      <c r="R68" s="48"/>
      <c r="S68" s="7"/>
      <c r="T68" s="7"/>
      <c r="U68" s="7"/>
      <c r="V68" s="7"/>
      <c r="W68" s="7"/>
      <c r="X68" s="7"/>
      <c r="Y68" s="7"/>
      <c r="Z68" s="7"/>
    </row>
    <row r="69" ht="15" customHeight="1">
      <c r="A69" s="49">
        <v>65</v>
      </c>
      <c r="B69" t="s" s="50">
        <v>276</v>
      </c>
      <c r="C69" t="s" s="50">
        <v>271</v>
      </c>
      <c r="D69" t="s" s="50">
        <v>33</v>
      </c>
      <c r="E69" s="51">
        <v>0.6862</v>
      </c>
      <c r="F69" t="s" s="50">
        <v>49</v>
      </c>
      <c r="G69" s="52" cm="1">
        <f t="array" ref="G69">COUNTIF('الفحوصات_والاختبارات'!$C$5:$C$704,A69)</f>
        <v>6</v>
      </c>
      <c r="H69" s="52" cm="1">
        <f t="array" ref="H69">_xlfn.COUNTIFS('الفحوصات_والاختبارات'!$C$5:$C$704,A69,'الفحوصات_والاختبارات'!$G$5:$G$704,"مقبول من أول مرة")</f>
        <v>5</v>
      </c>
      <c r="I69" s="51" cm="1">
        <f t="array" ref="I69">_xlfn.IFERROR(H69/G69,0)</f>
        <v>0.833333333333333</v>
      </c>
      <c r="J69" s="52">
        <v>2</v>
      </c>
      <c r="K69" s="52">
        <v>3</v>
      </c>
      <c r="L69" s="53">
        <v>11845</v>
      </c>
      <c r="M69" t="str" s="54" cm="1">
        <f t="array" ref="M69">IF(AND(I69&gt;=0.9,J69&lt;=2),"مستقرة",IF(AND(I69&gt;=0.82,J69&lt;=5),"تحت المراقبة","حرجة"))</f>
        <v>تحت المراقبة</v>
      </c>
      <c r="N69" s="55">
        <v>46280</v>
      </c>
      <c r="O69" s="55">
        <v>46299</v>
      </c>
      <c r="P69" s="56" cm="1">
        <f t="array" ref="P69">O69-N69</f>
        <v>19</v>
      </c>
      <c r="Q69" t="str" s="57" cm="1">
        <f t="array" ref="Q69">IF(D69="مكتملة","مرشحة للتسليم",IF(D69="تشطيبات","قيد التجهيز","تحت التنفيذ"))</f>
        <v>تحت التنفيذ</v>
      </c>
      <c r="R69" s="48"/>
      <c r="S69" s="7"/>
      <c r="T69" s="7"/>
      <c r="U69" s="7"/>
      <c r="V69" s="7"/>
      <c r="W69" s="7"/>
      <c r="X69" s="7"/>
      <c r="Y69" s="7"/>
      <c r="Z69" s="7"/>
    </row>
    <row r="70" ht="15" customHeight="1">
      <c r="A70" s="58">
        <v>66</v>
      </c>
      <c r="B70" t="s" s="59">
        <v>276</v>
      </c>
      <c r="C70" t="s" s="59">
        <v>272</v>
      </c>
      <c r="D70" t="s" s="59">
        <v>33</v>
      </c>
      <c r="E70" s="60">
        <v>0.614</v>
      </c>
      <c r="F70" t="s" s="59">
        <v>49</v>
      </c>
      <c r="G70" s="61" cm="1">
        <f t="array" ref="G70">COUNTIF('الفحوصات_والاختبارات'!$C$5:$C$704,A70)</f>
        <v>6</v>
      </c>
      <c r="H70" s="61" cm="1">
        <f t="array" ref="H70">_xlfn.COUNTIFS('الفحوصات_والاختبارات'!$C$5:$C$704,A70,'الفحوصات_والاختبارات'!$G$5:$G$704,"مقبول من أول مرة")</f>
        <v>6</v>
      </c>
      <c r="I70" s="60" cm="1">
        <f t="array" ref="I70">_xlfn.IFERROR(H70/G70,0)</f>
        <v>1</v>
      </c>
      <c r="J70" s="61">
        <v>1</v>
      </c>
      <c r="K70" s="61">
        <v>4</v>
      </c>
      <c r="L70" s="62">
        <v>6493</v>
      </c>
      <c r="M70" t="str" s="63" cm="1">
        <f t="array" ref="M70">IF(AND(I70&gt;=0.9,J70&lt;=2),"مستقرة",IF(AND(I70&gt;=0.82,J70&lt;=5),"تحت المراقبة","حرجة"))</f>
        <v>مستقرة</v>
      </c>
      <c r="N70" s="64">
        <v>46283</v>
      </c>
      <c r="O70" s="64">
        <v>46307</v>
      </c>
      <c r="P70" s="61" cm="1">
        <f t="array" ref="P70">O70-N70</f>
        <v>24</v>
      </c>
      <c r="Q70" t="str" s="65" cm="1">
        <f t="array" ref="Q70">IF(D70="مكتملة","مرشحة للتسليم",IF(D70="تشطيبات","قيد التجهيز","تحت التنفيذ"))</f>
        <v>تحت التنفيذ</v>
      </c>
      <c r="R70" s="48"/>
      <c r="S70" s="7"/>
      <c r="T70" s="7"/>
      <c r="U70" s="7"/>
      <c r="V70" s="7"/>
      <c r="W70" s="7"/>
      <c r="X70" s="7"/>
      <c r="Y70" s="7"/>
      <c r="Z70" s="7"/>
    </row>
    <row r="71" ht="15" customHeight="1">
      <c r="A71" s="49">
        <v>67</v>
      </c>
      <c r="B71" t="s" s="50">
        <v>276</v>
      </c>
      <c r="C71" t="s" s="50">
        <v>268</v>
      </c>
      <c r="D71" t="s" s="50">
        <v>33</v>
      </c>
      <c r="E71" s="51">
        <v>0.5979</v>
      </c>
      <c r="F71" t="s" s="50">
        <v>49</v>
      </c>
      <c r="G71" s="52" cm="1">
        <f t="array" ref="G71">COUNTIF('الفحوصات_والاختبارات'!$C$5:$C$704,A71)</f>
        <v>6</v>
      </c>
      <c r="H71" s="52" cm="1">
        <f t="array" ref="H71">_xlfn.COUNTIFS('الفحوصات_والاختبارات'!$C$5:$C$704,A71,'الفحوصات_والاختبارات'!$G$5:$G$704,"مقبول من أول مرة")</f>
        <v>6</v>
      </c>
      <c r="I71" s="51" cm="1">
        <f t="array" ref="I71">_xlfn.IFERROR(H71/G71,0)</f>
        <v>1</v>
      </c>
      <c r="J71" s="52">
        <v>0</v>
      </c>
      <c r="K71" s="52">
        <v>4</v>
      </c>
      <c r="L71" s="53">
        <v>13102</v>
      </c>
      <c r="M71" t="str" s="54" cm="1">
        <f t="array" ref="M71">IF(AND(I71&gt;=0.9,J71&lt;=2),"مستقرة",IF(AND(I71&gt;=0.82,J71&lt;=5),"تحت المراقبة","حرجة"))</f>
        <v>مستقرة</v>
      </c>
      <c r="N71" s="55">
        <v>46286</v>
      </c>
      <c r="O71" s="55">
        <v>46323</v>
      </c>
      <c r="P71" s="56" cm="1">
        <f t="array" ref="P71">O71-N71</f>
        <v>37</v>
      </c>
      <c r="Q71" t="str" s="57" cm="1">
        <f t="array" ref="Q71">IF(D71="مكتملة","مرشحة للتسليم",IF(D71="تشطيبات","قيد التجهيز","تحت التنفيذ"))</f>
        <v>تحت التنفيذ</v>
      </c>
      <c r="R71" s="48"/>
      <c r="S71" s="7"/>
      <c r="T71" s="7"/>
      <c r="U71" s="7"/>
      <c r="V71" s="7"/>
      <c r="W71" s="7"/>
      <c r="X71" s="7"/>
      <c r="Y71" s="7"/>
      <c r="Z71" s="7"/>
    </row>
    <row r="72" ht="15" customHeight="1">
      <c r="A72" s="58">
        <v>68</v>
      </c>
      <c r="B72" t="s" s="59">
        <v>276</v>
      </c>
      <c r="C72" t="s" s="59">
        <v>271</v>
      </c>
      <c r="D72" t="s" s="59">
        <v>33</v>
      </c>
      <c r="E72" s="60">
        <v>0.5945</v>
      </c>
      <c r="F72" t="s" s="59">
        <v>49</v>
      </c>
      <c r="G72" s="61" cm="1">
        <f t="array" ref="G72">COUNTIF('الفحوصات_والاختبارات'!$C$5:$C$704,A72)</f>
        <v>6</v>
      </c>
      <c r="H72" s="61" cm="1">
        <f t="array" ref="H72">_xlfn.COUNTIFS('الفحوصات_والاختبارات'!$C$5:$C$704,A72,'الفحوصات_والاختبارات'!$G$5:$G$704,"مقبول من أول مرة")</f>
        <v>6</v>
      </c>
      <c r="I72" s="60" cm="1">
        <f t="array" ref="I72">_xlfn.IFERROR(H72/G72,0)</f>
        <v>1</v>
      </c>
      <c r="J72" s="61">
        <v>1</v>
      </c>
      <c r="K72" s="61">
        <v>4</v>
      </c>
      <c r="L72" s="62">
        <v>9890</v>
      </c>
      <c r="M72" t="str" s="63" cm="1">
        <f t="array" ref="M72">IF(AND(I72&gt;=0.9,J72&lt;=2),"مستقرة",IF(AND(I72&gt;=0.82,J72&lt;=5),"تحت المراقبة","حرجة"))</f>
        <v>مستقرة</v>
      </c>
      <c r="N72" s="64">
        <v>46289</v>
      </c>
      <c r="O72" s="64">
        <v>46315</v>
      </c>
      <c r="P72" s="61" cm="1">
        <f t="array" ref="P72">O72-N72</f>
        <v>26</v>
      </c>
      <c r="Q72" t="str" s="65" cm="1">
        <f t="array" ref="Q72">IF(D72="مكتملة","مرشحة للتسليم",IF(D72="تشطيبات","قيد التجهيز","تحت التنفيذ"))</f>
        <v>تحت التنفيذ</v>
      </c>
      <c r="R72" s="48"/>
      <c r="S72" s="7"/>
      <c r="T72" s="7"/>
      <c r="U72" s="7"/>
      <c r="V72" s="7"/>
      <c r="W72" s="7"/>
      <c r="X72" s="7"/>
      <c r="Y72" s="7"/>
      <c r="Z72" s="7"/>
    </row>
    <row r="73" ht="15" customHeight="1">
      <c r="A73" s="49">
        <v>69</v>
      </c>
      <c r="B73" t="s" s="50">
        <v>276</v>
      </c>
      <c r="C73" t="s" s="50">
        <v>272</v>
      </c>
      <c r="D73" t="s" s="50">
        <v>33</v>
      </c>
      <c r="E73" s="51">
        <v>0.6113</v>
      </c>
      <c r="F73" t="s" s="50">
        <v>49</v>
      </c>
      <c r="G73" s="52" cm="1">
        <f t="array" ref="G73">COUNTIF('الفحوصات_والاختبارات'!$C$5:$C$704,A73)</f>
        <v>6</v>
      </c>
      <c r="H73" s="52" cm="1">
        <f t="array" ref="H73">_xlfn.COUNTIFS('الفحوصات_والاختبارات'!$C$5:$C$704,A73,'الفحوصات_والاختبارات'!$G$5:$G$704,"مقبول من أول مرة")</f>
        <v>5</v>
      </c>
      <c r="I73" s="51" cm="1">
        <f t="array" ref="I73">_xlfn.IFERROR(H73/G73,0)</f>
        <v>0.833333333333333</v>
      </c>
      <c r="J73" s="52">
        <v>0</v>
      </c>
      <c r="K73" s="52">
        <v>4</v>
      </c>
      <c r="L73" s="53">
        <v>10224</v>
      </c>
      <c r="M73" t="str" s="54" cm="1">
        <f t="array" ref="M73">IF(AND(I73&gt;=0.9,J73&lt;=2),"مستقرة",IF(AND(I73&gt;=0.82,J73&lt;=5),"تحت المراقبة","حرجة"))</f>
        <v>تحت المراقبة</v>
      </c>
      <c r="N73" s="55">
        <v>46292</v>
      </c>
      <c r="O73" s="55">
        <v>46313</v>
      </c>
      <c r="P73" s="56" cm="1">
        <f t="array" ref="P73">O73-N73</f>
        <v>21</v>
      </c>
      <c r="Q73" t="str" s="57" cm="1">
        <f t="array" ref="Q73">IF(D73="مكتملة","مرشحة للتسليم",IF(D73="تشطيبات","قيد التجهيز","تحت التنفيذ"))</f>
        <v>تحت التنفيذ</v>
      </c>
      <c r="R73" s="48"/>
      <c r="S73" s="7"/>
      <c r="T73" s="7"/>
      <c r="U73" s="7"/>
      <c r="V73" s="7"/>
      <c r="W73" s="7"/>
      <c r="X73" s="7"/>
      <c r="Y73" s="7"/>
      <c r="Z73" s="7"/>
    </row>
    <row r="74" ht="15" customHeight="1">
      <c r="A74" s="58">
        <v>70</v>
      </c>
      <c r="B74" t="s" s="59">
        <v>276</v>
      </c>
      <c r="C74" t="s" s="59">
        <v>268</v>
      </c>
      <c r="D74" t="s" s="59">
        <v>33</v>
      </c>
      <c r="E74" s="60">
        <v>0.7118</v>
      </c>
      <c r="F74" t="s" s="59">
        <v>49</v>
      </c>
      <c r="G74" s="61" cm="1">
        <f t="array" ref="G74">COUNTIF('الفحوصات_والاختبارات'!$C$5:$C$704,A74)</f>
        <v>6</v>
      </c>
      <c r="H74" s="61" cm="1">
        <f t="array" ref="H74">_xlfn.COUNTIFS('الفحوصات_والاختبارات'!$C$5:$C$704,A74,'الفحوصات_والاختبارات'!$G$5:$G$704,"مقبول من أول مرة")</f>
        <v>4</v>
      </c>
      <c r="I74" s="60" cm="1">
        <f t="array" ref="I74">_xlfn.IFERROR(H74/G74,0)</f>
        <v>0.666666666666667</v>
      </c>
      <c r="J74" s="61">
        <v>1</v>
      </c>
      <c r="K74" s="61">
        <v>4</v>
      </c>
      <c r="L74" s="62">
        <v>6682</v>
      </c>
      <c r="M74" t="str" s="63" cm="1">
        <f t="array" ref="M74">IF(AND(I74&gt;=0.9,J74&lt;=2),"مستقرة",IF(AND(I74&gt;=0.82,J74&lt;=5),"تحت المراقبة","حرجة"))</f>
        <v>حرجة</v>
      </c>
      <c r="N74" s="64">
        <v>46295</v>
      </c>
      <c r="O74" s="64">
        <v>46331</v>
      </c>
      <c r="P74" s="61" cm="1">
        <f t="array" ref="P74">O74-N74</f>
        <v>36</v>
      </c>
      <c r="Q74" t="str" s="65" cm="1">
        <f t="array" ref="Q74">IF(D74="مكتملة","مرشحة للتسليم",IF(D74="تشطيبات","قيد التجهيز","تحت التنفيذ"))</f>
        <v>تحت التنفيذ</v>
      </c>
      <c r="R74" s="48"/>
      <c r="S74" s="7"/>
      <c r="T74" s="7"/>
      <c r="U74" s="7"/>
      <c r="V74" s="7"/>
      <c r="W74" s="7"/>
      <c r="X74" s="7"/>
      <c r="Y74" s="7"/>
      <c r="Z74" s="7"/>
    </row>
    <row r="75" ht="15" customHeight="1">
      <c r="A75" s="49">
        <v>71</v>
      </c>
      <c r="B75" t="s" s="50">
        <v>276</v>
      </c>
      <c r="C75" t="s" s="50">
        <v>271</v>
      </c>
      <c r="D75" t="s" s="50">
        <v>33</v>
      </c>
      <c r="E75" s="51">
        <v>0.6707</v>
      </c>
      <c r="F75" t="s" s="50">
        <v>49</v>
      </c>
      <c r="G75" s="52" cm="1">
        <f t="array" ref="G75">COUNTIF('الفحوصات_والاختبارات'!$C$5:$C$704,A75)</f>
        <v>6</v>
      </c>
      <c r="H75" s="52" cm="1">
        <f t="array" ref="H75">_xlfn.COUNTIFS('الفحوصات_والاختبارات'!$C$5:$C$704,A75,'الفحوصات_والاختبارات'!$G$5:$G$704,"مقبول من أول مرة")</f>
        <v>6</v>
      </c>
      <c r="I75" s="51" cm="1">
        <f t="array" ref="I75">_xlfn.IFERROR(H75/G75,0)</f>
        <v>1</v>
      </c>
      <c r="J75" s="52">
        <v>0</v>
      </c>
      <c r="K75" s="52">
        <v>5</v>
      </c>
      <c r="L75" s="53">
        <v>12076</v>
      </c>
      <c r="M75" t="str" s="54" cm="1">
        <f t="array" ref="M75">IF(AND(I75&gt;=0.9,J75&lt;=2),"مستقرة",IF(AND(I75&gt;=0.82,J75&lt;=5),"تحت المراقبة","حرجة"))</f>
        <v>مستقرة</v>
      </c>
      <c r="N75" s="55">
        <v>46298</v>
      </c>
      <c r="O75" s="55">
        <v>46321</v>
      </c>
      <c r="P75" s="56" cm="1">
        <f t="array" ref="P75">O75-N75</f>
        <v>23</v>
      </c>
      <c r="Q75" t="str" s="57" cm="1">
        <f t="array" ref="Q75">IF(D75="مكتملة","مرشحة للتسليم",IF(D75="تشطيبات","قيد التجهيز","تحت التنفيذ"))</f>
        <v>تحت التنفيذ</v>
      </c>
      <c r="R75" s="48"/>
      <c r="S75" s="7"/>
      <c r="T75" s="7"/>
      <c r="U75" s="7"/>
      <c r="V75" s="7"/>
      <c r="W75" s="7"/>
      <c r="X75" s="7"/>
      <c r="Y75" s="7"/>
      <c r="Z75" s="7"/>
    </row>
    <row r="76" ht="15" customHeight="1">
      <c r="A76" s="58">
        <v>72</v>
      </c>
      <c r="B76" t="s" s="59">
        <v>276</v>
      </c>
      <c r="C76" t="s" s="59">
        <v>272</v>
      </c>
      <c r="D76" t="s" s="59">
        <v>33</v>
      </c>
      <c r="E76" s="60">
        <v>0.639</v>
      </c>
      <c r="F76" t="s" s="59">
        <v>49</v>
      </c>
      <c r="G76" s="61" cm="1">
        <f t="array" ref="G76">COUNTIF('الفحوصات_والاختبارات'!$C$5:$C$704,A76)</f>
        <v>6</v>
      </c>
      <c r="H76" s="61" cm="1">
        <f t="array" ref="H76">_xlfn.COUNTIFS('الفحوصات_والاختبارات'!$C$5:$C$704,A76,'الفحوصات_والاختبارات'!$G$5:$G$704,"مقبول من أول مرة")</f>
        <v>6</v>
      </c>
      <c r="I76" s="60" cm="1">
        <f t="array" ref="I76">_xlfn.IFERROR(H76/G76,0)</f>
        <v>1</v>
      </c>
      <c r="J76" s="61">
        <v>1</v>
      </c>
      <c r="K76" s="61">
        <v>4</v>
      </c>
      <c r="L76" s="62">
        <v>7741</v>
      </c>
      <c r="M76" t="str" s="63" cm="1">
        <f t="array" ref="M76">IF(AND(I76&gt;=0.9,J76&lt;=2),"مستقرة",IF(AND(I76&gt;=0.82,J76&lt;=5),"تحت المراقبة","حرجة"))</f>
        <v>مستقرة</v>
      </c>
      <c r="N76" s="64">
        <v>46301</v>
      </c>
      <c r="O76" s="64">
        <v>46336</v>
      </c>
      <c r="P76" s="61" cm="1">
        <f t="array" ref="P76">O76-N76</f>
        <v>35</v>
      </c>
      <c r="Q76" t="str" s="65" cm="1">
        <f t="array" ref="Q76">IF(D76="مكتملة","مرشحة للتسليم",IF(D76="تشطيبات","قيد التجهيز","تحت التنفيذ"))</f>
        <v>تحت التنفيذ</v>
      </c>
      <c r="R76" s="48"/>
      <c r="S76" s="7"/>
      <c r="T76" s="7"/>
      <c r="U76" s="7"/>
      <c r="V76" s="7"/>
      <c r="W76" s="7"/>
      <c r="X76" s="7"/>
      <c r="Y76" s="7"/>
      <c r="Z76" s="7"/>
    </row>
    <row r="77" ht="15" customHeight="1">
      <c r="A77" s="49">
        <v>73</v>
      </c>
      <c r="B77" t="s" s="50">
        <v>276</v>
      </c>
      <c r="C77" t="s" s="50">
        <v>268</v>
      </c>
      <c r="D77" t="s" s="50">
        <v>33</v>
      </c>
      <c r="E77" s="51">
        <v>0.6607</v>
      </c>
      <c r="F77" t="s" s="50">
        <v>49</v>
      </c>
      <c r="G77" s="52" cm="1">
        <f t="array" ref="G77">COUNTIF('الفحوصات_والاختبارات'!$C$5:$C$704,A77)</f>
        <v>6</v>
      </c>
      <c r="H77" s="52" cm="1">
        <f t="array" ref="H77">_xlfn.COUNTIFS('الفحوصات_والاختبارات'!$C$5:$C$704,A77,'الفحوصات_والاختبارات'!$G$5:$G$704,"مقبول من أول مرة")</f>
        <v>5</v>
      </c>
      <c r="I77" s="51" cm="1">
        <f t="array" ref="I77">_xlfn.IFERROR(H77/G77,0)</f>
        <v>0.833333333333333</v>
      </c>
      <c r="J77" s="52">
        <v>2</v>
      </c>
      <c r="K77" s="52">
        <v>3</v>
      </c>
      <c r="L77" s="53">
        <v>8388</v>
      </c>
      <c r="M77" t="str" s="54" cm="1">
        <f t="array" ref="M77">IF(AND(I77&gt;=0.9,J77&lt;=2),"مستقرة",IF(AND(I77&gt;=0.82,J77&lt;=5),"تحت المراقبة","حرجة"))</f>
        <v>تحت المراقبة</v>
      </c>
      <c r="N77" s="55">
        <v>46304</v>
      </c>
      <c r="O77" s="55">
        <v>46342</v>
      </c>
      <c r="P77" s="56" cm="1">
        <f t="array" ref="P77">O77-N77</f>
        <v>38</v>
      </c>
      <c r="Q77" t="str" s="57" cm="1">
        <f t="array" ref="Q77">IF(D77="مكتملة","مرشحة للتسليم",IF(D77="تشطيبات","قيد التجهيز","تحت التنفيذ"))</f>
        <v>تحت التنفيذ</v>
      </c>
      <c r="R77" s="48"/>
      <c r="S77" s="7"/>
      <c r="T77" s="7"/>
      <c r="U77" s="7"/>
      <c r="V77" s="7"/>
      <c r="W77" s="7"/>
      <c r="X77" s="7"/>
      <c r="Y77" s="7"/>
      <c r="Z77" s="7"/>
    </row>
    <row r="78" ht="15" customHeight="1">
      <c r="A78" s="58">
        <v>74</v>
      </c>
      <c r="B78" t="s" s="59">
        <v>276</v>
      </c>
      <c r="C78" t="s" s="59">
        <v>271</v>
      </c>
      <c r="D78" t="s" s="59">
        <v>33</v>
      </c>
      <c r="E78" s="60">
        <v>0.7116</v>
      </c>
      <c r="F78" t="s" s="59">
        <v>49</v>
      </c>
      <c r="G78" s="61" cm="1">
        <f t="array" ref="G78">COUNTIF('الفحوصات_والاختبارات'!$C$5:$C$704,A78)</f>
        <v>6</v>
      </c>
      <c r="H78" s="61" cm="1">
        <f t="array" ref="H78">_xlfn.COUNTIFS('الفحوصات_والاختبارات'!$C$5:$C$704,A78,'الفحوصات_والاختبارات'!$G$5:$G$704,"مقبول من أول مرة")</f>
        <v>6</v>
      </c>
      <c r="I78" s="60" cm="1">
        <f t="array" ref="I78">_xlfn.IFERROR(H78/G78,0)</f>
        <v>1</v>
      </c>
      <c r="J78" s="61">
        <v>2</v>
      </c>
      <c r="K78" s="61">
        <v>3</v>
      </c>
      <c r="L78" s="62">
        <v>22771</v>
      </c>
      <c r="M78" t="str" s="63" cm="1">
        <f t="array" ref="M78">IF(AND(I78&gt;=0.9,J78&lt;=2),"مستقرة",IF(AND(I78&gt;=0.82,J78&lt;=5),"تحت المراقبة","حرجة"))</f>
        <v>مستقرة</v>
      </c>
      <c r="N78" s="64">
        <v>46307</v>
      </c>
      <c r="O78" s="64">
        <v>46333</v>
      </c>
      <c r="P78" s="61" cm="1">
        <f t="array" ref="P78">O78-N78</f>
        <v>26</v>
      </c>
      <c r="Q78" t="str" s="65" cm="1">
        <f t="array" ref="Q78">IF(D78="مكتملة","مرشحة للتسليم",IF(D78="تشطيبات","قيد التجهيز","تحت التنفيذ"))</f>
        <v>تحت التنفيذ</v>
      </c>
      <c r="R78" s="48"/>
      <c r="S78" s="7"/>
      <c r="T78" s="7"/>
      <c r="U78" s="7"/>
      <c r="V78" s="7"/>
      <c r="W78" s="7"/>
      <c r="X78" s="7"/>
      <c r="Y78" s="7"/>
      <c r="Z78" s="7"/>
    </row>
    <row r="79" ht="15" customHeight="1">
      <c r="A79" s="49">
        <v>75</v>
      </c>
      <c r="B79" t="s" s="50">
        <v>276</v>
      </c>
      <c r="C79" t="s" s="50">
        <v>272</v>
      </c>
      <c r="D79" t="s" s="50">
        <v>33</v>
      </c>
      <c r="E79" s="51">
        <v>0.6860000000000001</v>
      </c>
      <c r="F79" t="s" s="50">
        <v>49</v>
      </c>
      <c r="G79" s="52" cm="1">
        <f t="array" ref="G79">COUNTIF('الفحوصات_والاختبارات'!$C$5:$C$704,A79)</f>
        <v>6</v>
      </c>
      <c r="H79" s="52" cm="1">
        <f t="array" ref="H79">_xlfn.COUNTIFS('الفحوصات_والاختبارات'!$C$5:$C$704,A79,'الفحوصات_والاختبارات'!$G$5:$G$704,"مقبول من أول مرة")</f>
        <v>6</v>
      </c>
      <c r="I79" s="51" cm="1">
        <f t="array" ref="I79">_xlfn.IFERROR(H79/G79,0)</f>
        <v>1</v>
      </c>
      <c r="J79" s="52">
        <v>0</v>
      </c>
      <c r="K79" s="52">
        <v>3</v>
      </c>
      <c r="L79" s="53">
        <v>11316</v>
      </c>
      <c r="M79" t="str" s="54" cm="1">
        <f t="array" ref="M79">IF(AND(I79&gt;=0.9,J79&lt;=2),"مستقرة",IF(AND(I79&gt;=0.82,J79&lt;=5),"تحت المراقبة","حرجة"))</f>
        <v>مستقرة</v>
      </c>
      <c r="N79" s="55">
        <v>46310</v>
      </c>
      <c r="O79" s="55">
        <v>46349</v>
      </c>
      <c r="P79" s="56" cm="1">
        <f t="array" ref="P79">O79-N79</f>
        <v>39</v>
      </c>
      <c r="Q79" t="str" s="57" cm="1">
        <f t="array" ref="Q79">IF(D79="مكتملة","مرشحة للتسليم",IF(D79="تشطيبات","قيد التجهيز","تحت التنفيذ"))</f>
        <v>تحت التنفيذ</v>
      </c>
      <c r="R79" s="48"/>
      <c r="S79" s="7"/>
      <c r="T79" s="7"/>
      <c r="U79" s="7"/>
      <c r="V79" s="7"/>
      <c r="W79" s="7"/>
      <c r="X79" s="7"/>
      <c r="Y79" s="7"/>
      <c r="Z79" s="7"/>
    </row>
    <row r="80" ht="15" customHeight="1">
      <c r="A80" s="58">
        <v>76</v>
      </c>
      <c r="B80" t="s" s="59">
        <v>276</v>
      </c>
      <c r="C80" t="s" s="59">
        <v>268</v>
      </c>
      <c r="D80" t="s" s="59">
        <v>33</v>
      </c>
      <c r="E80" s="60">
        <v>0.6541</v>
      </c>
      <c r="F80" t="s" s="59">
        <v>49</v>
      </c>
      <c r="G80" s="61" cm="1">
        <f t="array" ref="G80">COUNTIF('الفحوصات_والاختبارات'!$C$5:$C$704,A80)</f>
        <v>6</v>
      </c>
      <c r="H80" s="61" cm="1">
        <f t="array" ref="H80">_xlfn.COUNTIFS('الفحوصات_والاختبارات'!$C$5:$C$704,A80,'الفحوصات_والاختبارات'!$G$5:$G$704,"مقبول من أول مرة")</f>
        <v>6</v>
      </c>
      <c r="I80" s="60" cm="1">
        <f t="array" ref="I80">_xlfn.IFERROR(H80/G80,0)</f>
        <v>1</v>
      </c>
      <c r="J80" s="61">
        <v>0</v>
      </c>
      <c r="K80" s="61">
        <v>5</v>
      </c>
      <c r="L80" s="62">
        <v>10272</v>
      </c>
      <c r="M80" t="str" s="63" cm="1">
        <f t="array" ref="M80">IF(AND(I80&gt;=0.9,J80&lt;=2),"مستقرة",IF(AND(I80&gt;=0.82,J80&lt;=5),"تحت المراقبة","حرجة"))</f>
        <v>مستقرة</v>
      </c>
      <c r="N80" s="64">
        <v>46313</v>
      </c>
      <c r="O80" s="64">
        <v>46348</v>
      </c>
      <c r="P80" s="61" cm="1">
        <f t="array" ref="P80">O80-N80</f>
        <v>35</v>
      </c>
      <c r="Q80" t="str" s="65" cm="1">
        <f t="array" ref="Q80">IF(D80="مكتملة","مرشحة للتسليم",IF(D80="تشطيبات","قيد التجهيز","تحت التنفيذ"))</f>
        <v>تحت التنفيذ</v>
      </c>
      <c r="R80" s="48"/>
      <c r="S80" s="7"/>
      <c r="T80" s="7"/>
      <c r="U80" s="7"/>
      <c r="V80" s="7"/>
      <c r="W80" s="7"/>
      <c r="X80" s="7"/>
      <c r="Y80" s="7"/>
      <c r="Z80" s="7"/>
    </row>
    <row r="81" ht="15" customHeight="1">
      <c r="A81" s="49">
        <v>77</v>
      </c>
      <c r="B81" t="s" s="50">
        <v>276</v>
      </c>
      <c r="C81" t="s" s="50">
        <v>271</v>
      </c>
      <c r="D81" t="s" s="50">
        <v>37</v>
      </c>
      <c r="E81" s="51">
        <v>0.8961</v>
      </c>
      <c r="F81" t="s" s="50">
        <v>50</v>
      </c>
      <c r="G81" s="52" cm="1">
        <f t="array" ref="G81">COUNTIF('الفحوصات_والاختبارات'!$C$5:$C$704,A81)</f>
        <v>9</v>
      </c>
      <c r="H81" s="52" cm="1">
        <f t="array" ref="H81">_xlfn.COUNTIFS('الفحوصات_والاختبارات'!$C$5:$C$704,A81,'الفحوصات_والاختبارات'!$G$5:$G$704,"مقبول من أول مرة")</f>
        <v>7</v>
      </c>
      <c r="I81" s="51" cm="1">
        <f t="array" ref="I81">_xlfn.IFERROR(H81/G81,0)</f>
        <v>0.777777777777778</v>
      </c>
      <c r="J81" s="52">
        <v>3</v>
      </c>
      <c r="K81" s="52">
        <v>4</v>
      </c>
      <c r="L81" s="53">
        <v>34070</v>
      </c>
      <c r="M81" t="str" s="54" cm="1">
        <f t="array" ref="M81">IF(AND(I81&gt;=0.9,J81&lt;=2),"مستقرة",IF(AND(I81&gt;=0.82,J81&lt;=5),"تحت المراقبة","حرجة"))</f>
        <v>حرجة</v>
      </c>
      <c r="N81" s="55">
        <v>46328</v>
      </c>
      <c r="O81" s="55">
        <v>46352</v>
      </c>
      <c r="P81" s="56" cm="1">
        <f t="array" ref="P81">O81-N81</f>
        <v>24</v>
      </c>
      <c r="Q81" t="str" s="57" cm="1">
        <f t="array" ref="Q81">IF(D81="مكتملة","مرشحة للتسليم",IF(D81="تشطيبات","قيد التجهيز","تحت التنفيذ"))</f>
        <v>قيد التجهيز</v>
      </c>
      <c r="R81" s="48"/>
      <c r="S81" s="7"/>
      <c r="T81" s="7"/>
      <c r="U81" s="7"/>
      <c r="V81" s="7"/>
      <c r="W81" s="7"/>
      <c r="X81" s="7"/>
      <c r="Y81" s="7"/>
      <c r="Z81" s="7"/>
    </row>
    <row r="82" ht="15" customHeight="1">
      <c r="A82" s="58">
        <v>78</v>
      </c>
      <c r="B82" t="s" s="59">
        <v>276</v>
      </c>
      <c r="C82" t="s" s="59">
        <v>272</v>
      </c>
      <c r="D82" t="s" s="59">
        <v>37</v>
      </c>
      <c r="E82" s="60">
        <v>0.8913</v>
      </c>
      <c r="F82" t="s" s="59">
        <v>50</v>
      </c>
      <c r="G82" s="61" cm="1">
        <f t="array" ref="G82">COUNTIF('الفحوصات_والاختبارات'!$C$5:$C$704,A82)</f>
        <v>9</v>
      </c>
      <c r="H82" s="61" cm="1">
        <f t="array" ref="H82">_xlfn.COUNTIFS('الفحوصات_والاختبارات'!$C$5:$C$704,A82,'الفحوصات_والاختبارات'!$G$5:$G$704,"مقبول من أول مرة")</f>
        <v>7</v>
      </c>
      <c r="I82" s="60" cm="1">
        <f t="array" ref="I82">_xlfn.IFERROR(H82/G82,0)</f>
        <v>0.777777777777778</v>
      </c>
      <c r="J82" s="61">
        <v>2</v>
      </c>
      <c r="K82" s="61">
        <v>3</v>
      </c>
      <c r="L82" s="62">
        <v>14269</v>
      </c>
      <c r="M82" t="str" s="63" cm="1">
        <f t="array" ref="M82">IF(AND(I82&gt;=0.9,J82&lt;=2),"مستقرة",IF(AND(I82&gt;=0.82,J82&lt;=5),"تحت المراقبة","حرجة"))</f>
        <v>حرجة</v>
      </c>
      <c r="N82" s="64">
        <v>46331</v>
      </c>
      <c r="O82" s="64">
        <v>46354</v>
      </c>
      <c r="P82" s="61" cm="1">
        <f t="array" ref="P82">O82-N82</f>
        <v>23</v>
      </c>
      <c r="Q82" t="str" s="65" cm="1">
        <f t="array" ref="Q82">IF(D82="مكتملة","مرشحة للتسليم",IF(D82="تشطيبات","قيد التجهيز","تحت التنفيذ"))</f>
        <v>قيد التجهيز</v>
      </c>
      <c r="R82" s="48"/>
      <c r="S82" s="7"/>
      <c r="T82" s="7"/>
      <c r="U82" s="7"/>
      <c r="V82" s="7"/>
      <c r="W82" s="7"/>
      <c r="X82" s="7"/>
      <c r="Y82" s="7"/>
      <c r="Z82" s="7"/>
    </row>
    <row r="83" ht="15" customHeight="1">
      <c r="A83" s="49">
        <v>79</v>
      </c>
      <c r="B83" t="s" s="50">
        <v>276</v>
      </c>
      <c r="C83" t="s" s="50">
        <v>268</v>
      </c>
      <c r="D83" t="s" s="50">
        <v>37</v>
      </c>
      <c r="E83" s="51">
        <v>0.8564000000000001</v>
      </c>
      <c r="F83" t="s" s="50">
        <v>50</v>
      </c>
      <c r="G83" s="52" cm="1">
        <f t="array" ref="G83">COUNTIF('الفحوصات_والاختبارات'!$C$5:$C$704,A83)</f>
        <v>9</v>
      </c>
      <c r="H83" s="52" cm="1">
        <f t="array" ref="H83">_xlfn.COUNTIFS('الفحوصات_والاختبارات'!$C$5:$C$704,A83,'الفحوصات_والاختبارات'!$G$5:$G$704,"مقبول من أول مرة")</f>
        <v>7</v>
      </c>
      <c r="I83" s="51" cm="1">
        <f t="array" ref="I83">_xlfn.IFERROR(H83/G83,0)</f>
        <v>0.777777777777778</v>
      </c>
      <c r="J83" s="52">
        <v>2</v>
      </c>
      <c r="K83" s="52">
        <v>4</v>
      </c>
      <c r="L83" s="53">
        <v>9347</v>
      </c>
      <c r="M83" t="str" s="54" cm="1">
        <f t="array" ref="M83">IF(AND(I83&gt;=0.9,J83&lt;=2),"مستقرة",IF(AND(I83&gt;=0.82,J83&lt;=5),"تحت المراقبة","حرجة"))</f>
        <v>حرجة</v>
      </c>
      <c r="N83" s="55">
        <v>46334</v>
      </c>
      <c r="O83" s="55">
        <v>46350</v>
      </c>
      <c r="P83" s="56" cm="1">
        <f t="array" ref="P83">O83-N83</f>
        <v>16</v>
      </c>
      <c r="Q83" t="str" s="57" cm="1">
        <f t="array" ref="Q83">IF(D83="مكتملة","مرشحة للتسليم",IF(D83="تشطيبات","قيد التجهيز","تحت التنفيذ"))</f>
        <v>قيد التجهيز</v>
      </c>
      <c r="R83" s="48"/>
      <c r="S83" s="7"/>
      <c r="T83" s="7"/>
      <c r="U83" s="7"/>
      <c r="V83" s="7"/>
      <c r="W83" s="7"/>
      <c r="X83" s="7"/>
      <c r="Y83" s="7"/>
      <c r="Z83" s="7"/>
    </row>
    <row r="84" ht="15" customHeight="1">
      <c r="A84" s="58">
        <v>80</v>
      </c>
      <c r="B84" t="s" s="59">
        <v>276</v>
      </c>
      <c r="C84" t="s" s="59">
        <v>271</v>
      </c>
      <c r="D84" t="s" s="59">
        <v>37</v>
      </c>
      <c r="E84" s="60">
        <v>0.9084</v>
      </c>
      <c r="F84" t="s" s="59">
        <v>50</v>
      </c>
      <c r="G84" s="61" cm="1">
        <f t="array" ref="G84">COUNTIF('الفحوصات_والاختبارات'!$C$5:$C$704,A84)</f>
        <v>9</v>
      </c>
      <c r="H84" s="61" cm="1">
        <f t="array" ref="H84">_xlfn.COUNTIFS('الفحوصات_والاختبارات'!$C$5:$C$704,A84,'الفحوصات_والاختبارات'!$G$5:$G$704,"مقبول من أول مرة")</f>
        <v>8</v>
      </c>
      <c r="I84" s="60" cm="1">
        <f t="array" ref="I84">_xlfn.IFERROR(H84/G84,0)</f>
        <v>0.888888888888889</v>
      </c>
      <c r="J84" s="61">
        <v>2</v>
      </c>
      <c r="K84" s="61">
        <v>3</v>
      </c>
      <c r="L84" s="62">
        <v>29618</v>
      </c>
      <c r="M84" t="str" s="63" cm="1">
        <f t="array" ref="M84">IF(AND(I84&gt;=0.9,J84&lt;=2),"مستقرة",IF(AND(I84&gt;=0.82,J84&lt;=5),"تحت المراقبة","حرجة"))</f>
        <v>تحت المراقبة</v>
      </c>
      <c r="N84" s="64">
        <v>46337</v>
      </c>
      <c r="O84" s="64">
        <v>46348</v>
      </c>
      <c r="P84" s="61" cm="1">
        <f t="array" ref="P84">O84-N84</f>
        <v>11</v>
      </c>
      <c r="Q84" t="str" s="65" cm="1">
        <f t="array" ref="Q84">IF(D84="مكتملة","مرشحة للتسليم",IF(D84="تشطيبات","قيد التجهيز","تحت التنفيذ"))</f>
        <v>قيد التجهيز</v>
      </c>
      <c r="R84" s="48"/>
      <c r="S84" s="7"/>
      <c r="T84" s="7"/>
      <c r="U84" s="7"/>
      <c r="V84" s="7"/>
      <c r="W84" s="7"/>
      <c r="X84" s="7"/>
      <c r="Y84" s="7"/>
      <c r="Z84" s="7"/>
    </row>
    <row r="85" ht="15" customHeight="1">
      <c r="A85" s="49">
        <v>81</v>
      </c>
      <c r="B85" t="s" s="50">
        <v>276</v>
      </c>
      <c r="C85" t="s" s="50">
        <v>272</v>
      </c>
      <c r="D85" t="s" s="50">
        <v>37</v>
      </c>
      <c r="E85" s="51">
        <v>0.868</v>
      </c>
      <c r="F85" t="s" s="50">
        <v>50</v>
      </c>
      <c r="G85" s="52" cm="1">
        <f t="array" ref="G85">COUNTIF('الفحوصات_والاختبارات'!$C$5:$C$704,A85)</f>
        <v>9</v>
      </c>
      <c r="H85" s="52" cm="1">
        <f t="array" ref="H85">_xlfn.COUNTIFS('الفحوصات_والاختبارات'!$C$5:$C$704,A85,'الفحوصات_والاختبارات'!$G$5:$G$704,"مقبول من أول مرة")</f>
        <v>7</v>
      </c>
      <c r="I85" s="51" cm="1">
        <f t="array" ref="I85">_xlfn.IFERROR(H85/G85,0)</f>
        <v>0.777777777777778</v>
      </c>
      <c r="J85" s="52">
        <v>2</v>
      </c>
      <c r="K85" s="52">
        <v>4</v>
      </c>
      <c r="L85" s="53">
        <v>15445</v>
      </c>
      <c r="M85" t="str" s="54" cm="1">
        <f t="array" ref="M85">IF(AND(I85&gt;=0.9,J85&lt;=2),"مستقرة",IF(AND(I85&gt;=0.82,J85&lt;=5),"تحت المراقبة","حرجة"))</f>
        <v>حرجة</v>
      </c>
      <c r="N85" s="55">
        <v>46340</v>
      </c>
      <c r="O85" s="55">
        <v>46358</v>
      </c>
      <c r="P85" s="56" cm="1">
        <f t="array" ref="P85">O85-N85</f>
        <v>18</v>
      </c>
      <c r="Q85" t="str" s="57" cm="1">
        <f t="array" ref="Q85">IF(D85="مكتملة","مرشحة للتسليم",IF(D85="تشطيبات","قيد التجهيز","تحت التنفيذ"))</f>
        <v>قيد التجهيز</v>
      </c>
      <c r="R85" s="48"/>
      <c r="S85" s="7"/>
      <c r="T85" s="7"/>
      <c r="U85" s="7"/>
      <c r="V85" s="7"/>
      <c r="W85" s="7"/>
      <c r="X85" s="7"/>
      <c r="Y85" s="7"/>
      <c r="Z85" s="7"/>
    </row>
    <row r="86" ht="15" customHeight="1">
      <c r="A86" s="58">
        <v>82</v>
      </c>
      <c r="B86" t="s" s="59">
        <v>276</v>
      </c>
      <c r="C86" t="s" s="59">
        <v>268</v>
      </c>
      <c r="D86" t="s" s="59">
        <v>37</v>
      </c>
      <c r="E86" s="60">
        <v>0.8784999999999999</v>
      </c>
      <c r="F86" t="s" s="59">
        <v>50</v>
      </c>
      <c r="G86" s="61" cm="1">
        <f t="array" ref="G86">COUNTIF('الفحوصات_والاختبارات'!$C$5:$C$704,A86)</f>
        <v>9</v>
      </c>
      <c r="H86" s="61" cm="1">
        <f t="array" ref="H86">_xlfn.COUNTIFS('الفحوصات_والاختبارات'!$C$5:$C$704,A86,'الفحوصات_والاختبارات'!$G$5:$G$704,"مقبول من أول مرة")</f>
        <v>8</v>
      </c>
      <c r="I86" s="60" cm="1">
        <f t="array" ref="I86">_xlfn.IFERROR(H86/G86,0)</f>
        <v>0.888888888888889</v>
      </c>
      <c r="J86" s="61">
        <v>0</v>
      </c>
      <c r="K86" s="61">
        <v>5</v>
      </c>
      <c r="L86" s="62">
        <v>14299</v>
      </c>
      <c r="M86" t="str" s="63" cm="1">
        <f t="array" ref="M86">IF(AND(I86&gt;=0.9,J86&lt;=2),"مستقرة",IF(AND(I86&gt;=0.82,J86&lt;=5),"تحت المراقبة","حرجة"))</f>
        <v>تحت المراقبة</v>
      </c>
      <c r="N86" s="64">
        <v>46343</v>
      </c>
      <c r="O86" s="64">
        <v>46365</v>
      </c>
      <c r="P86" s="61" cm="1">
        <f t="array" ref="P86">O86-N86</f>
        <v>22</v>
      </c>
      <c r="Q86" t="str" s="65" cm="1">
        <f t="array" ref="Q86">IF(D86="مكتملة","مرشحة للتسليم",IF(D86="تشطيبات","قيد التجهيز","تحت التنفيذ"))</f>
        <v>قيد التجهيز</v>
      </c>
      <c r="R86" s="48"/>
      <c r="S86" s="7"/>
      <c r="T86" s="7"/>
      <c r="U86" s="7"/>
      <c r="V86" s="7"/>
      <c r="W86" s="7"/>
      <c r="X86" s="7"/>
      <c r="Y86" s="7"/>
      <c r="Z86" s="7"/>
    </row>
    <row r="87" ht="15" customHeight="1">
      <c r="A87" s="49">
        <v>83</v>
      </c>
      <c r="B87" t="s" s="50">
        <v>276</v>
      </c>
      <c r="C87" t="s" s="50">
        <v>271</v>
      </c>
      <c r="D87" t="s" s="50">
        <v>37</v>
      </c>
      <c r="E87" s="51">
        <v>0.8912</v>
      </c>
      <c r="F87" t="s" s="50">
        <v>50</v>
      </c>
      <c r="G87" s="52" cm="1">
        <f t="array" ref="G87">COUNTIF('الفحوصات_والاختبارات'!$C$5:$C$704,A87)</f>
        <v>9</v>
      </c>
      <c r="H87" s="52" cm="1">
        <f t="array" ref="H87">_xlfn.COUNTIFS('الفحوصات_والاختبارات'!$C$5:$C$704,A87,'الفحوصات_والاختبارات'!$G$5:$G$704,"مقبول من أول مرة")</f>
        <v>5</v>
      </c>
      <c r="I87" s="51" cm="1">
        <f t="array" ref="I87">_xlfn.IFERROR(H87/G87,0)</f>
        <v>0.555555555555556</v>
      </c>
      <c r="J87" s="52">
        <v>1</v>
      </c>
      <c r="K87" s="52">
        <v>3</v>
      </c>
      <c r="L87" s="53">
        <v>5307</v>
      </c>
      <c r="M87" t="str" s="54" cm="1">
        <f t="array" ref="M87">IF(AND(I87&gt;=0.9,J87&lt;=2),"مستقرة",IF(AND(I87&gt;=0.82,J87&lt;=5),"تحت المراقبة","حرجة"))</f>
        <v>حرجة</v>
      </c>
      <c r="N87" s="55">
        <v>46346</v>
      </c>
      <c r="O87" s="55">
        <v>46370</v>
      </c>
      <c r="P87" s="56" cm="1">
        <f t="array" ref="P87">O87-N87</f>
        <v>24</v>
      </c>
      <c r="Q87" t="str" s="57" cm="1">
        <f t="array" ref="Q87">IF(D87="مكتملة","مرشحة للتسليم",IF(D87="تشطيبات","قيد التجهيز","تحت التنفيذ"))</f>
        <v>قيد التجهيز</v>
      </c>
      <c r="R87" s="48"/>
      <c r="S87" s="7"/>
      <c r="T87" s="7"/>
      <c r="U87" s="7"/>
      <c r="V87" s="7"/>
      <c r="W87" s="7"/>
      <c r="X87" s="7"/>
      <c r="Y87" s="7"/>
      <c r="Z87" s="7"/>
    </row>
    <row r="88" ht="15" customHeight="1">
      <c r="A88" s="58">
        <v>84</v>
      </c>
      <c r="B88" t="s" s="59">
        <v>276</v>
      </c>
      <c r="C88" t="s" s="59">
        <v>272</v>
      </c>
      <c r="D88" t="s" s="59">
        <v>37</v>
      </c>
      <c r="E88" s="60">
        <v>0.7914</v>
      </c>
      <c r="F88" t="s" s="59">
        <v>50</v>
      </c>
      <c r="G88" s="61" cm="1">
        <f t="array" ref="G88">COUNTIF('الفحوصات_والاختبارات'!$C$5:$C$704,A88)</f>
        <v>9</v>
      </c>
      <c r="H88" s="61" cm="1">
        <f t="array" ref="H88">_xlfn.COUNTIFS('الفحوصات_والاختبارات'!$C$5:$C$704,A88,'الفحوصات_والاختبارات'!$G$5:$G$704,"مقبول من أول مرة")</f>
        <v>9</v>
      </c>
      <c r="I88" s="60" cm="1">
        <f t="array" ref="I88">_xlfn.IFERROR(H88/G88,0)</f>
        <v>1</v>
      </c>
      <c r="J88" s="61">
        <v>3</v>
      </c>
      <c r="K88" s="61">
        <v>2</v>
      </c>
      <c r="L88" s="62">
        <v>16082</v>
      </c>
      <c r="M88" t="str" s="63" cm="1">
        <f t="array" ref="M88">IF(AND(I88&gt;=0.9,J88&lt;=2),"مستقرة",IF(AND(I88&gt;=0.82,J88&lt;=5),"تحت المراقبة","حرجة"))</f>
        <v>تحت المراقبة</v>
      </c>
      <c r="N88" s="64">
        <v>46349</v>
      </c>
      <c r="O88" s="64">
        <v>46373</v>
      </c>
      <c r="P88" s="61" cm="1">
        <f t="array" ref="P88">O88-N88</f>
        <v>24</v>
      </c>
      <c r="Q88" t="str" s="65" cm="1">
        <f t="array" ref="Q88">IF(D88="مكتملة","مرشحة للتسليم",IF(D88="تشطيبات","قيد التجهيز","تحت التنفيذ"))</f>
        <v>قيد التجهيز</v>
      </c>
      <c r="R88" s="48"/>
      <c r="S88" s="7"/>
      <c r="T88" s="7"/>
      <c r="U88" s="7"/>
      <c r="V88" s="7"/>
      <c r="W88" s="7"/>
      <c r="X88" s="7"/>
      <c r="Y88" s="7"/>
      <c r="Z88" s="7"/>
    </row>
    <row r="89" ht="15" customHeight="1">
      <c r="A89" s="49">
        <v>85</v>
      </c>
      <c r="B89" t="s" s="50">
        <v>276</v>
      </c>
      <c r="C89" t="s" s="50">
        <v>268</v>
      </c>
      <c r="D89" t="s" s="50">
        <v>37</v>
      </c>
      <c r="E89" s="51">
        <v>0.8592</v>
      </c>
      <c r="F89" t="s" s="50">
        <v>50</v>
      </c>
      <c r="G89" s="52" cm="1">
        <f t="array" ref="G89">COUNTIF('الفحوصات_والاختبارات'!$C$5:$C$704,A89)</f>
        <v>9</v>
      </c>
      <c r="H89" s="52" cm="1">
        <f t="array" ref="H89">_xlfn.COUNTIFS('الفحوصات_والاختبارات'!$C$5:$C$704,A89,'الفحوصات_والاختبارات'!$G$5:$G$704,"مقبول من أول مرة")</f>
        <v>7</v>
      </c>
      <c r="I89" s="51" cm="1">
        <f t="array" ref="I89">_xlfn.IFERROR(H89/G89,0)</f>
        <v>0.777777777777778</v>
      </c>
      <c r="J89" s="52">
        <v>1</v>
      </c>
      <c r="K89" s="52">
        <v>3</v>
      </c>
      <c r="L89" s="53">
        <v>17564</v>
      </c>
      <c r="M89" t="str" s="54" cm="1">
        <f t="array" ref="M89">IF(AND(I89&gt;=0.9,J89&lt;=2),"مستقرة",IF(AND(I89&gt;=0.82,J89&lt;=5),"تحت المراقبة","حرجة"))</f>
        <v>حرجة</v>
      </c>
      <c r="N89" s="55">
        <v>46352</v>
      </c>
      <c r="O89" s="55">
        <v>46361</v>
      </c>
      <c r="P89" s="56" cm="1">
        <f t="array" ref="P89">O89-N89</f>
        <v>9</v>
      </c>
      <c r="Q89" t="str" s="57" cm="1">
        <f t="array" ref="Q89">IF(D89="مكتملة","مرشحة للتسليم",IF(D89="تشطيبات","قيد التجهيز","تحت التنفيذ"))</f>
        <v>قيد التجهيز</v>
      </c>
      <c r="R89" s="48"/>
      <c r="S89" s="7"/>
      <c r="T89" s="7"/>
      <c r="U89" s="7"/>
      <c r="V89" s="7"/>
      <c r="W89" s="7"/>
      <c r="X89" s="7"/>
      <c r="Y89" s="7"/>
      <c r="Z89" s="7"/>
    </row>
    <row r="90" ht="15" customHeight="1">
      <c r="A90" s="58">
        <v>86</v>
      </c>
      <c r="B90" t="s" s="59">
        <v>276</v>
      </c>
      <c r="C90" t="s" s="59">
        <v>271</v>
      </c>
      <c r="D90" t="s" s="59">
        <v>37</v>
      </c>
      <c r="E90" s="60">
        <v>0.8558</v>
      </c>
      <c r="F90" t="s" s="59">
        <v>50</v>
      </c>
      <c r="G90" s="61" cm="1">
        <f t="array" ref="G90">COUNTIF('الفحوصات_والاختبارات'!$C$5:$C$704,A90)</f>
        <v>9</v>
      </c>
      <c r="H90" s="61" cm="1">
        <f t="array" ref="H90">_xlfn.COUNTIFS('الفحوصات_والاختبارات'!$C$5:$C$704,A90,'الفحوصات_والاختبارات'!$G$5:$G$704,"مقبول من أول مرة")</f>
        <v>8</v>
      </c>
      <c r="I90" s="60" cm="1">
        <f t="array" ref="I90">_xlfn.IFERROR(H90/G90,0)</f>
        <v>0.888888888888889</v>
      </c>
      <c r="J90" s="61">
        <v>2</v>
      </c>
      <c r="K90" s="61">
        <v>5</v>
      </c>
      <c r="L90" s="62">
        <v>25093</v>
      </c>
      <c r="M90" t="str" s="63" cm="1">
        <f t="array" ref="M90">IF(AND(I90&gt;=0.9,J90&lt;=2),"مستقرة",IF(AND(I90&gt;=0.82,J90&lt;=5),"تحت المراقبة","حرجة"))</f>
        <v>تحت المراقبة</v>
      </c>
      <c r="N90" s="64">
        <v>46355</v>
      </c>
      <c r="O90" s="64">
        <v>46364</v>
      </c>
      <c r="P90" s="61" cm="1">
        <f t="array" ref="P90">O90-N90</f>
        <v>9</v>
      </c>
      <c r="Q90" t="str" s="65" cm="1">
        <f t="array" ref="Q90">IF(D90="مكتملة","مرشحة للتسليم",IF(D90="تشطيبات","قيد التجهيز","تحت التنفيذ"))</f>
        <v>قيد التجهيز</v>
      </c>
      <c r="R90" s="48"/>
      <c r="S90" s="7"/>
      <c r="T90" s="7"/>
      <c r="U90" s="7"/>
      <c r="V90" s="7"/>
      <c r="W90" s="7"/>
      <c r="X90" s="7"/>
      <c r="Y90" s="7"/>
      <c r="Z90" s="7"/>
    </row>
    <row r="91" ht="15" customHeight="1">
      <c r="A91" s="49">
        <v>87</v>
      </c>
      <c r="B91" t="s" s="50">
        <v>276</v>
      </c>
      <c r="C91" t="s" s="50">
        <v>272</v>
      </c>
      <c r="D91" t="s" s="50">
        <v>37</v>
      </c>
      <c r="E91" s="51">
        <v>0.9032</v>
      </c>
      <c r="F91" t="s" s="50">
        <v>50</v>
      </c>
      <c r="G91" s="52" cm="1">
        <f t="array" ref="G91">COUNTIF('الفحوصات_والاختبارات'!$C$5:$C$704,A91)</f>
        <v>9</v>
      </c>
      <c r="H91" s="52" cm="1">
        <f t="array" ref="H91">_xlfn.COUNTIFS('الفحوصات_والاختبارات'!$C$5:$C$704,A91,'الفحوصات_والاختبارات'!$G$5:$G$704,"مقبول من أول مرة")</f>
        <v>8</v>
      </c>
      <c r="I91" s="51" cm="1">
        <f t="array" ref="I91">_xlfn.IFERROR(H91/G91,0)</f>
        <v>0.888888888888889</v>
      </c>
      <c r="J91" s="52">
        <v>3</v>
      </c>
      <c r="K91" s="52">
        <v>3</v>
      </c>
      <c r="L91" s="53">
        <v>25697</v>
      </c>
      <c r="M91" t="str" s="54" cm="1">
        <f t="array" ref="M91">IF(AND(I91&gt;=0.9,J91&lt;=2),"مستقرة",IF(AND(I91&gt;=0.82,J91&lt;=5),"تحت المراقبة","حرجة"))</f>
        <v>تحت المراقبة</v>
      </c>
      <c r="N91" s="55">
        <v>46358</v>
      </c>
      <c r="O91" s="55">
        <v>46374</v>
      </c>
      <c r="P91" s="56" cm="1">
        <f t="array" ref="P91">O91-N91</f>
        <v>16</v>
      </c>
      <c r="Q91" t="str" s="57" cm="1">
        <f t="array" ref="Q91">IF(D91="مكتملة","مرشحة للتسليم",IF(D91="تشطيبات","قيد التجهيز","تحت التنفيذ"))</f>
        <v>قيد التجهيز</v>
      </c>
      <c r="R91" s="48"/>
      <c r="S91" s="7"/>
      <c r="T91" s="7"/>
      <c r="U91" s="7"/>
      <c r="V91" s="7"/>
      <c r="W91" s="7"/>
      <c r="X91" s="7"/>
      <c r="Y91" s="7"/>
      <c r="Z91" s="7"/>
    </row>
    <row r="92" ht="15" customHeight="1">
      <c r="A92" s="58">
        <v>88</v>
      </c>
      <c r="B92" t="s" s="59">
        <v>276</v>
      </c>
      <c r="C92" t="s" s="59">
        <v>268</v>
      </c>
      <c r="D92" t="s" s="59">
        <v>37</v>
      </c>
      <c r="E92" s="60">
        <v>0.7927999999999999</v>
      </c>
      <c r="F92" t="s" s="59">
        <v>50</v>
      </c>
      <c r="G92" s="61" cm="1">
        <f t="array" ref="G92">COUNTIF('الفحوصات_والاختبارات'!$C$5:$C$704,A92)</f>
        <v>9</v>
      </c>
      <c r="H92" s="61" cm="1">
        <f t="array" ref="H92">_xlfn.COUNTIFS('الفحوصات_والاختبارات'!$C$5:$C$704,A92,'الفحوصات_والاختبارات'!$G$5:$G$704,"مقبول من أول مرة")</f>
        <v>9</v>
      </c>
      <c r="I92" s="60" cm="1">
        <f t="array" ref="I92">_xlfn.IFERROR(H92/G92,0)</f>
        <v>1</v>
      </c>
      <c r="J92" s="61">
        <v>0</v>
      </c>
      <c r="K92" s="61">
        <v>4</v>
      </c>
      <c r="L92" s="62">
        <v>3475</v>
      </c>
      <c r="M92" t="str" s="63" cm="1">
        <f t="array" ref="M92">IF(AND(I92&gt;=0.9,J92&lt;=2),"مستقرة",IF(AND(I92&gt;=0.82,J92&lt;=5),"تحت المراقبة","حرجة"))</f>
        <v>مستقرة</v>
      </c>
      <c r="N92" s="64">
        <v>46361</v>
      </c>
      <c r="O92" s="64">
        <v>46371</v>
      </c>
      <c r="P92" s="61" cm="1">
        <f t="array" ref="P92">O92-N92</f>
        <v>10</v>
      </c>
      <c r="Q92" t="str" s="65" cm="1">
        <f t="array" ref="Q92">IF(D92="مكتملة","مرشحة للتسليم",IF(D92="تشطيبات","قيد التجهيز","تحت التنفيذ"))</f>
        <v>قيد التجهيز</v>
      </c>
      <c r="R92" s="48"/>
      <c r="S92" s="7"/>
      <c r="T92" s="7"/>
      <c r="U92" s="7"/>
      <c r="V92" s="7"/>
      <c r="W92" s="7"/>
      <c r="X92" s="7"/>
      <c r="Y92" s="7"/>
      <c r="Z92" s="7"/>
    </row>
    <row r="93" ht="15" customHeight="1">
      <c r="A93" s="49">
        <v>89</v>
      </c>
      <c r="B93" t="s" s="50">
        <v>276</v>
      </c>
      <c r="C93" t="s" s="50">
        <v>271</v>
      </c>
      <c r="D93" t="s" s="50">
        <v>37</v>
      </c>
      <c r="E93" s="51">
        <v>0.8082</v>
      </c>
      <c r="F93" t="s" s="50">
        <v>50</v>
      </c>
      <c r="G93" s="52" cm="1">
        <f t="array" ref="G93">COUNTIF('الفحوصات_والاختبارات'!$C$5:$C$704,A93)</f>
        <v>9</v>
      </c>
      <c r="H93" s="52" cm="1">
        <f t="array" ref="H93">_xlfn.COUNTIFS('الفحوصات_والاختبارات'!$C$5:$C$704,A93,'الفحوصات_والاختبارات'!$G$5:$G$704,"مقبول من أول مرة")</f>
        <v>8</v>
      </c>
      <c r="I93" s="51" cm="1">
        <f t="array" ref="I93">_xlfn.IFERROR(H93/G93,0)</f>
        <v>0.888888888888889</v>
      </c>
      <c r="J93" s="52">
        <v>0</v>
      </c>
      <c r="K93" s="52">
        <v>6</v>
      </c>
      <c r="L93" s="53">
        <v>13422</v>
      </c>
      <c r="M93" t="str" s="54" cm="1">
        <f t="array" ref="M93">IF(AND(I93&gt;=0.9,J93&lt;=2),"مستقرة",IF(AND(I93&gt;=0.82,J93&lt;=5),"تحت المراقبة","حرجة"))</f>
        <v>تحت المراقبة</v>
      </c>
      <c r="N93" s="55">
        <v>46364</v>
      </c>
      <c r="O93" s="55">
        <v>46373</v>
      </c>
      <c r="P93" s="56" cm="1">
        <f t="array" ref="P93">O93-N93</f>
        <v>9</v>
      </c>
      <c r="Q93" t="str" s="57" cm="1">
        <f t="array" ref="Q93">IF(D93="مكتملة","مرشحة للتسليم",IF(D93="تشطيبات","قيد التجهيز","تحت التنفيذ"))</f>
        <v>قيد التجهيز</v>
      </c>
      <c r="R93" s="48"/>
      <c r="S93" s="7"/>
      <c r="T93" s="7"/>
      <c r="U93" s="7"/>
      <c r="V93" s="7"/>
      <c r="W93" s="7"/>
      <c r="X93" s="7"/>
      <c r="Y93" s="7"/>
      <c r="Z93" s="7"/>
    </row>
    <row r="94" ht="15" customHeight="1">
      <c r="A94" s="58">
        <v>90</v>
      </c>
      <c r="B94" t="s" s="59">
        <v>276</v>
      </c>
      <c r="C94" t="s" s="59">
        <v>272</v>
      </c>
      <c r="D94" t="s" s="59">
        <v>37</v>
      </c>
      <c r="E94" s="60">
        <v>0.8819</v>
      </c>
      <c r="F94" t="s" s="59">
        <v>50</v>
      </c>
      <c r="G94" s="61" cm="1">
        <f t="array" ref="G94">COUNTIF('الفحوصات_والاختبارات'!$C$5:$C$704,A94)</f>
        <v>9</v>
      </c>
      <c r="H94" s="61" cm="1">
        <f t="array" ref="H94">_xlfn.COUNTIFS('الفحوصات_والاختبارات'!$C$5:$C$704,A94,'الفحوصات_والاختبارات'!$G$5:$G$704,"مقبول من أول مرة")</f>
        <v>9</v>
      </c>
      <c r="I94" s="60" cm="1">
        <f t="array" ref="I94">_xlfn.IFERROR(H94/G94,0)</f>
        <v>1</v>
      </c>
      <c r="J94" s="61">
        <v>1</v>
      </c>
      <c r="K94" s="61">
        <v>4</v>
      </c>
      <c r="L94" s="62">
        <v>8517</v>
      </c>
      <c r="M94" t="str" s="63" cm="1">
        <f t="array" ref="M94">IF(AND(I94&gt;=0.9,J94&lt;=2),"مستقرة",IF(AND(I94&gt;=0.82,J94&lt;=5),"تحت المراقبة","حرجة"))</f>
        <v>مستقرة</v>
      </c>
      <c r="N94" s="64">
        <v>46367</v>
      </c>
      <c r="O94" s="64">
        <v>46385</v>
      </c>
      <c r="P94" s="61" cm="1">
        <f t="array" ref="P94">O94-N94</f>
        <v>18</v>
      </c>
      <c r="Q94" t="str" s="65" cm="1">
        <f t="array" ref="Q94">IF(D94="مكتملة","مرشحة للتسليم",IF(D94="تشطيبات","قيد التجهيز","تحت التنفيذ"))</f>
        <v>قيد التجهيز</v>
      </c>
      <c r="R94" s="48"/>
      <c r="S94" s="7"/>
      <c r="T94" s="7"/>
      <c r="U94" s="7"/>
      <c r="V94" s="7"/>
      <c r="W94" s="7"/>
      <c r="X94" s="7"/>
      <c r="Y94" s="7"/>
      <c r="Z94" s="7"/>
    </row>
    <row r="95" ht="15" customHeight="1">
      <c r="A95" s="49">
        <v>91</v>
      </c>
      <c r="B95" t="s" s="50">
        <v>278</v>
      </c>
      <c r="C95" t="s" s="50">
        <v>268</v>
      </c>
      <c r="D95" t="s" s="50">
        <v>37</v>
      </c>
      <c r="E95" s="51">
        <v>0.8078</v>
      </c>
      <c r="F95" t="s" s="50">
        <v>50</v>
      </c>
      <c r="G95" s="52" cm="1">
        <f t="array" ref="G95">COUNTIF('الفحوصات_والاختبارات'!$C$5:$C$704,A95)</f>
        <v>9</v>
      </c>
      <c r="H95" s="52" cm="1">
        <f t="array" ref="H95">_xlfn.COUNTIFS('الفحوصات_والاختبارات'!$C$5:$C$704,A95,'الفحوصات_والاختبارات'!$G$5:$G$704,"مقبول من أول مرة")</f>
        <v>8</v>
      </c>
      <c r="I95" s="51" cm="1">
        <f t="array" ref="I95">_xlfn.IFERROR(H95/G95,0)</f>
        <v>0.888888888888889</v>
      </c>
      <c r="J95" s="52">
        <v>2</v>
      </c>
      <c r="K95" s="52">
        <v>4</v>
      </c>
      <c r="L95" s="53">
        <v>10723</v>
      </c>
      <c r="M95" t="str" s="54" cm="1">
        <f t="array" ref="M95">IF(AND(I95&gt;=0.9,J95&lt;=2),"مستقرة",IF(AND(I95&gt;=0.82,J95&lt;=5),"تحت المراقبة","حرجة"))</f>
        <v>تحت المراقبة</v>
      </c>
      <c r="N95" s="55">
        <v>46370</v>
      </c>
      <c r="O95" s="55">
        <v>46392</v>
      </c>
      <c r="P95" s="56" cm="1">
        <f t="array" ref="P95">O95-N95</f>
        <v>22</v>
      </c>
      <c r="Q95" t="str" s="57" cm="1">
        <f t="array" ref="Q95">IF(D95="مكتملة","مرشحة للتسليم",IF(D95="تشطيبات","قيد التجهيز","تحت التنفيذ"))</f>
        <v>قيد التجهيز</v>
      </c>
      <c r="R95" s="48"/>
      <c r="S95" s="7"/>
      <c r="T95" s="7"/>
      <c r="U95" s="7"/>
      <c r="V95" s="7"/>
      <c r="W95" s="7"/>
      <c r="X95" s="7"/>
      <c r="Y95" s="7"/>
      <c r="Z95" s="7"/>
    </row>
    <row r="96" ht="15" customHeight="1">
      <c r="A96" s="58">
        <v>92</v>
      </c>
      <c r="B96" t="s" s="59">
        <v>278</v>
      </c>
      <c r="C96" t="s" s="59">
        <v>271</v>
      </c>
      <c r="D96" t="s" s="59">
        <v>37</v>
      </c>
      <c r="E96" s="60">
        <v>0.7926</v>
      </c>
      <c r="F96" t="s" s="59">
        <v>50</v>
      </c>
      <c r="G96" s="61" cm="1">
        <f t="array" ref="G96">COUNTIF('الفحوصات_والاختبارات'!$C$5:$C$704,A96)</f>
        <v>9</v>
      </c>
      <c r="H96" s="61" cm="1">
        <f t="array" ref="H96">_xlfn.COUNTIFS('الفحوصات_والاختبارات'!$C$5:$C$704,A96,'الفحوصات_والاختبارات'!$G$5:$G$704,"مقبول من أول مرة")</f>
        <v>8</v>
      </c>
      <c r="I96" s="60" cm="1">
        <f t="array" ref="I96">_xlfn.IFERROR(H96/G96,0)</f>
        <v>0.888888888888889</v>
      </c>
      <c r="J96" s="61">
        <v>2</v>
      </c>
      <c r="K96" s="61">
        <v>5</v>
      </c>
      <c r="L96" s="62">
        <v>29545</v>
      </c>
      <c r="M96" t="str" s="63" cm="1">
        <f t="array" ref="M96">IF(AND(I96&gt;=0.9,J96&lt;=2),"مستقرة",IF(AND(I96&gt;=0.82,J96&lt;=5),"تحت المراقبة","حرجة"))</f>
        <v>تحت المراقبة</v>
      </c>
      <c r="N96" s="64">
        <v>46373</v>
      </c>
      <c r="O96" s="64">
        <v>46385</v>
      </c>
      <c r="P96" s="61" cm="1">
        <f t="array" ref="P96">O96-N96</f>
        <v>12</v>
      </c>
      <c r="Q96" t="str" s="65" cm="1">
        <f t="array" ref="Q96">IF(D96="مكتملة","مرشحة للتسليم",IF(D96="تشطيبات","قيد التجهيز","تحت التنفيذ"))</f>
        <v>قيد التجهيز</v>
      </c>
      <c r="R96" s="48"/>
      <c r="S96" s="7"/>
      <c r="T96" s="7"/>
      <c r="U96" s="7"/>
      <c r="V96" s="7"/>
      <c r="W96" s="7"/>
      <c r="X96" s="7"/>
      <c r="Y96" s="7"/>
      <c r="Z96" s="7"/>
    </row>
    <row r="97" ht="15" customHeight="1">
      <c r="A97" s="49">
        <v>93</v>
      </c>
      <c r="B97" t="s" s="50">
        <v>278</v>
      </c>
      <c r="C97" t="s" s="50">
        <v>272</v>
      </c>
      <c r="D97" t="s" s="50">
        <v>37</v>
      </c>
      <c r="E97" s="51">
        <v>0.8102</v>
      </c>
      <c r="F97" t="s" s="50">
        <v>50</v>
      </c>
      <c r="G97" s="52" cm="1">
        <f t="array" ref="G97">COUNTIF('الفحوصات_والاختبارات'!$C$5:$C$704,A97)</f>
        <v>9</v>
      </c>
      <c r="H97" s="52" cm="1">
        <f t="array" ref="H97">_xlfn.COUNTIFS('الفحوصات_والاختبارات'!$C$5:$C$704,A97,'الفحوصات_والاختبارات'!$G$5:$G$704,"مقبول من أول مرة")</f>
        <v>8</v>
      </c>
      <c r="I97" s="51" cm="1">
        <f t="array" ref="I97">_xlfn.IFERROR(H97/G97,0)</f>
        <v>0.888888888888889</v>
      </c>
      <c r="J97" s="52">
        <v>3</v>
      </c>
      <c r="K97" s="52">
        <v>1</v>
      </c>
      <c r="L97" s="53">
        <v>10519</v>
      </c>
      <c r="M97" t="str" s="54" cm="1">
        <f t="array" ref="M97">IF(AND(I97&gt;=0.9,J97&lt;=2),"مستقرة",IF(AND(I97&gt;=0.82,J97&lt;=5),"تحت المراقبة","حرجة"))</f>
        <v>تحت المراقبة</v>
      </c>
      <c r="N97" s="55">
        <v>46376</v>
      </c>
      <c r="O97" s="55">
        <v>46398</v>
      </c>
      <c r="P97" s="56" cm="1">
        <f t="array" ref="P97">O97-N97</f>
        <v>22</v>
      </c>
      <c r="Q97" t="str" s="57" cm="1">
        <f t="array" ref="Q97">IF(D97="مكتملة","مرشحة للتسليم",IF(D97="تشطيبات","قيد التجهيز","تحت التنفيذ"))</f>
        <v>قيد التجهيز</v>
      </c>
      <c r="R97" s="48"/>
      <c r="S97" s="7"/>
      <c r="T97" s="7"/>
      <c r="U97" s="7"/>
      <c r="V97" s="7"/>
      <c r="W97" s="7"/>
      <c r="X97" s="7"/>
      <c r="Y97" s="7"/>
      <c r="Z97" s="7"/>
    </row>
    <row r="98" ht="15" customHeight="1">
      <c r="A98" s="58">
        <v>94</v>
      </c>
      <c r="B98" t="s" s="59">
        <v>278</v>
      </c>
      <c r="C98" t="s" s="59">
        <v>268</v>
      </c>
      <c r="D98" t="s" s="59">
        <v>37</v>
      </c>
      <c r="E98" s="60">
        <v>0.8583</v>
      </c>
      <c r="F98" t="s" s="59">
        <v>50</v>
      </c>
      <c r="G98" s="61" cm="1">
        <f t="array" ref="G98">COUNTIF('الفحوصات_والاختبارات'!$C$5:$C$704,A98)</f>
        <v>9</v>
      </c>
      <c r="H98" s="61" cm="1">
        <f t="array" ref="H98">_xlfn.COUNTIFS('الفحوصات_والاختبارات'!$C$5:$C$704,A98,'الفحوصات_والاختبارات'!$G$5:$G$704,"مقبول من أول مرة")</f>
        <v>5</v>
      </c>
      <c r="I98" s="60" cm="1">
        <f t="array" ref="I98">_xlfn.IFERROR(H98/G98,0)</f>
        <v>0.555555555555556</v>
      </c>
      <c r="J98" s="61">
        <v>2</v>
      </c>
      <c r="K98" s="61">
        <v>5</v>
      </c>
      <c r="L98" s="62">
        <v>26455</v>
      </c>
      <c r="M98" t="str" s="63" cm="1">
        <f t="array" ref="M98">IF(AND(I98&gt;=0.9,J98&lt;=2),"مستقرة",IF(AND(I98&gt;=0.82,J98&lt;=5),"تحت المراقبة","حرجة"))</f>
        <v>حرجة</v>
      </c>
      <c r="N98" s="64">
        <v>46379</v>
      </c>
      <c r="O98" s="64">
        <v>46401</v>
      </c>
      <c r="P98" s="61" cm="1">
        <f t="array" ref="P98">O98-N98</f>
        <v>22</v>
      </c>
      <c r="Q98" t="str" s="65" cm="1">
        <f t="array" ref="Q98">IF(D98="مكتملة","مرشحة للتسليم",IF(D98="تشطيبات","قيد التجهيز","تحت التنفيذ"))</f>
        <v>قيد التجهيز</v>
      </c>
      <c r="R98" s="48"/>
      <c r="S98" s="7"/>
      <c r="T98" s="7"/>
      <c r="U98" s="7"/>
      <c r="V98" s="7"/>
      <c r="W98" s="7"/>
      <c r="X98" s="7"/>
      <c r="Y98" s="7"/>
      <c r="Z98" s="7"/>
    </row>
    <row r="99" ht="15" customHeight="1">
      <c r="A99" s="49">
        <v>95</v>
      </c>
      <c r="B99" t="s" s="50">
        <v>278</v>
      </c>
      <c r="C99" t="s" s="50">
        <v>271</v>
      </c>
      <c r="D99" t="s" s="50">
        <v>37</v>
      </c>
      <c r="E99" s="51">
        <v>0.8993</v>
      </c>
      <c r="F99" t="s" s="50">
        <v>50</v>
      </c>
      <c r="G99" s="52" cm="1">
        <f t="array" ref="G99">COUNTIF('الفحوصات_والاختبارات'!$C$5:$C$704,A99)</f>
        <v>9</v>
      </c>
      <c r="H99" s="52" cm="1">
        <f t="array" ref="H99">_xlfn.COUNTIFS('الفحوصات_والاختبارات'!$C$5:$C$704,A99,'الفحوصات_والاختبارات'!$G$5:$G$704,"مقبول من أول مرة")</f>
        <v>8</v>
      </c>
      <c r="I99" s="51" cm="1">
        <f t="array" ref="I99">_xlfn.IFERROR(H99/G99,0)</f>
        <v>0.888888888888889</v>
      </c>
      <c r="J99" s="52">
        <v>1</v>
      </c>
      <c r="K99" s="52">
        <v>6</v>
      </c>
      <c r="L99" s="53">
        <v>33626</v>
      </c>
      <c r="M99" t="str" s="54" cm="1">
        <f t="array" ref="M99">IF(AND(I99&gt;=0.9,J99&lt;=2),"مستقرة",IF(AND(I99&gt;=0.82,J99&lt;=5),"تحت المراقبة","حرجة"))</f>
        <v>تحت المراقبة</v>
      </c>
      <c r="N99" s="55">
        <v>46382</v>
      </c>
      <c r="O99" s="55">
        <v>46389</v>
      </c>
      <c r="P99" s="56" cm="1">
        <f t="array" ref="P99">O99-N99</f>
        <v>7</v>
      </c>
      <c r="Q99" t="str" s="57" cm="1">
        <f t="array" ref="Q99">IF(D99="مكتملة","مرشحة للتسليم",IF(D99="تشطيبات","قيد التجهيز","تحت التنفيذ"))</f>
        <v>قيد التجهيز</v>
      </c>
      <c r="R99" s="48"/>
      <c r="S99" s="7"/>
      <c r="T99" s="7"/>
      <c r="U99" s="7"/>
      <c r="V99" s="7"/>
      <c r="W99" s="7"/>
      <c r="X99" s="7"/>
      <c r="Y99" s="7"/>
      <c r="Z99" s="7"/>
    </row>
    <row r="100" ht="15" customHeight="1">
      <c r="A100" s="58">
        <v>96</v>
      </c>
      <c r="B100" t="s" s="59">
        <v>278</v>
      </c>
      <c r="C100" t="s" s="59">
        <v>272</v>
      </c>
      <c r="D100" t="s" s="59">
        <v>37</v>
      </c>
      <c r="E100" s="60">
        <v>0.8606</v>
      </c>
      <c r="F100" t="s" s="59">
        <v>50</v>
      </c>
      <c r="G100" s="61" cm="1">
        <f t="array" ref="G100">COUNTIF('الفحوصات_والاختبارات'!$C$5:$C$704,A100)</f>
        <v>9</v>
      </c>
      <c r="H100" s="61" cm="1">
        <f t="array" ref="H100">_xlfn.COUNTIFS('الفحوصات_والاختبارات'!$C$5:$C$704,A100,'الفحوصات_والاختبارات'!$G$5:$G$704,"مقبول من أول مرة")</f>
        <v>8</v>
      </c>
      <c r="I100" s="60" cm="1">
        <f t="array" ref="I100">_xlfn.IFERROR(H100/G100,0)</f>
        <v>0.888888888888889</v>
      </c>
      <c r="J100" s="61">
        <v>2</v>
      </c>
      <c r="K100" s="61">
        <v>3</v>
      </c>
      <c r="L100" s="62">
        <v>9403</v>
      </c>
      <c r="M100" t="str" s="63" cm="1">
        <f t="array" ref="M100">IF(AND(I100&gt;=0.9,J100&lt;=2),"مستقرة",IF(AND(I100&gt;=0.82,J100&lt;=5),"تحت المراقبة","حرجة"))</f>
        <v>تحت المراقبة</v>
      </c>
      <c r="N100" s="64">
        <v>46385</v>
      </c>
      <c r="O100" s="64">
        <v>46405</v>
      </c>
      <c r="P100" s="61" cm="1">
        <f t="array" ref="P100">O100-N100</f>
        <v>20</v>
      </c>
      <c r="Q100" t="str" s="65" cm="1">
        <f t="array" ref="Q100">IF(D100="مكتملة","مرشحة للتسليم",IF(D100="تشطيبات","قيد التجهيز","تحت التنفيذ"))</f>
        <v>قيد التجهيز</v>
      </c>
      <c r="R100" s="48"/>
      <c r="S100" s="7"/>
      <c r="T100" s="7"/>
      <c r="U100" s="7"/>
      <c r="V100" s="7"/>
      <c r="W100" s="7"/>
      <c r="X100" s="7"/>
      <c r="Y100" s="7"/>
      <c r="Z100" s="7"/>
    </row>
    <row r="101" ht="15" customHeight="1">
      <c r="A101" s="49">
        <v>97</v>
      </c>
      <c r="B101" t="s" s="50">
        <v>278</v>
      </c>
      <c r="C101" t="s" s="50">
        <v>268</v>
      </c>
      <c r="D101" t="s" s="50">
        <v>40</v>
      </c>
      <c r="E101" s="51">
        <v>0.9664</v>
      </c>
      <c r="F101" t="s" s="50">
        <v>50</v>
      </c>
      <c r="G101" s="52" cm="1">
        <f t="array" ref="G101">COUNTIF('الفحوصات_والاختبارات'!$C$5:$C$704,A101)</f>
        <v>10</v>
      </c>
      <c r="H101" s="52" cm="1">
        <f t="array" ref="H101">_xlfn.COUNTIFS('الفحوصات_والاختبارات'!$C$5:$C$704,A101,'الفحوصات_والاختبارات'!$G$5:$G$704,"مقبول من أول مرة")</f>
        <v>9</v>
      </c>
      <c r="I101" s="51" cm="1">
        <f t="array" ref="I101">_xlfn.IFERROR(H101/G101,0)</f>
        <v>0.9</v>
      </c>
      <c r="J101" s="52">
        <v>1</v>
      </c>
      <c r="K101" s="52">
        <v>4</v>
      </c>
      <c r="L101" s="53">
        <v>12431</v>
      </c>
      <c r="M101" t="str" s="54" cm="1">
        <f t="array" ref="M101">IF(AND(I101&gt;=0.9,J101&lt;=2),"مستقرة",IF(AND(I101&gt;=0.82,J101&lt;=5),"تحت المراقبة","حرجة"))</f>
        <v>مستقرة</v>
      </c>
      <c r="N101" s="55">
        <v>46400</v>
      </c>
      <c r="O101" s="55">
        <v>46397</v>
      </c>
      <c r="P101" s="56" cm="1">
        <f t="array" ref="P101">O101-N101</f>
        <v>-3</v>
      </c>
      <c r="Q101" t="str" s="57" cm="1">
        <f t="array" ref="Q101">IF(D101="مكتملة","مرشحة للتسليم",IF(D101="تشطيبات","قيد التجهيز","تحت التنفيذ"))</f>
        <v>مرشحة للتسليم</v>
      </c>
      <c r="R101" s="48"/>
      <c r="S101" s="7"/>
      <c r="T101" s="7"/>
      <c r="U101" s="7"/>
      <c r="V101" s="7"/>
      <c r="W101" s="7"/>
      <c r="X101" s="7"/>
      <c r="Y101" s="7"/>
      <c r="Z101" s="7"/>
    </row>
    <row r="102" ht="15" customHeight="1">
      <c r="A102" s="58">
        <v>98</v>
      </c>
      <c r="B102" t="s" s="59">
        <v>278</v>
      </c>
      <c r="C102" t="s" s="59">
        <v>271</v>
      </c>
      <c r="D102" t="s" s="59">
        <v>40</v>
      </c>
      <c r="E102" s="60">
        <v>0.9956</v>
      </c>
      <c r="F102" t="s" s="59">
        <v>50</v>
      </c>
      <c r="G102" s="61" cm="1">
        <f t="array" ref="G102">COUNTIF('الفحوصات_والاختبارات'!$C$5:$C$704,A102)</f>
        <v>10</v>
      </c>
      <c r="H102" s="61" cm="1">
        <f t="array" ref="H102">_xlfn.COUNTIFS('الفحوصات_والاختبارات'!$C$5:$C$704,A102,'الفحوصات_والاختبارات'!$G$5:$G$704,"مقبول من أول مرة")</f>
        <v>7</v>
      </c>
      <c r="I102" s="60" cm="1">
        <f t="array" ref="I102">_xlfn.IFERROR(H102/G102,0)</f>
        <v>0.7</v>
      </c>
      <c r="J102" s="61">
        <v>1</v>
      </c>
      <c r="K102" s="61">
        <v>2</v>
      </c>
      <c r="L102" s="62">
        <v>6087</v>
      </c>
      <c r="M102" t="str" s="63" cm="1">
        <f t="array" ref="M102">IF(AND(I102&gt;=0.9,J102&lt;=2),"مستقرة",IF(AND(I102&gt;=0.82,J102&lt;=5),"تحت المراقبة","حرجة"))</f>
        <v>حرجة</v>
      </c>
      <c r="N102" s="64">
        <v>46403</v>
      </c>
      <c r="O102" s="64">
        <v>46409</v>
      </c>
      <c r="P102" s="61" cm="1">
        <f t="array" ref="P102">O102-N102</f>
        <v>6</v>
      </c>
      <c r="Q102" t="str" s="65" cm="1">
        <f t="array" ref="Q102">IF(D102="مكتملة","مرشحة للتسليم",IF(D102="تشطيبات","قيد التجهيز","تحت التنفيذ"))</f>
        <v>مرشحة للتسليم</v>
      </c>
      <c r="R102" s="48"/>
      <c r="S102" s="7"/>
      <c r="T102" s="7"/>
      <c r="U102" s="7"/>
      <c r="V102" s="7"/>
      <c r="W102" s="7"/>
      <c r="X102" s="7"/>
      <c r="Y102" s="7"/>
      <c r="Z102" s="7"/>
    </row>
    <row r="103" ht="15" customHeight="1">
      <c r="A103" s="49">
        <v>99</v>
      </c>
      <c r="B103" t="s" s="50">
        <v>278</v>
      </c>
      <c r="C103" t="s" s="50">
        <v>272</v>
      </c>
      <c r="D103" t="s" s="50">
        <v>40</v>
      </c>
      <c r="E103" s="51">
        <v>0.9716</v>
      </c>
      <c r="F103" t="s" s="50">
        <v>50</v>
      </c>
      <c r="G103" s="52" cm="1">
        <f t="array" ref="G103">COUNTIF('الفحوصات_والاختبارات'!$C$5:$C$704,A103)</f>
        <v>10</v>
      </c>
      <c r="H103" s="52" cm="1">
        <f t="array" ref="H103">_xlfn.COUNTIFS('الفحوصات_والاختبارات'!$C$5:$C$704,A103,'الفحوصات_والاختبارات'!$G$5:$G$704,"مقبول من أول مرة")</f>
        <v>9</v>
      </c>
      <c r="I103" s="51" cm="1">
        <f t="array" ref="I103">_xlfn.IFERROR(H103/G103,0)</f>
        <v>0.9</v>
      </c>
      <c r="J103" s="52">
        <v>1</v>
      </c>
      <c r="K103" s="52">
        <v>5</v>
      </c>
      <c r="L103" s="53">
        <v>12743</v>
      </c>
      <c r="M103" t="str" s="54" cm="1">
        <f t="array" ref="M103">IF(AND(I103&gt;=0.9,J103&lt;=2),"مستقرة",IF(AND(I103&gt;=0.82,J103&lt;=5),"تحت المراقبة","حرجة"))</f>
        <v>مستقرة</v>
      </c>
      <c r="N103" s="55">
        <v>46406</v>
      </c>
      <c r="O103" s="55">
        <v>46403</v>
      </c>
      <c r="P103" s="56" cm="1">
        <f t="array" ref="P103">O103-N103</f>
        <v>-3</v>
      </c>
      <c r="Q103" t="str" s="57" cm="1">
        <f t="array" ref="Q103">IF(D103="مكتملة","مرشحة للتسليم",IF(D103="تشطيبات","قيد التجهيز","تحت التنفيذ"))</f>
        <v>مرشحة للتسليم</v>
      </c>
      <c r="R103" s="48"/>
      <c r="S103" s="7"/>
      <c r="T103" s="7"/>
      <c r="U103" s="7"/>
      <c r="V103" s="7"/>
      <c r="W103" s="7"/>
      <c r="X103" s="7"/>
      <c r="Y103" s="7"/>
      <c r="Z103" s="7"/>
    </row>
    <row r="104" ht="15" customHeight="1">
      <c r="A104" s="58">
        <v>100</v>
      </c>
      <c r="B104" t="s" s="59">
        <v>278</v>
      </c>
      <c r="C104" t="s" s="59">
        <v>268</v>
      </c>
      <c r="D104" t="s" s="59">
        <v>40</v>
      </c>
      <c r="E104" s="60">
        <v>0.9998</v>
      </c>
      <c r="F104" t="s" s="59">
        <v>50</v>
      </c>
      <c r="G104" s="61" cm="1">
        <f t="array" ref="G104">COUNTIF('الفحوصات_والاختبارات'!$C$5:$C$704,A104)</f>
        <v>10</v>
      </c>
      <c r="H104" s="61" cm="1">
        <f t="array" ref="H104">_xlfn.COUNTIFS('الفحوصات_والاختبارات'!$C$5:$C$704,A104,'الفحوصات_والاختبارات'!$G$5:$G$704,"مقبول من أول مرة")</f>
        <v>10</v>
      </c>
      <c r="I104" s="60" cm="1">
        <f t="array" ref="I104">_xlfn.IFERROR(H104/G104,0)</f>
        <v>1</v>
      </c>
      <c r="J104" s="61">
        <v>0</v>
      </c>
      <c r="K104" s="61">
        <v>3</v>
      </c>
      <c r="L104" s="62">
        <v>4644</v>
      </c>
      <c r="M104" t="str" s="63" cm="1">
        <f t="array" ref="M104">IF(AND(I104&gt;=0.9,J104&lt;=2),"مستقرة",IF(AND(I104&gt;=0.82,J104&lt;=5),"تحت المراقبة","حرجة"))</f>
        <v>مستقرة</v>
      </c>
      <c r="N104" s="64">
        <v>46409</v>
      </c>
      <c r="O104" s="64">
        <v>46408</v>
      </c>
      <c r="P104" s="61" cm="1">
        <f t="array" ref="P104">O104-N104</f>
        <v>-1</v>
      </c>
      <c r="Q104" t="str" s="65" cm="1">
        <f t="array" ref="Q104">IF(D104="مكتملة","مرشحة للتسليم",IF(D104="تشطيبات","قيد التجهيز","تحت التنفيذ"))</f>
        <v>مرشحة للتسليم</v>
      </c>
      <c r="R104" s="48"/>
      <c r="S104" s="7"/>
      <c r="T104" s="7"/>
      <c r="U104" s="7"/>
      <c r="V104" s="7"/>
      <c r="W104" s="7"/>
      <c r="X104" s="7"/>
      <c r="Y104" s="7"/>
      <c r="Z104" s="7"/>
    </row>
    <row r="105" ht="15" customHeight="1">
      <c r="A105" s="49">
        <v>101</v>
      </c>
      <c r="B105" t="s" s="50">
        <v>278</v>
      </c>
      <c r="C105" t="s" s="50">
        <v>271</v>
      </c>
      <c r="D105" t="s" s="50">
        <v>40</v>
      </c>
      <c r="E105" s="51">
        <v>0.9781</v>
      </c>
      <c r="F105" t="s" s="50">
        <v>50</v>
      </c>
      <c r="G105" s="52" cm="1">
        <f t="array" ref="G105">COUNTIF('الفحوصات_والاختبارات'!$C$5:$C$704,A105)</f>
        <v>10</v>
      </c>
      <c r="H105" s="52" cm="1">
        <f t="array" ref="H105">_xlfn.COUNTIFS('الفحوصات_والاختبارات'!$C$5:$C$704,A105,'الفحوصات_والاختبارات'!$G$5:$G$704,"مقبول من أول مرة")</f>
        <v>8</v>
      </c>
      <c r="I105" s="51" cm="1">
        <f t="array" ref="I105">_xlfn.IFERROR(H105/G105,0)</f>
        <v>0.8</v>
      </c>
      <c r="J105" s="52">
        <v>1</v>
      </c>
      <c r="K105" s="52">
        <v>2</v>
      </c>
      <c r="L105" s="53">
        <v>11461</v>
      </c>
      <c r="M105" t="str" s="54" cm="1">
        <f t="array" ref="M105">IF(AND(I105&gt;=0.9,J105&lt;=2),"مستقرة",IF(AND(I105&gt;=0.82,J105&lt;=5),"تحت المراقبة","حرجة"))</f>
        <v>حرجة</v>
      </c>
      <c r="N105" s="55">
        <v>46412</v>
      </c>
      <c r="O105" s="55">
        <v>46421</v>
      </c>
      <c r="P105" s="56" cm="1">
        <f t="array" ref="P105">O105-N105</f>
        <v>9</v>
      </c>
      <c r="Q105" t="str" s="57" cm="1">
        <f t="array" ref="Q105">IF(D105="مكتملة","مرشحة للتسليم",IF(D105="تشطيبات","قيد التجهيز","تحت التنفيذ"))</f>
        <v>مرشحة للتسليم</v>
      </c>
      <c r="R105" s="48"/>
      <c r="S105" s="7"/>
      <c r="T105" s="7"/>
      <c r="U105" s="7"/>
      <c r="V105" s="7"/>
      <c r="W105" s="7"/>
      <c r="X105" s="7"/>
      <c r="Y105" s="7"/>
      <c r="Z105" s="7"/>
    </row>
    <row r="106" ht="15" customHeight="1">
      <c r="A106" s="58">
        <v>102</v>
      </c>
      <c r="B106" t="s" s="59">
        <v>278</v>
      </c>
      <c r="C106" t="s" s="59">
        <v>272</v>
      </c>
      <c r="D106" t="s" s="59">
        <v>40</v>
      </c>
      <c r="E106" s="60">
        <v>0.9674</v>
      </c>
      <c r="F106" t="s" s="59">
        <v>50</v>
      </c>
      <c r="G106" s="61" cm="1">
        <f t="array" ref="G106">COUNTIF('الفحوصات_والاختبارات'!$C$5:$C$704,A106)</f>
        <v>10</v>
      </c>
      <c r="H106" s="61" cm="1">
        <f t="array" ref="H106">_xlfn.COUNTIFS('الفحوصات_والاختبارات'!$C$5:$C$704,A106,'الفحوصات_والاختبارات'!$G$5:$G$704,"مقبول من أول مرة")</f>
        <v>10</v>
      </c>
      <c r="I106" s="60" cm="1">
        <f t="array" ref="I106">_xlfn.IFERROR(H106/G106,0)</f>
        <v>1</v>
      </c>
      <c r="J106" s="61">
        <v>0</v>
      </c>
      <c r="K106" s="61">
        <v>3</v>
      </c>
      <c r="L106" s="62">
        <v>5602</v>
      </c>
      <c r="M106" t="str" s="63" cm="1">
        <f t="array" ref="M106">IF(AND(I106&gt;=0.9,J106&lt;=2),"مستقرة",IF(AND(I106&gt;=0.82,J106&lt;=5),"تحت المراقبة","حرجة"))</f>
        <v>مستقرة</v>
      </c>
      <c r="N106" s="64">
        <v>46415</v>
      </c>
      <c r="O106" s="64">
        <v>46426</v>
      </c>
      <c r="P106" s="61" cm="1">
        <f t="array" ref="P106">O106-N106</f>
        <v>11</v>
      </c>
      <c r="Q106" t="str" s="65" cm="1">
        <f t="array" ref="Q106">IF(D106="مكتملة","مرشحة للتسليم",IF(D106="تشطيبات","قيد التجهيز","تحت التنفيذ"))</f>
        <v>مرشحة للتسليم</v>
      </c>
      <c r="R106" s="48"/>
      <c r="S106" s="7"/>
      <c r="T106" s="7"/>
      <c r="U106" s="7"/>
      <c r="V106" s="7"/>
      <c r="W106" s="7"/>
      <c r="X106" s="7"/>
      <c r="Y106" s="7"/>
      <c r="Z106" s="7"/>
    </row>
    <row r="107" ht="15" customHeight="1">
      <c r="A107" s="49">
        <v>103</v>
      </c>
      <c r="B107" t="s" s="50">
        <v>278</v>
      </c>
      <c r="C107" t="s" s="50">
        <v>268</v>
      </c>
      <c r="D107" t="s" s="50">
        <v>40</v>
      </c>
      <c r="E107" s="51">
        <v>0.9837</v>
      </c>
      <c r="F107" t="s" s="50">
        <v>50</v>
      </c>
      <c r="G107" s="52" cm="1">
        <f t="array" ref="G107">COUNTIF('الفحوصات_والاختبارات'!$C$5:$C$704,A107)</f>
        <v>10</v>
      </c>
      <c r="H107" s="52" cm="1">
        <f t="array" ref="H107">_xlfn.COUNTIFS('الفحوصات_والاختبارات'!$C$5:$C$704,A107,'الفحوصات_والاختبارات'!$G$5:$G$704,"مقبول من أول مرة")</f>
        <v>9</v>
      </c>
      <c r="I107" s="51" cm="1">
        <f t="array" ref="I107">_xlfn.IFERROR(H107/G107,0)</f>
        <v>0.9</v>
      </c>
      <c r="J107" s="52">
        <v>0</v>
      </c>
      <c r="K107" s="52">
        <v>6</v>
      </c>
      <c r="L107" s="53">
        <v>11200</v>
      </c>
      <c r="M107" t="str" s="54" cm="1">
        <f t="array" ref="M107">IF(AND(I107&gt;=0.9,J107&lt;=2),"مستقرة",IF(AND(I107&gt;=0.82,J107&lt;=5),"تحت المراقبة","حرجة"))</f>
        <v>مستقرة</v>
      </c>
      <c r="N107" s="55">
        <v>46418</v>
      </c>
      <c r="O107" s="55">
        <v>46426</v>
      </c>
      <c r="P107" s="56" cm="1">
        <f t="array" ref="P107">O107-N107</f>
        <v>8</v>
      </c>
      <c r="Q107" t="str" s="57" cm="1">
        <f t="array" ref="Q107">IF(D107="مكتملة","مرشحة للتسليم",IF(D107="تشطيبات","قيد التجهيز","تحت التنفيذ"))</f>
        <v>مرشحة للتسليم</v>
      </c>
      <c r="R107" s="48"/>
      <c r="S107" s="7"/>
      <c r="T107" s="7"/>
      <c r="U107" s="7"/>
      <c r="V107" s="7"/>
      <c r="W107" s="7"/>
      <c r="X107" s="7"/>
      <c r="Y107" s="7"/>
      <c r="Z107" s="7"/>
    </row>
    <row r="108" ht="15" customHeight="1">
      <c r="A108" s="58">
        <v>104</v>
      </c>
      <c r="B108" t="s" s="59">
        <v>278</v>
      </c>
      <c r="C108" t="s" s="59">
        <v>271</v>
      </c>
      <c r="D108" t="s" s="59">
        <v>40</v>
      </c>
      <c r="E108" s="60">
        <v>0.9784</v>
      </c>
      <c r="F108" t="s" s="59">
        <v>50</v>
      </c>
      <c r="G108" s="61" cm="1">
        <f t="array" ref="G108">COUNTIF('الفحوصات_والاختبارات'!$C$5:$C$704,A108)</f>
        <v>10</v>
      </c>
      <c r="H108" s="61" cm="1">
        <f t="array" ref="H108">_xlfn.COUNTIFS('الفحوصات_والاختبارات'!$C$5:$C$704,A108,'الفحوصات_والاختبارات'!$G$5:$G$704,"مقبول من أول مرة")</f>
        <v>8</v>
      </c>
      <c r="I108" s="60" cm="1">
        <f t="array" ref="I108">_xlfn.IFERROR(H108/G108,0)</f>
        <v>0.8</v>
      </c>
      <c r="J108" s="61">
        <v>0</v>
      </c>
      <c r="K108" s="61">
        <v>2</v>
      </c>
      <c r="L108" s="62">
        <v>3659</v>
      </c>
      <c r="M108" t="str" s="63" cm="1">
        <f t="array" ref="M108">IF(AND(I108&gt;=0.9,J108&lt;=2),"مستقرة",IF(AND(I108&gt;=0.82,J108&lt;=5),"تحت المراقبة","حرجة"))</f>
        <v>حرجة</v>
      </c>
      <c r="N108" s="64">
        <v>46421</v>
      </c>
      <c r="O108" s="64">
        <v>46416</v>
      </c>
      <c r="P108" s="61" cm="1">
        <f t="array" ref="P108">O108-N108</f>
        <v>-5</v>
      </c>
      <c r="Q108" t="str" s="65" cm="1">
        <f t="array" ref="Q108">IF(D108="مكتملة","مرشحة للتسليم",IF(D108="تشطيبات","قيد التجهيز","تحت التنفيذ"))</f>
        <v>مرشحة للتسليم</v>
      </c>
      <c r="R108" s="48"/>
      <c r="S108" s="7"/>
      <c r="T108" s="7"/>
      <c r="U108" s="7"/>
      <c r="V108" s="7"/>
      <c r="W108" s="7"/>
      <c r="X108" s="7"/>
      <c r="Y108" s="7"/>
      <c r="Z108" s="7"/>
    </row>
    <row r="109" ht="15" customHeight="1">
      <c r="A109" s="49">
        <v>105</v>
      </c>
      <c r="B109" t="s" s="50">
        <v>278</v>
      </c>
      <c r="C109" t="s" s="50">
        <v>272</v>
      </c>
      <c r="D109" t="s" s="50">
        <v>40</v>
      </c>
      <c r="E109" s="51">
        <v>0.9958</v>
      </c>
      <c r="F109" t="s" s="50">
        <v>50</v>
      </c>
      <c r="G109" s="52" cm="1">
        <f t="array" ref="G109">COUNTIF('الفحوصات_والاختبارات'!$C$5:$C$704,A109)</f>
        <v>10</v>
      </c>
      <c r="H109" s="52" cm="1">
        <f t="array" ref="H109">_xlfn.COUNTIFS('الفحوصات_والاختبارات'!$C$5:$C$704,A109,'الفحوصات_والاختبارات'!$G$5:$G$704,"مقبول من أول مرة")</f>
        <v>8</v>
      </c>
      <c r="I109" s="51" cm="1">
        <f t="array" ref="I109">_xlfn.IFERROR(H109/G109,0)</f>
        <v>0.8</v>
      </c>
      <c r="J109" s="52">
        <v>1</v>
      </c>
      <c r="K109" s="52">
        <v>1</v>
      </c>
      <c r="L109" s="53">
        <v>1983</v>
      </c>
      <c r="M109" t="str" s="54" cm="1">
        <f t="array" ref="M109">IF(AND(I109&gt;=0.9,J109&lt;=2),"مستقرة",IF(AND(I109&gt;=0.82,J109&lt;=5),"تحت المراقبة","حرجة"))</f>
        <v>حرجة</v>
      </c>
      <c r="N109" s="55">
        <v>46424</v>
      </c>
      <c r="O109" s="55">
        <v>46419</v>
      </c>
      <c r="P109" s="56" cm="1">
        <f t="array" ref="P109">O109-N109</f>
        <v>-5</v>
      </c>
      <c r="Q109" t="str" s="57" cm="1">
        <f t="array" ref="Q109">IF(D109="مكتملة","مرشحة للتسليم",IF(D109="تشطيبات","قيد التجهيز","تحت التنفيذ"))</f>
        <v>مرشحة للتسليم</v>
      </c>
      <c r="R109" s="48"/>
      <c r="S109" s="7"/>
      <c r="T109" s="7"/>
      <c r="U109" s="7"/>
      <c r="V109" s="7"/>
      <c r="W109" s="7"/>
      <c r="X109" s="7"/>
      <c r="Y109" s="7"/>
      <c r="Z109" s="7"/>
    </row>
    <row r="110" ht="15" customHeight="1">
      <c r="A110" s="58">
        <v>106</v>
      </c>
      <c r="B110" t="s" s="59">
        <v>278</v>
      </c>
      <c r="C110" t="s" s="59">
        <v>268</v>
      </c>
      <c r="D110" t="s" s="59">
        <v>40</v>
      </c>
      <c r="E110" s="60">
        <v>0.977</v>
      </c>
      <c r="F110" t="s" s="59">
        <v>50</v>
      </c>
      <c r="G110" s="61" cm="1">
        <f t="array" ref="G110">COUNTIF('الفحوصات_والاختبارات'!$C$5:$C$704,A110)</f>
        <v>10</v>
      </c>
      <c r="H110" s="61" cm="1">
        <f t="array" ref="H110">_xlfn.COUNTIFS('الفحوصات_والاختبارات'!$C$5:$C$704,A110,'الفحوصات_والاختبارات'!$G$5:$G$704,"مقبول من أول مرة")</f>
        <v>7</v>
      </c>
      <c r="I110" s="60" cm="1">
        <f t="array" ref="I110">_xlfn.IFERROR(H110/G110,0)</f>
        <v>0.7</v>
      </c>
      <c r="J110" s="61">
        <v>0</v>
      </c>
      <c r="K110" s="61">
        <v>5</v>
      </c>
      <c r="L110" s="62">
        <v>10178</v>
      </c>
      <c r="M110" t="str" s="63" cm="1">
        <f t="array" ref="M110">IF(AND(I110&gt;=0.9,J110&lt;=2),"مستقرة",IF(AND(I110&gt;=0.82,J110&lt;=5),"تحت المراقبة","حرجة"))</f>
        <v>حرجة</v>
      </c>
      <c r="N110" s="64">
        <v>46427</v>
      </c>
      <c r="O110" s="64">
        <v>46435</v>
      </c>
      <c r="P110" s="61" cm="1">
        <f t="array" ref="P110">O110-N110</f>
        <v>8</v>
      </c>
      <c r="Q110" t="str" s="65" cm="1">
        <f t="array" ref="Q110">IF(D110="مكتملة","مرشحة للتسليم",IF(D110="تشطيبات","قيد التجهيز","تحت التنفيذ"))</f>
        <v>مرشحة للتسليم</v>
      </c>
      <c r="R110" s="48"/>
      <c r="S110" s="7"/>
      <c r="T110" s="7"/>
      <c r="U110" s="7"/>
      <c r="V110" s="7"/>
      <c r="W110" s="7"/>
      <c r="X110" s="7"/>
      <c r="Y110" s="7"/>
      <c r="Z110" s="7"/>
    </row>
    <row r="111" ht="15" customHeight="1">
      <c r="A111" s="49">
        <v>107</v>
      </c>
      <c r="B111" t="s" s="50">
        <v>278</v>
      </c>
      <c r="C111" t="s" s="50">
        <v>271</v>
      </c>
      <c r="D111" t="s" s="50">
        <v>40</v>
      </c>
      <c r="E111" s="51">
        <v>0.9668</v>
      </c>
      <c r="F111" t="s" s="50">
        <v>50</v>
      </c>
      <c r="G111" s="52" cm="1">
        <f t="array" ref="G111">COUNTIF('الفحوصات_والاختبارات'!$C$5:$C$704,A111)</f>
        <v>10</v>
      </c>
      <c r="H111" s="52" cm="1">
        <f t="array" ref="H111">_xlfn.COUNTIFS('الفحوصات_والاختبارات'!$C$5:$C$704,A111,'الفحوصات_والاختبارات'!$G$5:$G$704,"مقبول من أول مرة")</f>
        <v>7</v>
      </c>
      <c r="I111" s="51" cm="1">
        <f t="array" ref="I111">_xlfn.IFERROR(H111/G111,0)</f>
        <v>0.7</v>
      </c>
      <c r="J111" s="52">
        <v>0</v>
      </c>
      <c r="K111" s="52">
        <v>2</v>
      </c>
      <c r="L111" s="53">
        <v>1272</v>
      </c>
      <c r="M111" t="str" s="54" cm="1">
        <f t="array" ref="M111">IF(AND(I111&gt;=0.9,J111&lt;=2),"مستقرة",IF(AND(I111&gt;=0.82,J111&lt;=5),"تحت المراقبة","حرجة"))</f>
        <v>حرجة</v>
      </c>
      <c r="N111" s="55">
        <v>46430</v>
      </c>
      <c r="O111" s="55">
        <v>46426</v>
      </c>
      <c r="P111" s="56" cm="1">
        <f t="array" ref="P111">O111-N111</f>
        <v>-4</v>
      </c>
      <c r="Q111" t="str" s="57" cm="1">
        <f t="array" ref="Q111">IF(D111="مكتملة","مرشحة للتسليم",IF(D111="تشطيبات","قيد التجهيز","تحت التنفيذ"))</f>
        <v>مرشحة للتسليم</v>
      </c>
      <c r="R111" s="48"/>
      <c r="S111" s="7"/>
      <c r="T111" s="7"/>
      <c r="U111" s="7"/>
      <c r="V111" s="7"/>
      <c r="W111" s="7"/>
      <c r="X111" s="7"/>
      <c r="Y111" s="7"/>
      <c r="Z111" s="7"/>
    </row>
    <row r="112" ht="15" customHeight="1">
      <c r="A112" s="58">
        <v>108</v>
      </c>
      <c r="B112" t="s" s="59">
        <v>278</v>
      </c>
      <c r="C112" t="s" s="59">
        <v>272</v>
      </c>
      <c r="D112" t="s" s="59">
        <v>40</v>
      </c>
      <c r="E112" s="60">
        <v>0.9883999999999999</v>
      </c>
      <c r="F112" t="s" s="59">
        <v>50</v>
      </c>
      <c r="G112" s="61" cm="1">
        <f t="array" ref="G112">COUNTIF('الفحوصات_والاختبارات'!$C$5:$C$704,A112)</f>
        <v>10</v>
      </c>
      <c r="H112" s="61" cm="1">
        <f t="array" ref="H112">_xlfn.COUNTIFS('الفحوصات_والاختبارات'!$C$5:$C$704,A112,'الفحوصات_والاختبارات'!$G$5:$G$704,"مقبول من أول مرة")</f>
        <v>8</v>
      </c>
      <c r="I112" s="60" cm="1">
        <f t="array" ref="I112">_xlfn.IFERROR(H112/G112,0)</f>
        <v>0.8</v>
      </c>
      <c r="J112" s="61">
        <v>0</v>
      </c>
      <c r="K112" s="61">
        <v>6</v>
      </c>
      <c r="L112" s="62">
        <v>8894</v>
      </c>
      <c r="M112" t="str" s="63" cm="1">
        <f t="array" ref="M112">IF(AND(I112&gt;=0.9,J112&lt;=2),"مستقرة",IF(AND(I112&gt;=0.82,J112&lt;=5),"تحت المراقبة","حرجة"))</f>
        <v>حرجة</v>
      </c>
      <c r="N112" s="64">
        <v>46433</v>
      </c>
      <c r="O112" s="64">
        <v>46445</v>
      </c>
      <c r="P112" s="61" cm="1">
        <f t="array" ref="P112">O112-N112</f>
        <v>12</v>
      </c>
      <c r="Q112" t="str" s="65" cm="1">
        <f t="array" ref="Q112">IF(D112="مكتملة","مرشحة للتسليم",IF(D112="تشطيبات","قيد التجهيز","تحت التنفيذ"))</f>
        <v>مرشحة للتسليم</v>
      </c>
      <c r="R112" s="48"/>
      <c r="S112" s="7"/>
      <c r="T112" s="7"/>
      <c r="U112" s="7"/>
      <c r="V112" s="7"/>
      <c r="W112" s="7"/>
      <c r="X112" s="7"/>
      <c r="Y112" s="7"/>
      <c r="Z112" s="7"/>
    </row>
    <row r="113" ht="15" customHeight="1">
      <c r="A113" s="49">
        <v>109</v>
      </c>
      <c r="B113" t="s" s="50">
        <v>278</v>
      </c>
      <c r="C113" t="s" s="50">
        <v>268</v>
      </c>
      <c r="D113" t="s" s="50">
        <v>40</v>
      </c>
      <c r="E113" s="51">
        <v>0.9921</v>
      </c>
      <c r="F113" t="s" s="50">
        <v>50</v>
      </c>
      <c r="G113" s="52" cm="1">
        <f t="array" ref="G113">COUNTIF('الفحوصات_والاختبارات'!$C$5:$C$704,A113)</f>
        <v>10</v>
      </c>
      <c r="H113" s="52" cm="1">
        <f t="array" ref="H113">_xlfn.COUNTIFS('الفحوصات_والاختبارات'!$C$5:$C$704,A113,'الفحوصات_والاختبارات'!$G$5:$G$704,"مقبول من أول مرة")</f>
        <v>8</v>
      </c>
      <c r="I113" s="51" cm="1">
        <f t="array" ref="I113">_xlfn.IFERROR(H113/G113,0)</f>
        <v>0.8</v>
      </c>
      <c r="J113" s="52">
        <v>1</v>
      </c>
      <c r="K113" s="52">
        <v>4</v>
      </c>
      <c r="L113" s="53">
        <v>23500</v>
      </c>
      <c r="M113" t="str" s="54" cm="1">
        <f t="array" ref="M113">IF(AND(I113&gt;=0.9,J113&lt;=2),"مستقرة",IF(AND(I113&gt;=0.82,J113&lt;=5),"تحت المراقبة","حرجة"))</f>
        <v>حرجة</v>
      </c>
      <c r="N113" s="55">
        <v>46436</v>
      </c>
      <c r="O113" s="55">
        <v>46434</v>
      </c>
      <c r="P113" s="56" cm="1">
        <f t="array" ref="P113">O113-N113</f>
        <v>-2</v>
      </c>
      <c r="Q113" t="str" s="57" cm="1">
        <f t="array" ref="Q113">IF(D113="مكتملة","مرشحة للتسليم",IF(D113="تشطيبات","قيد التجهيز","تحت التنفيذ"))</f>
        <v>مرشحة للتسليم</v>
      </c>
      <c r="R113" s="48"/>
      <c r="S113" s="7"/>
      <c r="T113" s="7"/>
      <c r="U113" s="7"/>
      <c r="V113" s="7"/>
      <c r="W113" s="7"/>
      <c r="X113" s="7"/>
      <c r="Y113" s="7"/>
      <c r="Z113" s="7"/>
    </row>
    <row r="114" ht="15" customHeight="1">
      <c r="A114" s="58">
        <v>110</v>
      </c>
      <c r="B114" t="s" s="59">
        <v>278</v>
      </c>
      <c r="C114" t="s" s="59">
        <v>271</v>
      </c>
      <c r="D114" t="s" s="59">
        <v>40</v>
      </c>
      <c r="E114" s="60">
        <v>0.995</v>
      </c>
      <c r="F114" t="s" s="59">
        <v>50</v>
      </c>
      <c r="G114" s="61" cm="1">
        <f t="array" ref="G114">COUNTIF('الفحوصات_والاختبارات'!$C$5:$C$704,A114)</f>
        <v>10</v>
      </c>
      <c r="H114" s="61" cm="1">
        <f t="array" ref="H114">_xlfn.COUNTIFS('الفحوصات_والاختبارات'!$C$5:$C$704,A114,'الفحوصات_والاختبارات'!$G$5:$G$704,"مقبول من أول مرة")</f>
        <v>9</v>
      </c>
      <c r="I114" s="60" cm="1">
        <f t="array" ref="I114">_xlfn.IFERROR(H114/G114,0)</f>
        <v>0.9</v>
      </c>
      <c r="J114" s="61">
        <v>0</v>
      </c>
      <c r="K114" s="61">
        <v>2</v>
      </c>
      <c r="L114" s="62">
        <v>8077</v>
      </c>
      <c r="M114" t="str" s="63" cm="1">
        <f t="array" ref="M114">IF(AND(I114&gt;=0.9,J114&lt;=2),"مستقرة",IF(AND(I114&gt;=0.82,J114&lt;=5),"تحت المراقبة","حرجة"))</f>
        <v>مستقرة</v>
      </c>
      <c r="N114" s="64">
        <v>46439</v>
      </c>
      <c r="O114" s="64">
        <v>46448</v>
      </c>
      <c r="P114" s="61" cm="1">
        <f t="array" ref="P114">O114-N114</f>
        <v>9</v>
      </c>
      <c r="Q114" t="str" s="65" cm="1">
        <f t="array" ref="Q114">IF(D114="مكتملة","مرشحة للتسليم",IF(D114="تشطيبات","قيد التجهيز","تحت التنفيذ"))</f>
        <v>مرشحة للتسليم</v>
      </c>
      <c r="R114" s="48"/>
      <c r="S114" s="7"/>
      <c r="T114" s="7"/>
      <c r="U114" s="7"/>
      <c r="V114" s="7"/>
      <c r="W114" s="7"/>
      <c r="X114" s="7"/>
      <c r="Y114" s="7"/>
      <c r="Z114" s="7"/>
    </row>
    <row r="115" ht="15" customHeight="1">
      <c r="A115" s="49">
        <v>111</v>
      </c>
      <c r="B115" t="s" s="50">
        <v>278</v>
      </c>
      <c r="C115" t="s" s="50">
        <v>272</v>
      </c>
      <c r="D115" t="s" s="50">
        <v>40</v>
      </c>
      <c r="E115" s="51">
        <v>0.98</v>
      </c>
      <c r="F115" t="s" s="50">
        <v>50</v>
      </c>
      <c r="G115" s="52" cm="1">
        <f t="array" ref="G115">COUNTIF('الفحوصات_والاختبارات'!$C$5:$C$704,A115)</f>
        <v>10</v>
      </c>
      <c r="H115" s="52" cm="1">
        <f t="array" ref="H115">_xlfn.COUNTIFS('الفحوصات_والاختبارات'!$C$5:$C$704,A115,'الفحوصات_والاختبارات'!$G$5:$G$704,"مقبول من أول مرة")</f>
        <v>8</v>
      </c>
      <c r="I115" s="51" cm="1">
        <f t="array" ref="I115">_xlfn.IFERROR(H115/G115,0)</f>
        <v>0.8</v>
      </c>
      <c r="J115" s="52">
        <v>0</v>
      </c>
      <c r="K115" s="52">
        <v>2</v>
      </c>
      <c r="L115" s="53">
        <v>8543</v>
      </c>
      <c r="M115" t="str" s="54" cm="1">
        <f t="array" ref="M115">IF(AND(I115&gt;=0.9,J115&lt;=2),"مستقرة",IF(AND(I115&gt;=0.82,J115&lt;=5),"تحت المراقبة","حرجة"))</f>
        <v>حرجة</v>
      </c>
      <c r="N115" s="55">
        <v>46442</v>
      </c>
      <c r="O115" s="55">
        <v>46453</v>
      </c>
      <c r="P115" s="56" cm="1">
        <f t="array" ref="P115">O115-N115</f>
        <v>11</v>
      </c>
      <c r="Q115" t="str" s="57" cm="1">
        <f t="array" ref="Q115">IF(D115="مكتملة","مرشحة للتسليم",IF(D115="تشطيبات","قيد التجهيز","تحت التنفيذ"))</f>
        <v>مرشحة للتسليم</v>
      </c>
      <c r="R115" s="48"/>
      <c r="S115" s="7"/>
      <c r="T115" s="7"/>
      <c r="U115" s="7"/>
      <c r="V115" s="7"/>
      <c r="W115" s="7"/>
      <c r="X115" s="7"/>
      <c r="Y115" s="7"/>
      <c r="Z115" s="7"/>
    </row>
    <row r="116" ht="15" customHeight="1">
      <c r="A116" s="58">
        <v>112</v>
      </c>
      <c r="B116" t="s" s="59">
        <v>278</v>
      </c>
      <c r="C116" t="s" s="59">
        <v>268</v>
      </c>
      <c r="D116" t="s" s="59">
        <v>40</v>
      </c>
      <c r="E116" s="60">
        <v>0.9655</v>
      </c>
      <c r="F116" t="s" s="59">
        <v>50</v>
      </c>
      <c r="G116" s="61" cm="1">
        <f t="array" ref="G116">COUNTIF('الفحوصات_والاختبارات'!$C$5:$C$704,A116)</f>
        <v>10</v>
      </c>
      <c r="H116" s="61" cm="1">
        <f t="array" ref="H116">_xlfn.COUNTIFS('الفحوصات_والاختبارات'!$C$5:$C$704,A116,'الفحوصات_والاختبارات'!$G$5:$G$704,"مقبول من أول مرة")</f>
        <v>10</v>
      </c>
      <c r="I116" s="60" cm="1">
        <f t="array" ref="I116">_xlfn.IFERROR(H116/G116,0)</f>
        <v>1</v>
      </c>
      <c r="J116" s="61">
        <v>0</v>
      </c>
      <c r="K116" s="61">
        <v>3</v>
      </c>
      <c r="L116" s="62">
        <v>5920</v>
      </c>
      <c r="M116" t="str" s="63" cm="1">
        <f t="array" ref="M116">IF(AND(I116&gt;=0.9,J116&lt;=2),"مستقرة",IF(AND(I116&gt;=0.82,J116&lt;=5),"تحت المراقبة","حرجة"))</f>
        <v>مستقرة</v>
      </c>
      <c r="N116" s="64">
        <v>46445</v>
      </c>
      <c r="O116" s="64">
        <v>46446</v>
      </c>
      <c r="P116" s="61" cm="1">
        <f t="array" ref="P116">O116-N116</f>
        <v>1</v>
      </c>
      <c r="Q116" t="str" s="65" cm="1">
        <f t="array" ref="Q116">IF(D116="مكتملة","مرشحة للتسليم",IF(D116="تشطيبات","قيد التجهيز","تحت التنفيذ"))</f>
        <v>مرشحة للتسليم</v>
      </c>
      <c r="R116" s="48"/>
      <c r="S116" s="7"/>
      <c r="T116" s="7"/>
      <c r="U116" s="7"/>
      <c r="V116" s="7"/>
      <c r="W116" s="7"/>
      <c r="X116" s="7"/>
      <c r="Y116" s="7"/>
      <c r="Z116" s="7"/>
    </row>
    <row r="117" ht="15" customHeight="1">
      <c r="A117" s="49">
        <v>113</v>
      </c>
      <c r="B117" t="s" s="50">
        <v>278</v>
      </c>
      <c r="C117" t="s" s="50">
        <v>271</v>
      </c>
      <c r="D117" t="s" s="50">
        <v>40</v>
      </c>
      <c r="E117" s="51">
        <v>0.9712</v>
      </c>
      <c r="F117" t="s" s="50">
        <v>50</v>
      </c>
      <c r="G117" s="52" cm="1">
        <f t="array" ref="G117">COUNTIF('الفحوصات_والاختبارات'!$C$5:$C$704,A117)</f>
        <v>10</v>
      </c>
      <c r="H117" s="52" cm="1">
        <f t="array" ref="H117">_xlfn.COUNTIFS('الفحوصات_والاختبارات'!$C$5:$C$704,A117,'الفحوصات_والاختبارات'!$G$5:$G$704,"مقبول من أول مرة")</f>
        <v>7</v>
      </c>
      <c r="I117" s="51" cm="1">
        <f t="array" ref="I117">_xlfn.IFERROR(H117/G117,0)</f>
        <v>0.7</v>
      </c>
      <c r="J117" s="52">
        <v>0</v>
      </c>
      <c r="K117" s="52">
        <v>4</v>
      </c>
      <c r="L117" s="53">
        <v>9459</v>
      </c>
      <c r="M117" t="str" s="54" cm="1">
        <f t="array" ref="M117">IF(AND(I117&gt;=0.9,J117&lt;=2),"مستقرة",IF(AND(I117&gt;=0.82,J117&lt;=5),"تحت المراقبة","حرجة"))</f>
        <v>حرجة</v>
      </c>
      <c r="N117" s="55">
        <v>46448</v>
      </c>
      <c r="O117" s="55">
        <v>46460</v>
      </c>
      <c r="P117" s="56" cm="1">
        <f t="array" ref="P117">O117-N117</f>
        <v>12</v>
      </c>
      <c r="Q117" t="str" s="57" cm="1">
        <f t="array" ref="Q117">IF(D117="مكتملة","مرشحة للتسليم",IF(D117="تشطيبات","قيد التجهيز","تحت التنفيذ"))</f>
        <v>مرشحة للتسليم</v>
      </c>
      <c r="R117" s="48"/>
      <c r="S117" s="7"/>
      <c r="T117" s="7"/>
      <c r="U117" s="7"/>
      <c r="V117" s="7"/>
      <c r="W117" s="7"/>
      <c r="X117" s="7"/>
      <c r="Y117" s="7"/>
      <c r="Z117" s="7"/>
    </row>
    <row r="118" ht="15" customHeight="1">
      <c r="A118" s="58">
        <v>114</v>
      </c>
      <c r="B118" t="s" s="59">
        <v>278</v>
      </c>
      <c r="C118" t="s" s="59">
        <v>272</v>
      </c>
      <c r="D118" t="s" s="59">
        <v>40</v>
      </c>
      <c r="E118" s="60">
        <v>0.9648</v>
      </c>
      <c r="F118" t="s" s="59">
        <v>50</v>
      </c>
      <c r="G118" s="61" cm="1">
        <f t="array" ref="G118">COUNTIF('الفحوصات_والاختبارات'!$C$5:$C$704,A118)</f>
        <v>10</v>
      </c>
      <c r="H118" s="61" cm="1">
        <f t="array" ref="H118">_xlfn.COUNTIFS('الفحوصات_والاختبارات'!$C$5:$C$704,A118,'الفحوصات_والاختبارات'!$G$5:$G$704,"مقبول من أول مرة")</f>
        <v>8</v>
      </c>
      <c r="I118" s="60" cm="1">
        <f t="array" ref="I118">_xlfn.IFERROR(H118/G118,0)</f>
        <v>0.8</v>
      </c>
      <c r="J118" s="61">
        <v>1</v>
      </c>
      <c r="K118" s="61">
        <v>1</v>
      </c>
      <c r="L118" s="62">
        <v>5316</v>
      </c>
      <c r="M118" t="str" s="63" cm="1">
        <f t="array" ref="M118">IF(AND(I118&gt;=0.9,J118&lt;=2),"مستقرة",IF(AND(I118&gt;=0.82,J118&lt;=5),"تحت المراقبة","حرجة"))</f>
        <v>حرجة</v>
      </c>
      <c r="N118" s="64">
        <v>46451</v>
      </c>
      <c r="O118" s="64">
        <v>46449</v>
      </c>
      <c r="P118" s="61" cm="1">
        <f t="array" ref="P118">O118-N118</f>
        <v>-2</v>
      </c>
      <c r="Q118" t="str" s="65" cm="1">
        <f t="array" ref="Q118">IF(D118="مكتملة","مرشحة للتسليم",IF(D118="تشطيبات","قيد التجهيز","تحت التنفيذ"))</f>
        <v>مرشحة للتسليم</v>
      </c>
      <c r="R118" s="48"/>
      <c r="S118" s="7"/>
      <c r="T118" s="7"/>
      <c r="U118" s="7"/>
      <c r="V118" s="7"/>
      <c r="W118" s="7"/>
      <c r="X118" s="7"/>
      <c r="Y118" s="7"/>
      <c r="Z118" s="7"/>
    </row>
    <row r="119" ht="15" customHeight="1">
      <c r="A119" s="49">
        <v>115</v>
      </c>
      <c r="B119" t="s" s="50">
        <v>278</v>
      </c>
      <c r="C119" t="s" s="50">
        <v>268</v>
      </c>
      <c r="D119" t="s" s="50">
        <v>40</v>
      </c>
      <c r="E119" s="51">
        <v>0.9643</v>
      </c>
      <c r="F119" t="s" s="50">
        <v>50</v>
      </c>
      <c r="G119" s="52" cm="1">
        <f t="array" ref="G119">COUNTIF('الفحوصات_والاختبارات'!$C$5:$C$704,A119)</f>
        <v>10</v>
      </c>
      <c r="H119" s="52" cm="1">
        <f t="array" ref="H119">_xlfn.COUNTIFS('الفحوصات_والاختبارات'!$C$5:$C$704,A119,'الفحوصات_والاختبارات'!$G$5:$G$704,"مقبول من أول مرة")</f>
        <v>7</v>
      </c>
      <c r="I119" s="51" cm="1">
        <f t="array" ref="I119">_xlfn.IFERROR(H119/G119,0)</f>
        <v>0.7</v>
      </c>
      <c r="J119" s="52">
        <v>0</v>
      </c>
      <c r="K119" s="52">
        <v>3</v>
      </c>
      <c r="L119" s="53">
        <v>3462</v>
      </c>
      <c r="M119" t="str" s="54" cm="1">
        <f t="array" ref="M119">IF(AND(I119&gt;=0.9,J119&lt;=2),"مستقرة",IF(AND(I119&gt;=0.82,J119&lt;=5),"تحت المراقبة","حرجة"))</f>
        <v>حرجة</v>
      </c>
      <c r="N119" s="55">
        <v>46454</v>
      </c>
      <c r="O119" s="55">
        <v>46459</v>
      </c>
      <c r="P119" s="56" cm="1">
        <f t="array" ref="P119">O119-N119</f>
        <v>5</v>
      </c>
      <c r="Q119" t="str" s="57" cm="1">
        <f t="array" ref="Q119">IF(D119="مكتملة","مرشحة للتسليم",IF(D119="تشطيبات","قيد التجهيز","تحت التنفيذ"))</f>
        <v>مرشحة للتسليم</v>
      </c>
      <c r="R119" s="48"/>
      <c r="S119" s="7"/>
      <c r="T119" s="7"/>
      <c r="U119" s="7"/>
      <c r="V119" s="7"/>
      <c r="W119" s="7"/>
      <c r="X119" s="7"/>
      <c r="Y119" s="7"/>
      <c r="Z119" s="7"/>
    </row>
    <row r="120" ht="15" customHeight="1">
      <c r="A120" s="58">
        <v>116</v>
      </c>
      <c r="B120" t="s" s="59">
        <v>278</v>
      </c>
      <c r="C120" t="s" s="59">
        <v>271</v>
      </c>
      <c r="D120" t="s" s="59">
        <v>40</v>
      </c>
      <c r="E120" s="60">
        <v>0.9724</v>
      </c>
      <c r="F120" t="s" s="59">
        <v>50</v>
      </c>
      <c r="G120" s="61" cm="1">
        <f t="array" ref="G120">COUNTIF('الفحوصات_والاختبارات'!$C$5:$C$704,A120)</f>
        <v>10</v>
      </c>
      <c r="H120" s="61" cm="1">
        <f t="array" ref="H120">_xlfn.COUNTIFS('الفحوصات_والاختبارات'!$C$5:$C$704,A120,'الفحوصات_والاختبارات'!$G$5:$G$704,"مقبول من أول مرة")</f>
        <v>10</v>
      </c>
      <c r="I120" s="60" cm="1">
        <f t="array" ref="I120">_xlfn.IFERROR(H120/G120,0)</f>
        <v>1</v>
      </c>
      <c r="J120" s="61">
        <v>1</v>
      </c>
      <c r="K120" s="61">
        <v>5</v>
      </c>
      <c r="L120" s="62">
        <v>7901</v>
      </c>
      <c r="M120" t="str" s="63" cm="1">
        <f t="array" ref="M120">IF(AND(I120&gt;=0.9,J120&lt;=2),"مستقرة",IF(AND(I120&gt;=0.82,J120&lt;=5),"تحت المراقبة","حرجة"))</f>
        <v>مستقرة</v>
      </c>
      <c r="N120" s="64">
        <v>46457</v>
      </c>
      <c r="O120" s="64">
        <v>46456</v>
      </c>
      <c r="P120" s="61" cm="1">
        <f t="array" ref="P120">O120-N120</f>
        <v>-1</v>
      </c>
      <c r="Q120" t="str" s="65" cm="1">
        <f t="array" ref="Q120">IF(D120="مكتملة","مرشحة للتسليم",IF(D120="تشطيبات","قيد التجهيز","تحت التنفيذ"))</f>
        <v>مرشحة للتسليم</v>
      </c>
      <c r="R120" s="48"/>
      <c r="S120" s="7"/>
      <c r="T120" s="7"/>
      <c r="U120" s="7"/>
      <c r="V120" s="7"/>
      <c r="W120" s="7"/>
      <c r="X120" s="7"/>
      <c r="Y120" s="7"/>
      <c r="Z120" s="7"/>
    </row>
    <row r="121" ht="15" customHeight="1">
      <c r="A121" s="49">
        <v>117</v>
      </c>
      <c r="B121" t="s" s="50">
        <v>278</v>
      </c>
      <c r="C121" t="s" s="50">
        <v>272</v>
      </c>
      <c r="D121" t="s" s="50">
        <v>40</v>
      </c>
      <c r="E121" s="51">
        <v>0.9655</v>
      </c>
      <c r="F121" t="s" s="50">
        <v>50</v>
      </c>
      <c r="G121" s="52" cm="1">
        <f t="array" ref="G121">COUNTIF('الفحوصات_والاختبارات'!$C$5:$C$704,A121)</f>
        <v>10</v>
      </c>
      <c r="H121" s="52" cm="1">
        <f t="array" ref="H121">_xlfn.COUNTIFS('الفحوصات_والاختبارات'!$C$5:$C$704,A121,'الفحوصات_والاختبارات'!$G$5:$G$704,"مقبول من أول مرة")</f>
        <v>8</v>
      </c>
      <c r="I121" s="51" cm="1">
        <f t="array" ref="I121">_xlfn.IFERROR(H121/G121,0)</f>
        <v>0.8</v>
      </c>
      <c r="J121" s="52">
        <v>1</v>
      </c>
      <c r="K121" s="52">
        <v>2</v>
      </c>
      <c r="L121" s="53">
        <v>2334</v>
      </c>
      <c r="M121" t="str" s="54" cm="1">
        <f t="array" ref="M121">IF(AND(I121&gt;=0.9,J121&lt;=2),"مستقرة",IF(AND(I121&gt;=0.82,J121&lt;=5),"تحت المراقبة","حرجة"))</f>
        <v>حرجة</v>
      </c>
      <c r="N121" s="55">
        <v>46460</v>
      </c>
      <c r="O121" s="55">
        <v>46468</v>
      </c>
      <c r="P121" s="56" cm="1">
        <f t="array" ref="P121">O121-N121</f>
        <v>8</v>
      </c>
      <c r="Q121" t="str" s="57" cm="1">
        <f t="array" ref="Q121">IF(D121="مكتملة","مرشحة للتسليم",IF(D121="تشطيبات","قيد التجهيز","تحت التنفيذ"))</f>
        <v>مرشحة للتسليم</v>
      </c>
      <c r="R121" s="48"/>
      <c r="S121" s="7"/>
      <c r="T121" s="7"/>
      <c r="U121" s="7"/>
      <c r="V121" s="7"/>
      <c r="W121" s="7"/>
      <c r="X121" s="7"/>
      <c r="Y121" s="7"/>
      <c r="Z121" s="7"/>
    </row>
    <row r="122" ht="15" customHeight="1">
      <c r="A122" s="58">
        <v>118</v>
      </c>
      <c r="B122" t="s" s="59">
        <v>278</v>
      </c>
      <c r="C122" t="s" s="59">
        <v>268</v>
      </c>
      <c r="D122" t="s" s="59">
        <v>40</v>
      </c>
      <c r="E122" s="60">
        <v>0.9897</v>
      </c>
      <c r="F122" t="s" s="59">
        <v>50</v>
      </c>
      <c r="G122" s="61" cm="1">
        <f t="array" ref="G122">COUNTIF('الفحوصات_والاختبارات'!$C$5:$C$704,A122)</f>
        <v>10</v>
      </c>
      <c r="H122" s="61" cm="1">
        <f t="array" ref="H122">_xlfn.COUNTIFS('الفحوصات_والاختبارات'!$C$5:$C$704,A122,'الفحوصات_والاختبارات'!$G$5:$G$704,"مقبول من أول مرة")</f>
        <v>8</v>
      </c>
      <c r="I122" s="60" cm="1">
        <f t="array" ref="I122">_xlfn.IFERROR(H122/G122,0)</f>
        <v>0.8</v>
      </c>
      <c r="J122" s="61">
        <v>0</v>
      </c>
      <c r="K122" s="61">
        <v>5</v>
      </c>
      <c r="L122" s="62">
        <v>8251</v>
      </c>
      <c r="M122" t="str" s="63" cm="1">
        <f t="array" ref="M122">IF(AND(I122&gt;=0.9,J122&lt;=2),"مستقرة",IF(AND(I122&gt;=0.82,J122&lt;=5),"تحت المراقبة","حرجة"))</f>
        <v>حرجة</v>
      </c>
      <c r="N122" s="64">
        <v>46463</v>
      </c>
      <c r="O122" s="64">
        <v>46468</v>
      </c>
      <c r="P122" s="61" cm="1">
        <f t="array" ref="P122">O122-N122</f>
        <v>5</v>
      </c>
      <c r="Q122" t="str" s="65" cm="1">
        <f t="array" ref="Q122">IF(D122="مكتملة","مرشحة للتسليم",IF(D122="تشطيبات","قيد التجهيز","تحت التنفيذ"))</f>
        <v>مرشحة للتسليم</v>
      </c>
      <c r="R122" s="48"/>
      <c r="S122" s="7"/>
      <c r="T122" s="7"/>
      <c r="U122" s="7"/>
      <c r="V122" s="7"/>
      <c r="W122" s="7"/>
      <c r="X122" s="7"/>
      <c r="Y122" s="7"/>
      <c r="Z122" s="7"/>
    </row>
    <row r="123" ht="15" customHeight="1">
      <c r="A123" s="49">
        <v>119</v>
      </c>
      <c r="B123" t="s" s="50">
        <v>278</v>
      </c>
      <c r="C123" t="s" s="50">
        <v>271</v>
      </c>
      <c r="D123" t="s" s="50">
        <v>40</v>
      </c>
      <c r="E123" s="51">
        <v>0.9684</v>
      </c>
      <c r="F123" t="s" s="50">
        <v>50</v>
      </c>
      <c r="G123" s="52" cm="1">
        <f t="array" ref="G123">COUNTIF('الفحوصات_والاختبارات'!$C$5:$C$704,A123)</f>
        <v>10</v>
      </c>
      <c r="H123" s="52" cm="1">
        <f t="array" ref="H123">_xlfn.COUNTIFS('الفحوصات_والاختبارات'!$C$5:$C$704,A123,'الفحوصات_والاختبارات'!$G$5:$G$704,"مقبول من أول مرة")</f>
        <v>9</v>
      </c>
      <c r="I123" s="51" cm="1">
        <f t="array" ref="I123">_xlfn.IFERROR(H123/G123,0)</f>
        <v>0.9</v>
      </c>
      <c r="J123" s="52">
        <v>0</v>
      </c>
      <c r="K123" s="52">
        <v>3</v>
      </c>
      <c r="L123" s="53">
        <v>3244</v>
      </c>
      <c r="M123" t="str" s="54" cm="1">
        <f t="array" ref="M123">IF(AND(I123&gt;=0.9,J123&lt;=2),"مستقرة",IF(AND(I123&gt;=0.82,J123&lt;=5),"تحت المراقبة","حرجة"))</f>
        <v>مستقرة</v>
      </c>
      <c r="N123" s="55">
        <v>46466</v>
      </c>
      <c r="O123" s="55">
        <v>46477</v>
      </c>
      <c r="P123" s="56" cm="1">
        <f t="array" ref="P123">O123-N123</f>
        <v>11</v>
      </c>
      <c r="Q123" t="str" s="57" cm="1">
        <f t="array" ref="Q123">IF(D123="مكتملة","مرشحة للتسليم",IF(D123="تشطيبات","قيد التجهيز","تحت التنفيذ"))</f>
        <v>مرشحة للتسليم</v>
      </c>
      <c r="R123" s="48"/>
      <c r="S123" s="7"/>
      <c r="T123" s="7"/>
      <c r="U123" s="7"/>
      <c r="V123" s="7"/>
      <c r="W123" s="7"/>
      <c r="X123" s="7"/>
      <c r="Y123" s="7"/>
      <c r="Z123" s="7"/>
    </row>
    <row r="124" ht="15" customHeight="1">
      <c r="A124" s="58">
        <v>120</v>
      </c>
      <c r="B124" t="s" s="59">
        <v>278</v>
      </c>
      <c r="C124" t="s" s="59">
        <v>272</v>
      </c>
      <c r="D124" t="s" s="59">
        <v>40</v>
      </c>
      <c r="E124" s="60">
        <v>0.9739</v>
      </c>
      <c r="F124" t="s" s="59">
        <v>50</v>
      </c>
      <c r="G124" s="61" cm="1">
        <f t="array" ref="G124">COUNTIF('الفحوصات_والاختبارات'!$C$5:$C$704,A124)</f>
        <v>10</v>
      </c>
      <c r="H124" s="61" cm="1">
        <f t="array" ref="H124">_xlfn.COUNTIFS('الفحوصات_والاختبارات'!$C$5:$C$704,A124,'الفحوصات_والاختبارات'!$G$5:$G$704,"مقبول من أول مرة")</f>
        <v>8</v>
      </c>
      <c r="I124" s="60" cm="1">
        <f t="array" ref="I124">_xlfn.IFERROR(H124/G124,0)</f>
        <v>0.8</v>
      </c>
      <c r="J124" s="61">
        <v>0</v>
      </c>
      <c r="K124" s="61">
        <v>6</v>
      </c>
      <c r="L124" s="62">
        <v>5232</v>
      </c>
      <c r="M124" t="str" s="63" cm="1">
        <f t="array" ref="M124">IF(AND(I124&gt;=0.9,J124&lt;=2),"مستقرة",IF(AND(I124&gt;=0.82,J124&lt;=5),"تحت المراقبة","حرجة"))</f>
        <v>حرجة</v>
      </c>
      <c r="N124" s="64">
        <v>46469</v>
      </c>
      <c r="O124" s="64">
        <v>46467</v>
      </c>
      <c r="P124" s="61" cm="1">
        <f t="array" ref="P124">O124-N124</f>
        <v>-2</v>
      </c>
      <c r="Q124" t="str" s="65" cm="1">
        <f t="array" ref="Q124">IF(D124="مكتملة","مرشحة للتسليم",IF(D124="تشطيبات","قيد التجهيز","تحت التنفيذ"))</f>
        <v>مرشحة للتسليم</v>
      </c>
      <c r="R124" s="48"/>
      <c r="S124" s="7"/>
      <c r="T124" s="7"/>
      <c r="U124" s="7"/>
      <c r="V124" s="7"/>
      <c r="W124" s="7"/>
      <c r="X124" s="7"/>
      <c r="Y124" s="7"/>
      <c r="Z124" s="7"/>
    </row>
    <row r="125" ht="1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7"/>
      <c r="S125" s="7"/>
      <c r="T125" s="7"/>
      <c r="U125" s="7"/>
      <c r="V125" s="7"/>
      <c r="W125" s="7"/>
      <c r="X125" s="7"/>
      <c r="Y125" s="7"/>
      <c r="Z125" s="7"/>
    </row>
  </sheetData>
  <mergeCells count="2">
    <mergeCell ref="A1:Q1"/>
    <mergeCell ref="A2:Q2"/>
  </mergeCells>
  <dataValidations count="1">
    <dataValidation type="list" allowBlank="1" showInputMessage="1" showErrorMessage="1" sqref="D5:D124">
      <formula1>"حفر,أساسات,هيكل,كهروميكانيك,تشطيبات,مكتملة"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Z705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67" customWidth="1"/>
    <col min="2" max="2" width="12" style="67" customWidth="1"/>
    <col min="3" max="3" width="10" style="67" customWidth="1"/>
    <col min="4" max="4" width="12" style="67" customWidth="1"/>
    <col min="5" max="5" width="28" style="67" customWidth="1"/>
    <col min="6" max="6" width="22" style="67" customWidth="1"/>
    <col min="7" max="7" width="18" style="67" customWidth="1"/>
    <col min="8" max="8" width="12" style="67" customWidth="1"/>
    <col min="9" max="9" width="38" style="67" customWidth="1"/>
    <col min="10" max="26" width="8.85156" style="67" customWidth="1"/>
    <col min="27" max="16384" width="8.85156" style="67" customWidth="1"/>
  </cols>
  <sheetData>
    <row r="1" ht="24" customHeight="1">
      <c r="A1" t="s" s="2">
        <v>280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" customHeight="1">
      <c r="A2" t="s" s="5">
        <v>281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" customHeight="1">
      <c r="A3" s="43"/>
      <c r="B3" s="44"/>
      <c r="C3" s="44"/>
      <c r="D3" s="44"/>
      <c r="E3" s="44"/>
      <c r="F3" s="44"/>
      <c r="G3" s="44"/>
      <c r="H3" s="44"/>
      <c r="I3" s="4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0" customHeight="1">
      <c r="A4" t="s" s="45">
        <v>282</v>
      </c>
      <c r="B4" t="s" s="46">
        <v>283</v>
      </c>
      <c r="C4" t="s" s="46">
        <v>251</v>
      </c>
      <c r="D4" t="s" s="46">
        <v>252</v>
      </c>
      <c r="E4" t="s" s="46">
        <v>284</v>
      </c>
      <c r="F4" t="s" s="46">
        <v>285</v>
      </c>
      <c r="G4" t="s" s="46">
        <v>286</v>
      </c>
      <c r="H4" t="s" s="46">
        <v>287</v>
      </c>
      <c r="I4" t="s" s="47">
        <v>288</v>
      </c>
      <c r="J4" s="4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" customHeight="1">
      <c r="A5" t="s" s="68">
        <v>289</v>
      </c>
      <c r="B5" s="55">
        <v>45663</v>
      </c>
      <c r="C5" s="52">
        <v>1</v>
      </c>
      <c r="D5" t="s" s="50">
        <v>267</v>
      </c>
      <c r="E5" t="s" s="50">
        <v>290</v>
      </c>
      <c r="F5" t="s" s="50">
        <v>48</v>
      </c>
      <c r="G5" t="s" s="50">
        <v>291</v>
      </c>
      <c r="H5" s="69">
        <v>0</v>
      </c>
      <c r="I5" t="s" s="70">
        <v>292</v>
      </c>
      <c r="J5" s="48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" customHeight="1">
      <c r="A6" t="s" s="71">
        <v>293</v>
      </c>
      <c r="B6" s="64">
        <v>45667</v>
      </c>
      <c r="C6" s="61">
        <v>2</v>
      </c>
      <c r="D6" t="s" s="59">
        <v>267</v>
      </c>
      <c r="E6" t="s" s="59">
        <v>290</v>
      </c>
      <c r="F6" t="s" s="59">
        <v>48</v>
      </c>
      <c r="G6" t="s" s="59">
        <v>291</v>
      </c>
      <c r="H6" s="72">
        <v>0</v>
      </c>
      <c r="I6" t="s" s="73">
        <v>292</v>
      </c>
      <c r="J6" s="48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" customHeight="1">
      <c r="A7" t="s" s="68">
        <v>294</v>
      </c>
      <c r="B7" s="55">
        <v>45671</v>
      </c>
      <c r="C7" s="52">
        <v>3</v>
      </c>
      <c r="D7" t="s" s="50">
        <v>267</v>
      </c>
      <c r="E7" t="s" s="50">
        <v>290</v>
      </c>
      <c r="F7" t="s" s="50">
        <v>48</v>
      </c>
      <c r="G7" t="s" s="50">
        <v>291</v>
      </c>
      <c r="H7" s="69">
        <v>0</v>
      </c>
      <c r="I7" t="s" s="70">
        <v>292</v>
      </c>
      <c r="J7" s="4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" customHeight="1">
      <c r="A8" t="s" s="71">
        <v>295</v>
      </c>
      <c r="B8" s="64">
        <v>45668</v>
      </c>
      <c r="C8" s="61">
        <v>4</v>
      </c>
      <c r="D8" t="s" s="59">
        <v>267</v>
      </c>
      <c r="E8" t="s" s="59">
        <v>290</v>
      </c>
      <c r="F8" t="s" s="59">
        <v>48</v>
      </c>
      <c r="G8" t="s" s="59">
        <v>291</v>
      </c>
      <c r="H8" s="72">
        <v>0</v>
      </c>
      <c r="I8" t="s" s="73">
        <v>292</v>
      </c>
      <c r="J8" s="4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" customHeight="1">
      <c r="A9" t="s" s="68">
        <v>296</v>
      </c>
      <c r="B9" s="55">
        <v>45673</v>
      </c>
      <c r="C9" s="52">
        <v>5</v>
      </c>
      <c r="D9" t="s" s="50">
        <v>267</v>
      </c>
      <c r="E9" t="s" s="50">
        <v>290</v>
      </c>
      <c r="F9" t="s" s="50">
        <v>48</v>
      </c>
      <c r="G9" t="s" s="50">
        <v>291</v>
      </c>
      <c r="H9" s="69">
        <v>0</v>
      </c>
      <c r="I9" t="s" s="70">
        <v>292</v>
      </c>
      <c r="J9" s="4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" customHeight="1">
      <c r="A10" t="s" s="71">
        <v>297</v>
      </c>
      <c r="B10" s="64">
        <v>45672</v>
      </c>
      <c r="C10" s="61">
        <v>6</v>
      </c>
      <c r="D10" t="s" s="59">
        <v>267</v>
      </c>
      <c r="E10" t="s" s="59">
        <v>290</v>
      </c>
      <c r="F10" t="s" s="59">
        <v>48</v>
      </c>
      <c r="G10" t="s" s="59">
        <v>291</v>
      </c>
      <c r="H10" s="72">
        <v>0</v>
      </c>
      <c r="I10" t="s" s="73">
        <v>292</v>
      </c>
      <c r="J10" s="4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" customHeight="1">
      <c r="A11" t="s" s="68">
        <v>298</v>
      </c>
      <c r="B11" s="55">
        <v>45675</v>
      </c>
      <c r="C11" s="52">
        <v>7</v>
      </c>
      <c r="D11" t="s" s="50">
        <v>267</v>
      </c>
      <c r="E11" t="s" s="50">
        <v>290</v>
      </c>
      <c r="F11" t="s" s="50">
        <v>48</v>
      </c>
      <c r="G11" t="s" s="50">
        <v>291</v>
      </c>
      <c r="H11" s="69">
        <v>0</v>
      </c>
      <c r="I11" t="s" s="70">
        <v>292</v>
      </c>
      <c r="J11" s="4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" customHeight="1">
      <c r="A12" t="s" s="71">
        <v>299</v>
      </c>
      <c r="B12" s="64">
        <v>45676</v>
      </c>
      <c r="C12" s="61">
        <v>8</v>
      </c>
      <c r="D12" t="s" s="59">
        <v>267</v>
      </c>
      <c r="E12" t="s" s="59">
        <v>290</v>
      </c>
      <c r="F12" t="s" s="59">
        <v>48</v>
      </c>
      <c r="G12" t="s" s="59">
        <v>291</v>
      </c>
      <c r="H12" s="72">
        <v>0</v>
      </c>
      <c r="I12" t="s" s="73">
        <v>292</v>
      </c>
      <c r="J12" s="4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" customHeight="1">
      <c r="A13" t="s" s="68">
        <v>300</v>
      </c>
      <c r="B13" s="55">
        <v>45680</v>
      </c>
      <c r="C13" s="52">
        <v>9</v>
      </c>
      <c r="D13" t="s" s="50">
        <v>267</v>
      </c>
      <c r="E13" t="s" s="50">
        <v>290</v>
      </c>
      <c r="F13" t="s" s="50">
        <v>48</v>
      </c>
      <c r="G13" t="s" s="50">
        <v>291</v>
      </c>
      <c r="H13" s="69">
        <v>0</v>
      </c>
      <c r="I13" t="s" s="70">
        <v>292</v>
      </c>
      <c r="J13" s="4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" customHeight="1">
      <c r="A14" t="s" s="71">
        <v>301</v>
      </c>
      <c r="B14" s="64">
        <v>45685</v>
      </c>
      <c r="C14" s="61">
        <v>10</v>
      </c>
      <c r="D14" t="s" s="59">
        <v>267</v>
      </c>
      <c r="E14" t="s" s="59">
        <v>290</v>
      </c>
      <c r="F14" t="s" s="59">
        <v>48</v>
      </c>
      <c r="G14" t="s" s="59">
        <v>291</v>
      </c>
      <c r="H14" s="72">
        <v>0</v>
      </c>
      <c r="I14" t="s" s="73">
        <v>292</v>
      </c>
      <c r="J14" s="4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" customHeight="1">
      <c r="A15" t="s" s="68">
        <v>302</v>
      </c>
      <c r="B15" s="55">
        <v>45689</v>
      </c>
      <c r="C15" s="52">
        <v>11</v>
      </c>
      <c r="D15" t="s" s="50">
        <v>267</v>
      </c>
      <c r="E15" t="s" s="50">
        <v>290</v>
      </c>
      <c r="F15" t="s" s="50">
        <v>48</v>
      </c>
      <c r="G15" t="s" s="50">
        <v>291</v>
      </c>
      <c r="H15" s="69">
        <v>0</v>
      </c>
      <c r="I15" t="s" s="70">
        <v>292</v>
      </c>
      <c r="J15" s="4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" customHeight="1">
      <c r="A16" t="s" s="71">
        <v>303</v>
      </c>
      <c r="B16" s="64">
        <v>45691</v>
      </c>
      <c r="C16" s="61">
        <v>12</v>
      </c>
      <c r="D16" t="s" s="59">
        <v>267</v>
      </c>
      <c r="E16" t="s" s="59">
        <v>290</v>
      </c>
      <c r="F16" t="s" s="59">
        <v>48</v>
      </c>
      <c r="G16" t="s" s="59">
        <v>291</v>
      </c>
      <c r="H16" s="72">
        <v>0</v>
      </c>
      <c r="I16" t="s" s="73">
        <v>292</v>
      </c>
      <c r="J16" s="4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" customHeight="1">
      <c r="A17" t="s" s="68">
        <v>304</v>
      </c>
      <c r="B17" s="55">
        <v>45690</v>
      </c>
      <c r="C17" s="52">
        <v>13</v>
      </c>
      <c r="D17" t="s" s="50">
        <v>267</v>
      </c>
      <c r="E17" t="s" s="50">
        <v>290</v>
      </c>
      <c r="F17" t="s" s="50">
        <v>48</v>
      </c>
      <c r="G17" t="s" s="50">
        <v>291</v>
      </c>
      <c r="H17" s="69">
        <v>0</v>
      </c>
      <c r="I17" t="s" s="70">
        <v>292</v>
      </c>
      <c r="J17" s="4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" customHeight="1">
      <c r="A18" t="s" s="71">
        <v>305</v>
      </c>
      <c r="B18" s="64">
        <v>45690</v>
      </c>
      <c r="C18" s="61">
        <v>14</v>
      </c>
      <c r="D18" t="s" s="59">
        <v>267</v>
      </c>
      <c r="E18" t="s" s="59">
        <v>290</v>
      </c>
      <c r="F18" t="s" s="59">
        <v>48</v>
      </c>
      <c r="G18" t="s" s="59">
        <v>291</v>
      </c>
      <c r="H18" s="72">
        <v>0</v>
      </c>
      <c r="I18" t="s" s="73">
        <v>292</v>
      </c>
      <c r="J18" s="4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" customHeight="1">
      <c r="A19" t="s" s="68">
        <v>306</v>
      </c>
      <c r="B19" s="55">
        <v>45696</v>
      </c>
      <c r="C19" s="52">
        <v>15</v>
      </c>
      <c r="D19" t="s" s="50">
        <v>267</v>
      </c>
      <c r="E19" t="s" s="50">
        <v>290</v>
      </c>
      <c r="F19" t="s" s="50">
        <v>48</v>
      </c>
      <c r="G19" t="s" s="50">
        <v>291</v>
      </c>
      <c r="H19" s="69">
        <v>0</v>
      </c>
      <c r="I19" t="s" s="70">
        <v>292</v>
      </c>
      <c r="J19" s="48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" customHeight="1">
      <c r="A20" t="s" s="71">
        <v>307</v>
      </c>
      <c r="B20" s="64">
        <v>45692</v>
      </c>
      <c r="C20" s="61">
        <v>16</v>
      </c>
      <c r="D20" t="s" s="59">
        <v>267</v>
      </c>
      <c r="E20" t="s" s="59">
        <v>290</v>
      </c>
      <c r="F20" t="s" s="59">
        <v>48</v>
      </c>
      <c r="G20" t="s" s="59">
        <v>291</v>
      </c>
      <c r="H20" s="72">
        <v>0</v>
      </c>
      <c r="I20" t="s" s="73">
        <v>292</v>
      </c>
      <c r="J20" s="48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" customHeight="1">
      <c r="A21" t="s" s="68">
        <v>308</v>
      </c>
      <c r="B21" s="55">
        <v>45698</v>
      </c>
      <c r="C21" s="52">
        <v>17</v>
      </c>
      <c r="D21" t="s" s="50">
        <v>267</v>
      </c>
      <c r="E21" t="s" s="50">
        <v>290</v>
      </c>
      <c r="F21" t="s" s="50">
        <v>48</v>
      </c>
      <c r="G21" t="s" s="50">
        <v>291</v>
      </c>
      <c r="H21" s="69">
        <v>0</v>
      </c>
      <c r="I21" t="s" s="70">
        <v>292</v>
      </c>
      <c r="J21" s="48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" customHeight="1">
      <c r="A22" t="s" s="71">
        <v>309</v>
      </c>
      <c r="B22" s="64">
        <v>45700</v>
      </c>
      <c r="C22" s="61">
        <v>18</v>
      </c>
      <c r="D22" t="s" s="59">
        <v>267</v>
      </c>
      <c r="E22" t="s" s="59">
        <v>290</v>
      </c>
      <c r="F22" t="s" s="59">
        <v>48</v>
      </c>
      <c r="G22" t="s" s="59">
        <v>291</v>
      </c>
      <c r="H22" s="72">
        <v>0</v>
      </c>
      <c r="I22" t="s" s="73">
        <v>292</v>
      </c>
      <c r="J22" s="4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" customHeight="1">
      <c r="A23" t="s" s="68">
        <v>310</v>
      </c>
      <c r="B23" s="55">
        <v>45703</v>
      </c>
      <c r="C23" s="52">
        <v>19</v>
      </c>
      <c r="D23" t="s" s="50">
        <v>267</v>
      </c>
      <c r="E23" t="s" s="50">
        <v>290</v>
      </c>
      <c r="F23" t="s" s="50">
        <v>48</v>
      </c>
      <c r="G23" t="s" s="50">
        <v>291</v>
      </c>
      <c r="H23" s="69">
        <v>0</v>
      </c>
      <c r="I23" t="s" s="70">
        <v>292</v>
      </c>
      <c r="J23" s="4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" customHeight="1">
      <c r="A24" t="s" s="71">
        <v>311</v>
      </c>
      <c r="B24" s="64">
        <v>45704</v>
      </c>
      <c r="C24" s="61">
        <v>20</v>
      </c>
      <c r="D24" t="s" s="59">
        <v>267</v>
      </c>
      <c r="E24" t="s" s="59">
        <v>290</v>
      </c>
      <c r="F24" t="s" s="59">
        <v>48</v>
      </c>
      <c r="G24" t="s" s="59">
        <v>291</v>
      </c>
      <c r="H24" s="72">
        <v>0</v>
      </c>
      <c r="I24" t="s" s="73">
        <v>292</v>
      </c>
      <c r="J24" s="48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" customHeight="1">
      <c r="A25" t="s" s="68">
        <v>312</v>
      </c>
      <c r="B25" s="55">
        <v>45705</v>
      </c>
      <c r="C25" s="52">
        <v>21</v>
      </c>
      <c r="D25" t="s" s="50">
        <v>267</v>
      </c>
      <c r="E25" t="s" s="50">
        <v>290</v>
      </c>
      <c r="F25" t="s" s="50">
        <v>48</v>
      </c>
      <c r="G25" t="s" s="50">
        <v>291</v>
      </c>
      <c r="H25" s="69">
        <v>0</v>
      </c>
      <c r="I25" t="s" s="70">
        <v>292</v>
      </c>
      <c r="J25" s="4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" customHeight="1">
      <c r="A26" t="s" s="71">
        <v>313</v>
      </c>
      <c r="B26" s="64">
        <v>45731</v>
      </c>
      <c r="C26" s="61">
        <v>21</v>
      </c>
      <c r="D26" t="s" s="59">
        <v>267</v>
      </c>
      <c r="E26" t="s" s="59">
        <v>314</v>
      </c>
      <c r="F26" t="s" s="59">
        <v>48</v>
      </c>
      <c r="G26" t="s" s="59">
        <v>291</v>
      </c>
      <c r="H26" s="72">
        <v>0</v>
      </c>
      <c r="I26" t="s" s="73">
        <v>292</v>
      </c>
      <c r="J26" s="48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" customHeight="1">
      <c r="A27" t="s" s="68">
        <v>315</v>
      </c>
      <c r="B27" s="55">
        <v>45759</v>
      </c>
      <c r="C27" s="52">
        <v>21</v>
      </c>
      <c r="D27" t="s" s="50">
        <v>267</v>
      </c>
      <c r="E27" t="s" s="50">
        <v>316</v>
      </c>
      <c r="F27" t="s" s="50">
        <v>48</v>
      </c>
      <c r="G27" t="s" s="50">
        <v>291</v>
      </c>
      <c r="H27" s="69">
        <v>0</v>
      </c>
      <c r="I27" t="s" s="70">
        <v>292</v>
      </c>
      <c r="J27" s="48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" customHeight="1">
      <c r="A28" t="s" s="71">
        <v>317</v>
      </c>
      <c r="B28" s="64">
        <v>45705</v>
      </c>
      <c r="C28" s="61">
        <v>22</v>
      </c>
      <c r="D28" t="s" s="59">
        <v>267</v>
      </c>
      <c r="E28" t="s" s="59">
        <v>290</v>
      </c>
      <c r="F28" t="s" s="59">
        <v>48</v>
      </c>
      <c r="G28" t="s" s="59">
        <v>318</v>
      </c>
      <c r="H28" s="72">
        <v>1</v>
      </c>
      <c r="I28" t="s" s="73">
        <v>319</v>
      </c>
      <c r="J28" s="48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" customHeight="1">
      <c r="A29" t="s" s="68">
        <v>320</v>
      </c>
      <c r="B29" s="55">
        <v>45733</v>
      </c>
      <c r="C29" s="52">
        <v>22</v>
      </c>
      <c r="D29" t="s" s="50">
        <v>267</v>
      </c>
      <c r="E29" t="s" s="50">
        <v>314</v>
      </c>
      <c r="F29" t="s" s="50">
        <v>48</v>
      </c>
      <c r="G29" t="s" s="50">
        <v>291</v>
      </c>
      <c r="H29" s="69">
        <v>0</v>
      </c>
      <c r="I29" t="s" s="70">
        <v>292</v>
      </c>
      <c r="J29" s="48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" customHeight="1">
      <c r="A30" t="s" s="71">
        <v>321</v>
      </c>
      <c r="B30" s="64">
        <v>45760</v>
      </c>
      <c r="C30" s="61">
        <v>22</v>
      </c>
      <c r="D30" t="s" s="59">
        <v>267</v>
      </c>
      <c r="E30" t="s" s="59">
        <v>316</v>
      </c>
      <c r="F30" t="s" s="59">
        <v>48</v>
      </c>
      <c r="G30" t="s" s="59">
        <v>291</v>
      </c>
      <c r="H30" s="72">
        <v>0</v>
      </c>
      <c r="I30" t="s" s="73">
        <v>292</v>
      </c>
      <c r="J30" s="48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" customHeight="1">
      <c r="A31" t="s" s="68">
        <v>322</v>
      </c>
      <c r="B31" s="55">
        <v>45707</v>
      </c>
      <c r="C31" s="52">
        <v>23</v>
      </c>
      <c r="D31" t="s" s="50">
        <v>267</v>
      </c>
      <c r="E31" t="s" s="50">
        <v>290</v>
      </c>
      <c r="F31" t="s" s="50">
        <v>48</v>
      </c>
      <c r="G31" t="s" s="50">
        <v>291</v>
      </c>
      <c r="H31" s="69">
        <v>0</v>
      </c>
      <c r="I31" t="s" s="70">
        <v>292</v>
      </c>
      <c r="J31" s="48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" customHeight="1">
      <c r="A32" t="s" s="71">
        <v>323</v>
      </c>
      <c r="B32" s="64">
        <v>45739</v>
      </c>
      <c r="C32" s="61">
        <v>23</v>
      </c>
      <c r="D32" t="s" s="59">
        <v>267</v>
      </c>
      <c r="E32" t="s" s="59">
        <v>314</v>
      </c>
      <c r="F32" t="s" s="59">
        <v>48</v>
      </c>
      <c r="G32" t="s" s="59">
        <v>291</v>
      </c>
      <c r="H32" s="72">
        <v>0</v>
      </c>
      <c r="I32" t="s" s="73">
        <v>292</v>
      </c>
      <c r="J32" s="48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" customHeight="1">
      <c r="A33" t="s" s="68">
        <v>324</v>
      </c>
      <c r="B33" s="55">
        <v>45767</v>
      </c>
      <c r="C33" s="52">
        <v>23</v>
      </c>
      <c r="D33" t="s" s="50">
        <v>267</v>
      </c>
      <c r="E33" t="s" s="50">
        <v>316</v>
      </c>
      <c r="F33" t="s" s="50">
        <v>48</v>
      </c>
      <c r="G33" t="s" s="50">
        <v>291</v>
      </c>
      <c r="H33" s="69">
        <v>0</v>
      </c>
      <c r="I33" t="s" s="70">
        <v>292</v>
      </c>
      <c r="J33" s="48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" customHeight="1">
      <c r="A34" t="s" s="71">
        <v>325</v>
      </c>
      <c r="B34" s="64">
        <v>45711</v>
      </c>
      <c r="C34" s="61">
        <v>24</v>
      </c>
      <c r="D34" t="s" s="59">
        <v>267</v>
      </c>
      <c r="E34" t="s" s="59">
        <v>290</v>
      </c>
      <c r="F34" t="s" s="59">
        <v>48</v>
      </c>
      <c r="G34" t="s" s="59">
        <v>291</v>
      </c>
      <c r="H34" s="72">
        <v>0</v>
      </c>
      <c r="I34" t="s" s="73">
        <v>292</v>
      </c>
      <c r="J34" s="48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" customHeight="1">
      <c r="A35" t="s" s="68">
        <v>326</v>
      </c>
      <c r="B35" s="55">
        <v>45741</v>
      </c>
      <c r="C35" s="52">
        <v>24</v>
      </c>
      <c r="D35" t="s" s="50">
        <v>267</v>
      </c>
      <c r="E35" t="s" s="50">
        <v>314</v>
      </c>
      <c r="F35" t="s" s="50">
        <v>48</v>
      </c>
      <c r="G35" t="s" s="50">
        <v>291</v>
      </c>
      <c r="H35" s="69">
        <v>0</v>
      </c>
      <c r="I35" t="s" s="70">
        <v>292</v>
      </c>
      <c r="J35" s="4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" customHeight="1">
      <c r="A36" t="s" s="71">
        <v>327</v>
      </c>
      <c r="B36" s="64">
        <v>45765</v>
      </c>
      <c r="C36" s="61">
        <v>24</v>
      </c>
      <c r="D36" t="s" s="59">
        <v>267</v>
      </c>
      <c r="E36" t="s" s="59">
        <v>316</v>
      </c>
      <c r="F36" t="s" s="59">
        <v>48</v>
      </c>
      <c r="G36" t="s" s="59">
        <v>318</v>
      </c>
      <c r="H36" s="72">
        <v>2</v>
      </c>
      <c r="I36" t="s" s="73">
        <v>319</v>
      </c>
      <c r="J36" s="48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" customHeight="1">
      <c r="A37" t="s" s="68">
        <v>328</v>
      </c>
      <c r="B37" s="55">
        <v>45712</v>
      </c>
      <c r="C37" s="52">
        <v>25</v>
      </c>
      <c r="D37" t="s" s="50">
        <v>267</v>
      </c>
      <c r="E37" t="s" s="50">
        <v>290</v>
      </c>
      <c r="F37" t="s" s="50">
        <v>48</v>
      </c>
      <c r="G37" t="s" s="50">
        <v>291</v>
      </c>
      <c r="H37" s="69">
        <v>0</v>
      </c>
      <c r="I37" t="s" s="70">
        <v>292</v>
      </c>
      <c r="J37" s="48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" customHeight="1">
      <c r="A38" t="s" s="71">
        <v>329</v>
      </c>
      <c r="B38" s="64">
        <v>45744</v>
      </c>
      <c r="C38" s="61">
        <v>25</v>
      </c>
      <c r="D38" t="s" s="59">
        <v>267</v>
      </c>
      <c r="E38" t="s" s="59">
        <v>314</v>
      </c>
      <c r="F38" t="s" s="59">
        <v>48</v>
      </c>
      <c r="G38" t="s" s="59">
        <v>291</v>
      </c>
      <c r="H38" s="72">
        <v>0</v>
      </c>
      <c r="I38" t="s" s="73">
        <v>292</v>
      </c>
      <c r="J38" s="48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" customHeight="1">
      <c r="A39" t="s" s="68">
        <v>330</v>
      </c>
      <c r="B39" s="55">
        <v>45769</v>
      </c>
      <c r="C39" s="52">
        <v>25</v>
      </c>
      <c r="D39" t="s" s="50">
        <v>267</v>
      </c>
      <c r="E39" t="s" s="50">
        <v>316</v>
      </c>
      <c r="F39" t="s" s="50">
        <v>48</v>
      </c>
      <c r="G39" t="s" s="50">
        <v>291</v>
      </c>
      <c r="H39" s="69">
        <v>0</v>
      </c>
      <c r="I39" t="s" s="70">
        <v>292</v>
      </c>
      <c r="J39" s="48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" customHeight="1">
      <c r="A40" t="s" s="71">
        <v>331</v>
      </c>
      <c r="B40" s="64">
        <v>45719</v>
      </c>
      <c r="C40" s="61">
        <v>26</v>
      </c>
      <c r="D40" t="s" s="59">
        <v>267</v>
      </c>
      <c r="E40" t="s" s="59">
        <v>290</v>
      </c>
      <c r="F40" t="s" s="59">
        <v>48</v>
      </c>
      <c r="G40" t="s" s="59">
        <v>291</v>
      </c>
      <c r="H40" s="72">
        <v>0</v>
      </c>
      <c r="I40" t="s" s="73">
        <v>292</v>
      </c>
      <c r="J40" s="48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" customHeight="1">
      <c r="A41" t="s" s="68">
        <v>332</v>
      </c>
      <c r="B41" s="55">
        <v>45745</v>
      </c>
      <c r="C41" s="52">
        <v>26</v>
      </c>
      <c r="D41" t="s" s="50">
        <v>267</v>
      </c>
      <c r="E41" t="s" s="50">
        <v>314</v>
      </c>
      <c r="F41" t="s" s="50">
        <v>48</v>
      </c>
      <c r="G41" t="s" s="50">
        <v>291</v>
      </c>
      <c r="H41" s="69">
        <v>0</v>
      </c>
      <c r="I41" t="s" s="70">
        <v>292</v>
      </c>
      <c r="J41" s="48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" customHeight="1">
      <c r="A42" t="s" s="71">
        <v>333</v>
      </c>
      <c r="B42" s="64">
        <v>45772</v>
      </c>
      <c r="C42" s="61">
        <v>26</v>
      </c>
      <c r="D42" t="s" s="59">
        <v>267</v>
      </c>
      <c r="E42" t="s" s="59">
        <v>316</v>
      </c>
      <c r="F42" t="s" s="59">
        <v>48</v>
      </c>
      <c r="G42" t="s" s="59">
        <v>291</v>
      </c>
      <c r="H42" s="72">
        <v>0</v>
      </c>
      <c r="I42" t="s" s="73">
        <v>292</v>
      </c>
      <c r="J42" s="48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" customHeight="1">
      <c r="A43" t="s" s="68">
        <v>334</v>
      </c>
      <c r="B43" s="55">
        <v>45715</v>
      </c>
      <c r="C43" s="52">
        <v>27</v>
      </c>
      <c r="D43" t="s" s="50">
        <v>267</v>
      </c>
      <c r="E43" t="s" s="50">
        <v>290</v>
      </c>
      <c r="F43" t="s" s="50">
        <v>48</v>
      </c>
      <c r="G43" t="s" s="50">
        <v>291</v>
      </c>
      <c r="H43" s="69">
        <v>0</v>
      </c>
      <c r="I43" t="s" s="70">
        <v>292</v>
      </c>
      <c r="J43" s="48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" customHeight="1">
      <c r="A44" t="s" s="71">
        <v>335</v>
      </c>
      <c r="B44" s="64">
        <v>45744</v>
      </c>
      <c r="C44" s="61">
        <v>27</v>
      </c>
      <c r="D44" t="s" s="59">
        <v>267</v>
      </c>
      <c r="E44" t="s" s="59">
        <v>314</v>
      </c>
      <c r="F44" t="s" s="59">
        <v>48</v>
      </c>
      <c r="G44" t="s" s="59">
        <v>291</v>
      </c>
      <c r="H44" s="72">
        <v>0</v>
      </c>
      <c r="I44" t="s" s="73">
        <v>292</v>
      </c>
      <c r="J44" s="48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" customHeight="1">
      <c r="A45" t="s" s="68">
        <v>336</v>
      </c>
      <c r="B45" s="55">
        <v>45771</v>
      </c>
      <c r="C45" s="52">
        <v>27</v>
      </c>
      <c r="D45" t="s" s="50">
        <v>267</v>
      </c>
      <c r="E45" t="s" s="50">
        <v>316</v>
      </c>
      <c r="F45" t="s" s="50">
        <v>48</v>
      </c>
      <c r="G45" t="s" s="50">
        <v>291</v>
      </c>
      <c r="H45" s="69">
        <v>0</v>
      </c>
      <c r="I45" t="s" s="70">
        <v>292</v>
      </c>
      <c r="J45" s="48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" customHeight="1">
      <c r="A46" t="s" s="71">
        <v>337</v>
      </c>
      <c r="B46" s="64">
        <v>45719</v>
      </c>
      <c r="C46" s="61">
        <v>28</v>
      </c>
      <c r="D46" t="s" s="59">
        <v>267</v>
      </c>
      <c r="E46" t="s" s="59">
        <v>290</v>
      </c>
      <c r="F46" t="s" s="59">
        <v>48</v>
      </c>
      <c r="G46" t="s" s="59">
        <v>291</v>
      </c>
      <c r="H46" s="72">
        <v>0</v>
      </c>
      <c r="I46" t="s" s="73">
        <v>292</v>
      </c>
      <c r="J46" s="48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" customHeight="1">
      <c r="A47" t="s" s="68">
        <v>338</v>
      </c>
      <c r="B47" s="55">
        <v>45746</v>
      </c>
      <c r="C47" s="52">
        <v>28</v>
      </c>
      <c r="D47" t="s" s="50">
        <v>267</v>
      </c>
      <c r="E47" t="s" s="50">
        <v>314</v>
      </c>
      <c r="F47" t="s" s="50">
        <v>48</v>
      </c>
      <c r="G47" t="s" s="50">
        <v>291</v>
      </c>
      <c r="H47" s="69">
        <v>0</v>
      </c>
      <c r="I47" t="s" s="70">
        <v>292</v>
      </c>
      <c r="J47" s="48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" customHeight="1">
      <c r="A48" t="s" s="71">
        <v>339</v>
      </c>
      <c r="B48" s="64">
        <v>45778</v>
      </c>
      <c r="C48" s="61">
        <v>28</v>
      </c>
      <c r="D48" t="s" s="59">
        <v>267</v>
      </c>
      <c r="E48" t="s" s="59">
        <v>316</v>
      </c>
      <c r="F48" t="s" s="59">
        <v>48</v>
      </c>
      <c r="G48" t="s" s="59">
        <v>291</v>
      </c>
      <c r="H48" s="72">
        <v>0</v>
      </c>
      <c r="I48" t="s" s="73">
        <v>292</v>
      </c>
      <c r="J48" s="48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" customHeight="1">
      <c r="A49" t="s" s="68">
        <v>340</v>
      </c>
      <c r="B49" s="55">
        <v>45724</v>
      </c>
      <c r="C49" s="52">
        <v>29</v>
      </c>
      <c r="D49" t="s" s="50">
        <v>267</v>
      </c>
      <c r="E49" t="s" s="50">
        <v>290</v>
      </c>
      <c r="F49" t="s" s="50">
        <v>48</v>
      </c>
      <c r="G49" t="s" s="50">
        <v>291</v>
      </c>
      <c r="H49" s="69">
        <v>0</v>
      </c>
      <c r="I49" t="s" s="70">
        <v>292</v>
      </c>
      <c r="J49" s="48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" customHeight="1">
      <c r="A50" t="s" s="71">
        <v>341</v>
      </c>
      <c r="B50" s="64">
        <v>45750</v>
      </c>
      <c r="C50" s="61">
        <v>29</v>
      </c>
      <c r="D50" t="s" s="59">
        <v>267</v>
      </c>
      <c r="E50" t="s" s="59">
        <v>314</v>
      </c>
      <c r="F50" t="s" s="59">
        <v>48</v>
      </c>
      <c r="G50" t="s" s="59">
        <v>318</v>
      </c>
      <c r="H50" s="72">
        <v>1</v>
      </c>
      <c r="I50" t="s" s="73">
        <v>319</v>
      </c>
      <c r="J50" s="48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" customHeight="1">
      <c r="A51" t="s" s="68">
        <v>342</v>
      </c>
      <c r="B51" s="55">
        <v>45781</v>
      </c>
      <c r="C51" s="52">
        <v>29</v>
      </c>
      <c r="D51" t="s" s="50">
        <v>267</v>
      </c>
      <c r="E51" t="s" s="50">
        <v>316</v>
      </c>
      <c r="F51" t="s" s="50">
        <v>48</v>
      </c>
      <c r="G51" t="s" s="50">
        <v>291</v>
      </c>
      <c r="H51" s="69">
        <v>0</v>
      </c>
      <c r="I51" t="s" s="70">
        <v>292</v>
      </c>
      <c r="J51" s="48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" customHeight="1">
      <c r="A52" t="s" s="71">
        <v>343</v>
      </c>
      <c r="B52" s="64">
        <v>45722</v>
      </c>
      <c r="C52" s="61">
        <v>30</v>
      </c>
      <c r="D52" t="s" s="59">
        <v>267</v>
      </c>
      <c r="E52" t="s" s="59">
        <v>290</v>
      </c>
      <c r="F52" t="s" s="59">
        <v>48</v>
      </c>
      <c r="G52" t="s" s="59">
        <v>291</v>
      </c>
      <c r="H52" s="72">
        <v>0</v>
      </c>
      <c r="I52" t="s" s="73">
        <v>292</v>
      </c>
      <c r="J52" s="48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" customHeight="1">
      <c r="A53" t="s" s="68">
        <v>344</v>
      </c>
      <c r="B53" s="55">
        <v>45750</v>
      </c>
      <c r="C53" s="52">
        <v>30</v>
      </c>
      <c r="D53" t="s" s="50">
        <v>267</v>
      </c>
      <c r="E53" t="s" s="50">
        <v>314</v>
      </c>
      <c r="F53" t="s" s="50">
        <v>48</v>
      </c>
      <c r="G53" t="s" s="50">
        <v>291</v>
      </c>
      <c r="H53" s="69">
        <v>0</v>
      </c>
      <c r="I53" t="s" s="70">
        <v>292</v>
      </c>
      <c r="J53" s="48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" customHeight="1">
      <c r="A54" t="s" s="71">
        <v>345</v>
      </c>
      <c r="B54" s="64">
        <v>45779</v>
      </c>
      <c r="C54" s="61">
        <v>30</v>
      </c>
      <c r="D54" t="s" s="59">
        <v>267</v>
      </c>
      <c r="E54" t="s" s="59">
        <v>316</v>
      </c>
      <c r="F54" t="s" s="59">
        <v>48</v>
      </c>
      <c r="G54" t="s" s="59">
        <v>291</v>
      </c>
      <c r="H54" s="72">
        <v>0</v>
      </c>
      <c r="I54" t="s" s="73">
        <v>292</v>
      </c>
      <c r="J54" s="48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" customHeight="1">
      <c r="A55" t="s" s="68">
        <v>346</v>
      </c>
      <c r="B55" s="55">
        <v>45722</v>
      </c>
      <c r="C55" s="52">
        <v>31</v>
      </c>
      <c r="D55" t="s" s="50">
        <v>274</v>
      </c>
      <c r="E55" t="s" s="50">
        <v>290</v>
      </c>
      <c r="F55" t="s" s="50">
        <v>48</v>
      </c>
      <c r="G55" t="s" s="50">
        <v>291</v>
      </c>
      <c r="H55" s="69">
        <v>0</v>
      </c>
      <c r="I55" t="s" s="70">
        <v>292</v>
      </c>
      <c r="J55" s="48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" customHeight="1">
      <c r="A56" t="s" s="71">
        <v>347</v>
      </c>
      <c r="B56" s="64">
        <v>45752</v>
      </c>
      <c r="C56" s="61">
        <v>31</v>
      </c>
      <c r="D56" t="s" s="59">
        <v>274</v>
      </c>
      <c r="E56" t="s" s="59">
        <v>314</v>
      </c>
      <c r="F56" t="s" s="59">
        <v>48</v>
      </c>
      <c r="G56" t="s" s="59">
        <v>291</v>
      </c>
      <c r="H56" s="72">
        <v>0</v>
      </c>
      <c r="I56" t="s" s="73">
        <v>292</v>
      </c>
      <c r="J56" s="48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" customHeight="1">
      <c r="A57" t="s" s="68">
        <v>348</v>
      </c>
      <c r="B57" s="55">
        <v>45785</v>
      </c>
      <c r="C57" s="52">
        <v>31</v>
      </c>
      <c r="D57" t="s" s="50">
        <v>274</v>
      </c>
      <c r="E57" t="s" s="50">
        <v>316</v>
      </c>
      <c r="F57" t="s" s="50">
        <v>48</v>
      </c>
      <c r="G57" t="s" s="50">
        <v>291</v>
      </c>
      <c r="H57" s="69">
        <v>0</v>
      </c>
      <c r="I57" t="s" s="70">
        <v>292</v>
      </c>
      <c r="J57" s="48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" customHeight="1">
      <c r="A58" t="s" s="71">
        <v>349</v>
      </c>
      <c r="B58" s="64">
        <v>45725</v>
      </c>
      <c r="C58" s="61">
        <v>32</v>
      </c>
      <c r="D58" t="s" s="59">
        <v>274</v>
      </c>
      <c r="E58" t="s" s="59">
        <v>290</v>
      </c>
      <c r="F58" t="s" s="59">
        <v>48</v>
      </c>
      <c r="G58" t="s" s="59">
        <v>291</v>
      </c>
      <c r="H58" s="72">
        <v>0</v>
      </c>
      <c r="I58" t="s" s="73">
        <v>292</v>
      </c>
      <c r="J58" s="48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" customHeight="1">
      <c r="A59" t="s" s="68">
        <v>350</v>
      </c>
      <c r="B59" s="55">
        <v>45755</v>
      </c>
      <c r="C59" s="52">
        <v>32</v>
      </c>
      <c r="D59" t="s" s="50">
        <v>274</v>
      </c>
      <c r="E59" t="s" s="50">
        <v>314</v>
      </c>
      <c r="F59" t="s" s="50">
        <v>48</v>
      </c>
      <c r="G59" t="s" s="50">
        <v>291</v>
      </c>
      <c r="H59" s="69">
        <v>0</v>
      </c>
      <c r="I59" t="s" s="70">
        <v>292</v>
      </c>
      <c r="J59" s="48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" customHeight="1">
      <c r="A60" t="s" s="71">
        <v>351</v>
      </c>
      <c r="B60" s="64">
        <v>45783</v>
      </c>
      <c r="C60" s="61">
        <v>32</v>
      </c>
      <c r="D60" t="s" s="59">
        <v>274</v>
      </c>
      <c r="E60" t="s" s="59">
        <v>316</v>
      </c>
      <c r="F60" t="s" s="59">
        <v>48</v>
      </c>
      <c r="G60" t="s" s="59">
        <v>291</v>
      </c>
      <c r="H60" s="72">
        <v>0</v>
      </c>
      <c r="I60" t="s" s="73">
        <v>292</v>
      </c>
      <c r="J60" s="48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" customHeight="1">
      <c r="A61" t="s" s="68">
        <v>352</v>
      </c>
      <c r="B61" s="55">
        <v>45728</v>
      </c>
      <c r="C61" s="52">
        <v>33</v>
      </c>
      <c r="D61" t="s" s="50">
        <v>274</v>
      </c>
      <c r="E61" t="s" s="50">
        <v>290</v>
      </c>
      <c r="F61" t="s" s="50">
        <v>48</v>
      </c>
      <c r="G61" t="s" s="50">
        <v>291</v>
      </c>
      <c r="H61" s="69">
        <v>0</v>
      </c>
      <c r="I61" t="s" s="70">
        <v>292</v>
      </c>
      <c r="J61" s="48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" customHeight="1">
      <c r="A62" t="s" s="71">
        <v>353</v>
      </c>
      <c r="B62" s="64">
        <v>45759</v>
      </c>
      <c r="C62" s="61">
        <v>33</v>
      </c>
      <c r="D62" t="s" s="59">
        <v>274</v>
      </c>
      <c r="E62" t="s" s="59">
        <v>314</v>
      </c>
      <c r="F62" t="s" s="59">
        <v>48</v>
      </c>
      <c r="G62" t="s" s="59">
        <v>291</v>
      </c>
      <c r="H62" s="72">
        <v>0</v>
      </c>
      <c r="I62" t="s" s="73">
        <v>292</v>
      </c>
      <c r="J62" s="48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" customHeight="1">
      <c r="A63" t="s" s="68">
        <v>354</v>
      </c>
      <c r="B63" s="55">
        <v>45786</v>
      </c>
      <c r="C63" s="52">
        <v>33</v>
      </c>
      <c r="D63" t="s" s="50">
        <v>274</v>
      </c>
      <c r="E63" t="s" s="50">
        <v>316</v>
      </c>
      <c r="F63" t="s" s="50">
        <v>48</v>
      </c>
      <c r="G63" t="s" s="50">
        <v>291</v>
      </c>
      <c r="H63" s="69">
        <v>0</v>
      </c>
      <c r="I63" t="s" s="70">
        <v>292</v>
      </c>
      <c r="J63" s="48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" customHeight="1">
      <c r="A64" t="s" s="71">
        <v>355</v>
      </c>
      <c r="B64" s="64">
        <v>45732</v>
      </c>
      <c r="C64" s="61">
        <v>34</v>
      </c>
      <c r="D64" t="s" s="59">
        <v>274</v>
      </c>
      <c r="E64" t="s" s="59">
        <v>290</v>
      </c>
      <c r="F64" t="s" s="59">
        <v>48</v>
      </c>
      <c r="G64" t="s" s="59">
        <v>291</v>
      </c>
      <c r="H64" s="72">
        <v>0</v>
      </c>
      <c r="I64" t="s" s="73">
        <v>292</v>
      </c>
      <c r="J64" s="48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" customHeight="1">
      <c r="A65" t="s" s="68">
        <v>356</v>
      </c>
      <c r="B65" s="55">
        <v>45763</v>
      </c>
      <c r="C65" s="52">
        <v>34</v>
      </c>
      <c r="D65" t="s" s="50">
        <v>274</v>
      </c>
      <c r="E65" t="s" s="50">
        <v>314</v>
      </c>
      <c r="F65" t="s" s="50">
        <v>48</v>
      </c>
      <c r="G65" t="s" s="50">
        <v>291</v>
      </c>
      <c r="H65" s="69">
        <v>0</v>
      </c>
      <c r="I65" t="s" s="70">
        <v>292</v>
      </c>
      <c r="J65" s="48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" customHeight="1">
      <c r="A66" t="s" s="71">
        <v>357</v>
      </c>
      <c r="B66" s="64">
        <v>45789</v>
      </c>
      <c r="C66" s="61">
        <v>34</v>
      </c>
      <c r="D66" t="s" s="59">
        <v>274</v>
      </c>
      <c r="E66" t="s" s="59">
        <v>316</v>
      </c>
      <c r="F66" t="s" s="59">
        <v>48</v>
      </c>
      <c r="G66" t="s" s="59">
        <v>291</v>
      </c>
      <c r="H66" s="72">
        <v>0</v>
      </c>
      <c r="I66" t="s" s="73">
        <v>292</v>
      </c>
      <c r="J66" s="48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" customHeight="1">
      <c r="A67" t="s" s="68">
        <v>358</v>
      </c>
      <c r="B67" s="55">
        <v>45733</v>
      </c>
      <c r="C67" s="52">
        <v>35</v>
      </c>
      <c r="D67" t="s" s="50">
        <v>274</v>
      </c>
      <c r="E67" t="s" s="50">
        <v>290</v>
      </c>
      <c r="F67" t="s" s="50">
        <v>48</v>
      </c>
      <c r="G67" t="s" s="50">
        <v>291</v>
      </c>
      <c r="H67" s="69">
        <v>0</v>
      </c>
      <c r="I67" t="s" s="70">
        <v>292</v>
      </c>
      <c r="J67" s="48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" customHeight="1">
      <c r="A68" t="s" s="71">
        <v>359</v>
      </c>
      <c r="B68" s="64">
        <v>45761</v>
      </c>
      <c r="C68" s="61">
        <v>35</v>
      </c>
      <c r="D68" t="s" s="59">
        <v>274</v>
      </c>
      <c r="E68" t="s" s="59">
        <v>314</v>
      </c>
      <c r="F68" t="s" s="59">
        <v>48</v>
      </c>
      <c r="G68" t="s" s="59">
        <v>291</v>
      </c>
      <c r="H68" s="72">
        <v>0</v>
      </c>
      <c r="I68" t="s" s="73">
        <v>292</v>
      </c>
      <c r="J68" s="48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" customHeight="1">
      <c r="A69" t="s" s="68">
        <v>360</v>
      </c>
      <c r="B69" s="55">
        <v>45790</v>
      </c>
      <c r="C69" s="52">
        <v>35</v>
      </c>
      <c r="D69" t="s" s="50">
        <v>274</v>
      </c>
      <c r="E69" t="s" s="50">
        <v>316</v>
      </c>
      <c r="F69" t="s" s="50">
        <v>48</v>
      </c>
      <c r="G69" t="s" s="50">
        <v>291</v>
      </c>
      <c r="H69" s="69">
        <v>0</v>
      </c>
      <c r="I69" t="s" s="70">
        <v>292</v>
      </c>
      <c r="J69" s="48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" customHeight="1">
      <c r="A70" t="s" s="71">
        <v>361</v>
      </c>
      <c r="B70" s="64">
        <v>45737</v>
      </c>
      <c r="C70" s="61">
        <v>36</v>
      </c>
      <c r="D70" t="s" s="59">
        <v>274</v>
      </c>
      <c r="E70" t="s" s="59">
        <v>290</v>
      </c>
      <c r="F70" t="s" s="59">
        <v>48</v>
      </c>
      <c r="G70" t="s" s="59">
        <v>291</v>
      </c>
      <c r="H70" s="72">
        <v>0</v>
      </c>
      <c r="I70" t="s" s="73">
        <v>292</v>
      </c>
      <c r="J70" s="48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" customHeight="1">
      <c r="A71" t="s" s="68">
        <v>362</v>
      </c>
      <c r="B71" s="55">
        <v>45763</v>
      </c>
      <c r="C71" s="52">
        <v>36</v>
      </c>
      <c r="D71" t="s" s="50">
        <v>274</v>
      </c>
      <c r="E71" t="s" s="50">
        <v>314</v>
      </c>
      <c r="F71" t="s" s="50">
        <v>48</v>
      </c>
      <c r="G71" t="s" s="50">
        <v>291</v>
      </c>
      <c r="H71" s="69">
        <v>0</v>
      </c>
      <c r="I71" t="s" s="70">
        <v>292</v>
      </c>
      <c r="J71" s="48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" customHeight="1">
      <c r="A72" t="s" s="71">
        <v>363</v>
      </c>
      <c r="B72" s="64">
        <v>45789</v>
      </c>
      <c r="C72" s="61">
        <v>36</v>
      </c>
      <c r="D72" t="s" s="59">
        <v>274</v>
      </c>
      <c r="E72" t="s" s="59">
        <v>316</v>
      </c>
      <c r="F72" t="s" s="59">
        <v>48</v>
      </c>
      <c r="G72" t="s" s="59">
        <v>291</v>
      </c>
      <c r="H72" s="72">
        <v>0</v>
      </c>
      <c r="I72" t="s" s="73">
        <v>292</v>
      </c>
      <c r="J72" s="48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" customHeight="1">
      <c r="A73" t="s" s="68">
        <v>364</v>
      </c>
      <c r="B73" s="55">
        <v>45741</v>
      </c>
      <c r="C73" s="52">
        <v>37</v>
      </c>
      <c r="D73" t="s" s="50">
        <v>274</v>
      </c>
      <c r="E73" t="s" s="50">
        <v>290</v>
      </c>
      <c r="F73" t="s" s="50">
        <v>48</v>
      </c>
      <c r="G73" t="s" s="50">
        <v>318</v>
      </c>
      <c r="H73" s="69">
        <v>2</v>
      </c>
      <c r="I73" t="s" s="70">
        <v>319</v>
      </c>
      <c r="J73" s="48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" customHeight="1">
      <c r="A74" t="s" s="71">
        <v>365</v>
      </c>
      <c r="B74" s="64">
        <v>45769</v>
      </c>
      <c r="C74" s="61">
        <v>37</v>
      </c>
      <c r="D74" t="s" s="59">
        <v>274</v>
      </c>
      <c r="E74" t="s" s="59">
        <v>314</v>
      </c>
      <c r="F74" t="s" s="59">
        <v>48</v>
      </c>
      <c r="G74" t="s" s="59">
        <v>291</v>
      </c>
      <c r="H74" s="72">
        <v>0</v>
      </c>
      <c r="I74" t="s" s="73">
        <v>292</v>
      </c>
      <c r="J74" s="48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" customHeight="1">
      <c r="A75" t="s" s="68">
        <v>366</v>
      </c>
      <c r="B75" s="55">
        <v>45797</v>
      </c>
      <c r="C75" s="52">
        <v>37</v>
      </c>
      <c r="D75" t="s" s="50">
        <v>274</v>
      </c>
      <c r="E75" t="s" s="50">
        <v>316</v>
      </c>
      <c r="F75" t="s" s="50">
        <v>48</v>
      </c>
      <c r="G75" t="s" s="50">
        <v>291</v>
      </c>
      <c r="H75" s="69">
        <v>0</v>
      </c>
      <c r="I75" t="s" s="70">
        <v>292</v>
      </c>
      <c r="J75" s="48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" customHeight="1">
      <c r="A76" t="s" s="71">
        <v>367</v>
      </c>
      <c r="B76" s="64">
        <v>45741</v>
      </c>
      <c r="C76" s="61">
        <v>38</v>
      </c>
      <c r="D76" t="s" s="59">
        <v>274</v>
      </c>
      <c r="E76" t="s" s="59">
        <v>290</v>
      </c>
      <c r="F76" t="s" s="59">
        <v>48</v>
      </c>
      <c r="G76" t="s" s="59">
        <v>291</v>
      </c>
      <c r="H76" s="72">
        <v>0</v>
      </c>
      <c r="I76" t="s" s="73">
        <v>292</v>
      </c>
      <c r="J76" s="48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" customHeight="1">
      <c r="A77" t="s" s="68">
        <v>368</v>
      </c>
      <c r="B77" s="55">
        <v>45768</v>
      </c>
      <c r="C77" s="52">
        <v>38</v>
      </c>
      <c r="D77" t="s" s="50">
        <v>274</v>
      </c>
      <c r="E77" t="s" s="50">
        <v>314</v>
      </c>
      <c r="F77" t="s" s="50">
        <v>48</v>
      </c>
      <c r="G77" t="s" s="50">
        <v>291</v>
      </c>
      <c r="H77" s="69">
        <v>0</v>
      </c>
      <c r="I77" t="s" s="70">
        <v>292</v>
      </c>
      <c r="J77" s="48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" customHeight="1">
      <c r="A78" t="s" s="71">
        <v>369</v>
      </c>
      <c r="B78" s="64">
        <v>45797</v>
      </c>
      <c r="C78" s="61">
        <v>38</v>
      </c>
      <c r="D78" t="s" s="59">
        <v>274</v>
      </c>
      <c r="E78" t="s" s="59">
        <v>316</v>
      </c>
      <c r="F78" t="s" s="59">
        <v>48</v>
      </c>
      <c r="G78" t="s" s="59">
        <v>291</v>
      </c>
      <c r="H78" s="72">
        <v>0</v>
      </c>
      <c r="I78" t="s" s="73">
        <v>292</v>
      </c>
      <c r="J78" s="48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" customHeight="1">
      <c r="A79" t="s" s="68">
        <v>370</v>
      </c>
      <c r="B79" s="55">
        <v>45745</v>
      </c>
      <c r="C79" s="52">
        <v>39</v>
      </c>
      <c r="D79" t="s" s="50">
        <v>274</v>
      </c>
      <c r="E79" t="s" s="50">
        <v>290</v>
      </c>
      <c r="F79" t="s" s="50">
        <v>48</v>
      </c>
      <c r="G79" t="s" s="50">
        <v>291</v>
      </c>
      <c r="H79" s="69">
        <v>0</v>
      </c>
      <c r="I79" t="s" s="70">
        <v>292</v>
      </c>
      <c r="J79" s="48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" customHeight="1">
      <c r="A80" t="s" s="71">
        <v>371</v>
      </c>
      <c r="B80" s="64">
        <v>45772</v>
      </c>
      <c r="C80" s="61">
        <v>39</v>
      </c>
      <c r="D80" t="s" s="59">
        <v>274</v>
      </c>
      <c r="E80" t="s" s="59">
        <v>314</v>
      </c>
      <c r="F80" t="s" s="59">
        <v>48</v>
      </c>
      <c r="G80" t="s" s="59">
        <v>318</v>
      </c>
      <c r="H80" s="72">
        <v>1</v>
      </c>
      <c r="I80" t="s" s="73">
        <v>319</v>
      </c>
      <c r="J80" s="48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" customHeight="1">
      <c r="A81" t="s" s="68">
        <v>372</v>
      </c>
      <c r="B81" s="55">
        <v>45801</v>
      </c>
      <c r="C81" s="52">
        <v>39</v>
      </c>
      <c r="D81" t="s" s="50">
        <v>274</v>
      </c>
      <c r="E81" t="s" s="50">
        <v>316</v>
      </c>
      <c r="F81" t="s" s="50">
        <v>48</v>
      </c>
      <c r="G81" t="s" s="50">
        <v>291</v>
      </c>
      <c r="H81" s="69">
        <v>0</v>
      </c>
      <c r="I81" t="s" s="70">
        <v>292</v>
      </c>
      <c r="J81" s="48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" customHeight="1">
      <c r="A82" t="s" s="71">
        <v>373</v>
      </c>
      <c r="B82" s="64">
        <v>45828</v>
      </c>
      <c r="C82" s="61">
        <v>39</v>
      </c>
      <c r="D82" t="s" s="59">
        <v>274</v>
      </c>
      <c r="E82" t="s" s="59">
        <v>374</v>
      </c>
      <c r="F82" t="s" s="59">
        <v>48</v>
      </c>
      <c r="G82" t="s" s="59">
        <v>291</v>
      </c>
      <c r="H82" s="72">
        <v>0</v>
      </c>
      <c r="I82" t="s" s="73">
        <v>292</v>
      </c>
      <c r="J82" s="48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" customHeight="1">
      <c r="A83" t="s" s="68">
        <v>375</v>
      </c>
      <c r="B83" s="55">
        <v>45851</v>
      </c>
      <c r="C83" s="52">
        <v>39</v>
      </c>
      <c r="D83" t="s" s="50">
        <v>274</v>
      </c>
      <c r="E83" t="s" s="50">
        <v>376</v>
      </c>
      <c r="F83" t="s" s="50">
        <v>48</v>
      </c>
      <c r="G83" t="s" s="50">
        <v>291</v>
      </c>
      <c r="H83" s="69">
        <v>0</v>
      </c>
      <c r="I83" t="s" s="70">
        <v>292</v>
      </c>
      <c r="J83" s="48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" customHeight="1">
      <c r="A84" t="s" s="71">
        <v>377</v>
      </c>
      <c r="B84" s="64">
        <v>45744</v>
      </c>
      <c r="C84" s="61">
        <v>40</v>
      </c>
      <c r="D84" t="s" s="59">
        <v>274</v>
      </c>
      <c r="E84" t="s" s="59">
        <v>290</v>
      </c>
      <c r="F84" t="s" s="59">
        <v>48</v>
      </c>
      <c r="G84" t="s" s="59">
        <v>291</v>
      </c>
      <c r="H84" s="72">
        <v>0</v>
      </c>
      <c r="I84" t="s" s="73">
        <v>292</v>
      </c>
      <c r="J84" s="48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" customHeight="1">
      <c r="A85" t="s" s="68">
        <v>378</v>
      </c>
      <c r="B85" s="55">
        <v>45770</v>
      </c>
      <c r="C85" s="52">
        <v>40</v>
      </c>
      <c r="D85" t="s" s="50">
        <v>274</v>
      </c>
      <c r="E85" t="s" s="50">
        <v>314</v>
      </c>
      <c r="F85" t="s" s="50">
        <v>48</v>
      </c>
      <c r="G85" t="s" s="50">
        <v>291</v>
      </c>
      <c r="H85" s="69">
        <v>0</v>
      </c>
      <c r="I85" t="s" s="70">
        <v>292</v>
      </c>
      <c r="J85" s="48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" customHeight="1">
      <c r="A86" t="s" s="71">
        <v>379</v>
      </c>
      <c r="B86" s="64">
        <v>45798</v>
      </c>
      <c r="C86" s="61">
        <v>40</v>
      </c>
      <c r="D86" t="s" s="59">
        <v>274</v>
      </c>
      <c r="E86" t="s" s="59">
        <v>316</v>
      </c>
      <c r="F86" t="s" s="59">
        <v>48</v>
      </c>
      <c r="G86" t="s" s="59">
        <v>291</v>
      </c>
      <c r="H86" s="72">
        <v>0</v>
      </c>
      <c r="I86" t="s" s="73">
        <v>292</v>
      </c>
      <c r="J86" s="48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" customHeight="1">
      <c r="A87" t="s" s="68">
        <v>380</v>
      </c>
      <c r="B87" s="55">
        <v>45831</v>
      </c>
      <c r="C87" s="52">
        <v>40</v>
      </c>
      <c r="D87" t="s" s="50">
        <v>274</v>
      </c>
      <c r="E87" t="s" s="50">
        <v>374</v>
      </c>
      <c r="F87" t="s" s="50">
        <v>48</v>
      </c>
      <c r="G87" t="s" s="50">
        <v>291</v>
      </c>
      <c r="H87" s="69">
        <v>0</v>
      </c>
      <c r="I87" t="s" s="70">
        <v>292</v>
      </c>
      <c r="J87" s="48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" customHeight="1">
      <c r="A88" t="s" s="71">
        <v>381</v>
      </c>
      <c r="B88" s="64">
        <v>45853</v>
      </c>
      <c r="C88" s="61">
        <v>40</v>
      </c>
      <c r="D88" t="s" s="59">
        <v>274</v>
      </c>
      <c r="E88" t="s" s="59">
        <v>376</v>
      </c>
      <c r="F88" t="s" s="59">
        <v>48</v>
      </c>
      <c r="G88" t="s" s="59">
        <v>291</v>
      </c>
      <c r="H88" s="72">
        <v>0</v>
      </c>
      <c r="I88" t="s" s="73">
        <v>292</v>
      </c>
      <c r="J88" s="48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" customHeight="1">
      <c r="A89" t="s" s="68">
        <v>382</v>
      </c>
      <c r="B89" s="55">
        <v>45744</v>
      </c>
      <c r="C89" s="52">
        <v>41</v>
      </c>
      <c r="D89" t="s" s="50">
        <v>274</v>
      </c>
      <c r="E89" t="s" s="50">
        <v>290</v>
      </c>
      <c r="F89" t="s" s="50">
        <v>48</v>
      </c>
      <c r="G89" t="s" s="50">
        <v>291</v>
      </c>
      <c r="H89" s="69">
        <v>0</v>
      </c>
      <c r="I89" t="s" s="70">
        <v>292</v>
      </c>
      <c r="J89" s="48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" customHeight="1">
      <c r="A90" t="s" s="71">
        <v>383</v>
      </c>
      <c r="B90" s="64">
        <v>45775</v>
      </c>
      <c r="C90" s="61">
        <v>41</v>
      </c>
      <c r="D90" t="s" s="59">
        <v>274</v>
      </c>
      <c r="E90" t="s" s="59">
        <v>314</v>
      </c>
      <c r="F90" t="s" s="59">
        <v>48</v>
      </c>
      <c r="G90" t="s" s="59">
        <v>291</v>
      </c>
      <c r="H90" s="72">
        <v>0</v>
      </c>
      <c r="I90" t="s" s="73">
        <v>292</v>
      </c>
      <c r="J90" s="48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" customHeight="1">
      <c r="A91" t="s" s="68">
        <v>384</v>
      </c>
      <c r="B91" s="55">
        <v>45803</v>
      </c>
      <c r="C91" s="52">
        <v>41</v>
      </c>
      <c r="D91" t="s" s="50">
        <v>274</v>
      </c>
      <c r="E91" t="s" s="50">
        <v>316</v>
      </c>
      <c r="F91" t="s" s="50">
        <v>48</v>
      </c>
      <c r="G91" t="s" s="50">
        <v>291</v>
      </c>
      <c r="H91" s="69">
        <v>0</v>
      </c>
      <c r="I91" t="s" s="70">
        <v>292</v>
      </c>
      <c r="J91" s="48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" customHeight="1">
      <c r="A92" t="s" s="71">
        <v>385</v>
      </c>
      <c r="B92" s="64">
        <v>45830</v>
      </c>
      <c r="C92" s="61">
        <v>41</v>
      </c>
      <c r="D92" t="s" s="59">
        <v>274</v>
      </c>
      <c r="E92" t="s" s="59">
        <v>374</v>
      </c>
      <c r="F92" t="s" s="59">
        <v>48</v>
      </c>
      <c r="G92" t="s" s="59">
        <v>291</v>
      </c>
      <c r="H92" s="72">
        <v>0</v>
      </c>
      <c r="I92" t="s" s="73">
        <v>292</v>
      </c>
      <c r="J92" s="48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" customHeight="1">
      <c r="A93" t="s" s="68">
        <v>386</v>
      </c>
      <c r="B93" s="55">
        <v>45861</v>
      </c>
      <c r="C93" s="52">
        <v>41</v>
      </c>
      <c r="D93" t="s" s="50">
        <v>274</v>
      </c>
      <c r="E93" t="s" s="50">
        <v>376</v>
      </c>
      <c r="F93" t="s" s="50">
        <v>48</v>
      </c>
      <c r="G93" t="s" s="50">
        <v>291</v>
      </c>
      <c r="H93" s="69">
        <v>0</v>
      </c>
      <c r="I93" t="s" s="70">
        <v>292</v>
      </c>
      <c r="J93" s="48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" customHeight="1">
      <c r="A94" t="s" s="71">
        <v>387</v>
      </c>
      <c r="B94" s="64">
        <v>45750</v>
      </c>
      <c r="C94" s="61">
        <v>42</v>
      </c>
      <c r="D94" t="s" s="59">
        <v>274</v>
      </c>
      <c r="E94" t="s" s="59">
        <v>290</v>
      </c>
      <c r="F94" t="s" s="59">
        <v>48</v>
      </c>
      <c r="G94" t="s" s="59">
        <v>291</v>
      </c>
      <c r="H94" s="72">
        <v>0</v>
      </c>
      <c r="I94" t="s" s="73">
        <v>292</v>
      </c>
      <c r="J94" s="48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" customHeight="1">
      <c r="A95" t="s" s="68">
        <v>388</v>
      </c>
      <c r="B95" s="55">
        <v>45773</v>
      </c>
      <c r="C95" s="52">
        <v>42</v>
      </c>
      <c r="D95" t="s" s="50">
        <v>274</v>
      </c>
      <c r="E95" t="s" s="50">
        <v>314</v>
      </c>
      <c r="F95" t="s" s="50">
        <v>48</v>
      </c>
      <c r="G95" t="s" s="50">
        <v>291</v>
      </c>
      <c r="H95" s="69">
        <v>0</v>
      </c>
      <c r="I95" t="s" s="70">
        <v>292</v>
      </c>
      <c r="J95" s="48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" customHeight="1">
      <c r="A96" t="s" s="71">
        <v>389</v>
      </c>
      <c r="B96" s="64">
        <v>45802</v>
      </c>
      <c r="C96" s="61">
        <v>42</v>
      </c>
      <c r="D96" t="s" s="59">
        <v>274</v>
      </c>
      <c r="E96" t="s" s="59">
        <v>316</v>
      </c>
      <c r="F96" t="s" s="59">
        <v>48</v>
      </c>
      <c r="G96" t="s" s="59">
        <v>291</v>
      </c>
      <c r="H96" s="72">
        <v>0</v>
      </c>
      <c r="I96" t="s" s="73">
        <v>292</v>
      </c>
      <c r="J96" s="48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" customHeight="1">
      <c r="A97" t="s" s="68">
        <v>390</v>
      </c>
      <c r="B97" s="55">
        <v>45832</v>
      </c>
      <c r="C97" s="52">
        <v>42</v>
      </c>
      <c r="D97" t="s" s="50">
        <v>274</v>
      </c>
      <c r="E97" t="s" s="50">
        <v>374</v>
      </c>
      <c r="F97" t="s" s="50">
        <v>48</v>
      </c>
      <c r="G97" t="s" s="50">
        <v>291</v>
      </c>
      <c r="H97" s="69">
        <v>0</v>
      </c>
      <c r="I97" t="s" s="70">
        <v>292</v>
      </c>
      <c r="J97" s="48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" customHeight="1">
      <c r="A98" t="s" s="71">
        <v>391</v>
      </c>
      <c r="B98" s="64">
        <v>45860</v>
      </c>
      <c r="C98" s="61">
        <v>42</v>
      </c>
      <c r="D98" t="s" s="59">
        <v>274</v>
      </c>
      <c r="E98" t="s" s="59">
        <v>376</v>
      </c>
      <c r="F98" t="s" s="59">
        <v>48</v>
      </c>
      <c r="G98" t="s" s="59">
        <v>291</v>
      </c>
      <c r="H98" s="72">
        <v>0</v>
      </c>
      <c r="I98" t="s" s="73">
        <v>292</v>
      </c>
      <c r="J98" s="48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" customHeight="1">
      <c r="A99" t="s" s="68">
        <v>392</v>
      </c>
      <c r="B99" s="55">
        <v>45747</v>
      </c>
      <c r="C99" s="52">
        <v>43</v>
      </c>
      <c r="D99" t="s" s="50">
        <v>274</v>
      </c>
      <c r="E99" t="s" s="50">
        <v>290</v>
      </c>
      <c r="F99" t="s" s="50">
        <v>48</v>
      </c>
      <c r="G99" t="s" s="50">
        <v>291</v>
      </c>
      <c r="H99" s="69">
        <v>0</v>
      </c>
      <c r="I99" t="s" s="70">
        <v>292</v>
      </c>
      <c r="J99" s="48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" customHeight="1">
      <c r="A100" t="s" s="71">
        <v>393</v>
      </c>
      <c r="B100" s="64">
        <v>45778</v>
      </c>
      <c r="C100" s="61">
        <v>43</v>
      </c>
      <c r="D100" t="s" s="59">
        <v>274</v>
      </c>
      <c r="E100" t="s" s="59">
        <v>314</v>
      </c>
      <c r="F100" t="s" s="59">
        <v>48</v>
      </c>
      <c r="G100" t="s" s="59">
        <v>291</v>
      </c>
      <c r="H100" s="72">
        <v>0</v>
      </c>
      <c r="I100" t="s" s="73">
        <v>292</v>
      </c>
      <c r="J100" s="48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" customHeight="1">
      <c r="A101" t="s" s="68">
        <v>394</v>
      </c>
      <c r="B101" s="55">
        <v>45803</v>
      </c>
      <c r="C101" s="52">
        <v>43</v>
      </c>
      <c r="D101" t="s" s="50">
        <v>274</v>
      </c>
      <c r="E101" t="s" s="50">
        <v>316</v>
      </c>
      <c r="F101" t="s" s="50">
        <v>48</v>
      </c>
      <c r="G101" t="s" s="50">
        <v>291</v>
      </c>
      <c r="H101" s="69">
        <v>0</v>
      </c>
      <c r="I101" t="s" s="70">
        <v>292</v>
      </c>
      <c r="J101" s="48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" customHeight="1">
      <c r="A102" t="s" s="71">
        <v>395</v>
      </c>
      <c r="B102" s="64">
        <v>45831</v>
      </c>
      <c r="C102" s="61">
        <v>43</v>
      </c>
      <c r="D102" t="s" s="59">
        <v>274</v>
      </c>
      <c r="E102" t="s" s="59">
        <v>374</v>
      </c>
      <c r="F102" t="s" s="59">
        <v>48</v>
      </c>
      <c r="G102" t="s" s="59">
        <v>291</v>
      </c>
      <c r="H102" s="72">
        <v>0</v>
      </c>
      <c r="I102" t="s" s="73">
        <v>292</v>
      </c>
      <c r="J102" s="48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" customHeight="1">
      <c r="A103" t="s" s="68">
        <v>396</v>
      </c>
      <c r="B103" s="55">
        <v>45862</v>
      </c>
      <c r="C103" s="52">
        <v>43</v>
      </c>
      <c r="D103" t="s" s="50">
        <v>274</v>
      </c>
      <c r="E103" t="s" s="50">
        <v>376</v>
      </c>
      <c r="F103" t="s" s="50">
        <v>48</v>
      </c>
      <c r="G103" t="s" s="50">
        <v>291</v>
      </c>
      <c r="H103" s="69">
        <v>0</v>
      </c>
      <c r="I103" t="s" s="70">
        <v>292</v>
      </c>
      <c r="J103" s="48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" customHeight="1">
      <c r="A104" t="s" s="71">
        <v>397</v>
      </c>
      <c r="B104" s="64">
        <v>45749</v>
      </c>
      <c r="C104" s="61">
        <v>44</v>
      </c>
      <c r="D104" t="s" s="59">
        <v>274</v>
      </c>
      <c r="E104" t="s" s="59">
        <v>290</v>
      </c>
      <c r="F104" t="s" s="59">
        <v>48</v>
      </c>
      <c r="G104" t="s" s="59">
        <v>291</v>
      </c>
      <c r="H104" s="72">
        <v>0</v>
      </c>
      <c r="I104" t="s" s="73">
        <v>292</v>
      </c>
      <c r="J104" s="48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" customHeight="1">
      <c r="A105" t="s" s="68">
        <v>398</v>
      </c>
      <c r="B105" s="55">
        <v>45778</v>
      </c>
      <c r="C105" s="52">
        <v>44</v>
      </c>
      <c r="D105" t="s" s="50">
        <v>274</v>
      </c>
      <c r="E105" t="s" s="50">
        <v>314</v>
      </c>
      <c r="F105" t="s" s="50">
        <v>48</v>
      </c>
      <c r="G105" t="s" s="50">
        <v>291</v>
      </c>
      <c r="H105" s="69">
        <v>0</v>
      </c>
      <c r="I105" t="s" s="70">
        <v>292</v>
      </c>
      <c r="J105" s="48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" customHeight="1">
      <c r="A106" t="s" s="71">
        <v>399</v>
      </c>
      <c r="B106" s="64">
        <v>45810</v>
      </c>
      <c r="C106" s="61">
        <v>44</v>
      </c>
      <c r="D106" t="s" s="59">
        <v>274</v>
      </c>
      <c r="E106" t="s" s="59">
        <v>316</v>
      </c>
      <c r="F106" t="s" s="59">
        <v>48</v>
      </c>
      <c r="G106" t="s" s="59">
        <v>291</v>
      </c>
      <c r="H106" s="72">
        <v>0</v>
      </c>
      <c r="I106" t="s" s="73">
        <v>292</v>
      </c>
      <c r="J106" s="48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" customHeight="1">
      <c r="A107" t="s" s="68">
        <v>400</v>
      </c>
      <c r="B107" s="55">
        <v>45835</v>
      </c>
      <c r="C107" s="52">
        <v>44</v>
      </c>
      <c r="D107" t="s" s="50">
        <v>274</v>
      </c>
      <c r="E107" t="s" s="50">
        <v>374</v>
      </c>
      <c r="F107" t="s" s="50">
        <v>48</v>
      </c>
      <c r="G107" t="s" s="50">
        <v>291</v>
      </c>
      <c r="H107" s="69">
        <v>0</v>
      </c>
      <c r="I107" t="s" s="70">
        <v>292</v>
      </c>
      <c r="J107" s="48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" customHeight="1">
      <c r="A108" t="s" s="71">
        <v>401</v>
      </c>
      <c r="B108" s="64">
        <v>45863</v>
      </c>
      <c r="C108" s="61">
        <v>44</v>
      </c>
      <c r="D108" t="s" s="59">
        <v>274</v>
      </c>
      <c r="E108" t="s" s="59">
        <v>376</v>
      </c>
      <c r="F108" t="s" s="59">
        <v>48</v>
      </c>
      <c r="G108" t="s" s="59">
        <v>291</v>
      </c>
      <c r="H108" s="72">
        <v>0</v>
      </c>
      <c r="I108" t="s" s="73">
        <v>292</v>
      </c>
      <c r="J108" s="48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" customHeight="1">
      <c r="A109" t="s" s="68">
        <v>402</v>
      </c>
      <c r="B109" s="55">
        <v>45756</v>
      </c>
      <c r="C109" s="52">
        <v>45</v>
      </c>
      <c r="D109" t="s" s="50">
        <v>274</v>
      </c>
      <c r="E109" t="s" s="50">
        <v>290</v>
      </c>
      <c r="F109" t="s" s="50">
        <v>48</v>
      </c>
      <c r="G109" t="s" s="50">
        <v>291</v>
      </c>
      <c r="H109" s="69">
        <v>0</v>
      </c>
      <c r="I109" t="s" s="70">
        <v>292</v>
      </c>
      <c r="J109" s="48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" customHeight="1">
      <c r="A110" t="s" s="71">
        <v>403</v>
      </c>
      <c r="B110" s="64">
        <v>45782</v>
      </c>
      <c r="C110" s="61">
        <v>45</v>
      </c>
      <c r="D110" t="s" s="59">
        <v>274</v>
      </c>
      <c r="E110" t="s" s="59">
        <v>314</v>
      </c>
      <c r="F110" t="s" s="59">
        <v>48</v>
      </c>
      <c r="G110" t="s" s="59">
        <v>291</v>
      </c>
      <c r="H110" s="72">
        <v>0</v>
      </c>
      <c r="I110" t="s" s="73">
        <v>292</v>
      </c>
      <c r="J110" s="48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" customHeight="1">
      <c r="A111" t="s" s="68">
        <v>404</v>
      </c>
      <c r="B111" s="55">
        <v>45807</v>
      </c>
      <c r="C111" s="52">
        <v>45</v>
      </c>
      <c r="D111" t="s" s="50">
        <v>274</v>
      </c>
      <c r="E111" t="s" s="50">
        <v>316</v>
      </c>
      <c r="F111" t="s" s="50">
        <v>48</v>
      </c>
      <c r="G111" t="s" s="50">
        <v>291</v>
      </c>
      <c r="H111" s="69">
        <v>0</v>
      </c>
      <c r="I111" t="s" s="70">
        <v>292</v>
      </c>
      <c r="J111" s="48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" customHeight="1">
      <c r="A112" t="s" s="71">
        <v>405</v>
      </c>
      <c r="B112" s="64">
        <v>45840</v>
      </c>
      <c r="C112" s="61">
        <v>45</v>
      </c>
      <c r="D112" t="s" s="59">
        <v>274</v>
      </c>
      <c r="E112" t="s" s="59">
        <v>374</v>
      </c>
      <c r="F112" t="s" s="59">
        <v>48</v>
      </c>
      <c r="G112" t="s" s="59">
        <v>318</v>
      </c>
      <c r="H112" s="72">
        <v>1</v>
      </c>
      <c r="I112" t="s" s="73">
        <v>319</v>
      </c>
      <c r="J112" s="48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" customHeight="1">
      <c r="A113" t="s" s="68">
        <v>406</v>
      </c>
      <c r="B113" s="55">
        <v>45868</v>
      </c>
      <c r="C113" s="52">
        <v>45</v>
      </c>
      <c r="D113" t="s" s="50">
        <v>274</v>
      </c>
      <c r="E113" t="s" s="50">
        <v>376</v>
      </c>
      <c r="F113" t="s" s="50">
        <v>48</v>
      </c>
      <c r="G113" t="s" s="50">
        <v>291</v>
      </c>
      <c r="H113" s="69">
        <v>0</v>
      </c>
      <c r="I113" t="s" s="70">
        <v>292</v>
      </c>
      <c r="J113" s="48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" customHeight="1">
      <c r="A114" t="s" s="71">
        <v>407</v>
      </c>
      <c r="B114" s="64">
        <v>45752</v>
      </c>
      <c r="C114" s="61">
        <v>46</v>
      </c>
      <c r="D114" t="s" s="59">
        <v>274</v>
      </c>
      <c r="E114" t="s" s="59">
        <v>290</v>
      </c>
      <c r="F114" t="s" s="59">
        <v>48</v>
      </c>
      <c r="G114" t="s" s="59">
        <v>291</v>
      </c>
      <c r="H114" s="72">
        <v>0</v>
      </c>
      <c r="I114" t="s" s="73">
        <v>292</v>
      </c>
      <c r="J114" s="48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" customHeight="1">
      <c r="A115" t="s" s="68">
        <v>408</v>
      </c>
      <c r="B115" s="55">
        <v>45787</v>
      </c>
      <c r="C115" s="52">
        <v>46</v>
      </c>
      <c r="D115" t="s" s="50">
        <v>274</v>
      </c>
      <c r="E115" t="s" s="50">
        <v>314</v>
      </c>
      <c r="F115" t="s" s="50">
        <v>48</v>
      </c>
      <c r="G115" t="s" s="50">
        <v>291</v>
      </c>
      <c r="H115" s="69">
        <v>0</v>
      </c>
      <c r="I115" t="s" s="70">
        <v>292</v>
      </c>
      <c r="J115" s="48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" customHeight="1">
      <c r="A116" t="s" s="71">
        <v>409</v>
      </c>
      <c r="B116" s="64">
        <v>45809</v>
      </c>
      <c r="C116" s="61">
        <v>46</v>
      </c>
      <c r="D116" t="s" s="59">
        <v>274</v>
      </c>
      <c r="E116" t="s" s="59">
        <v>316</v>
      </c>
      <c r="F116" t="s" s="59">
        <v>48</v>
      </c>
      <c r="G116" t="s" s="59">
        <v>291</v>
      </c>
      <c r="H116" s="72">
        <v>0</v>
      </c>
      <c r="I116" t="s" s="73">
        <v>292</v>
      </c>
      <c r="J116" s="48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" customHeight="1">
      <c r="A117" t="s" s="68">
        <v>410</v>
      </c>
      <c r="B117" s="55">
        <v>45843</v>
      </c>
      <c r="C117" s="52">
        <v>46</v>
      </c>
      <c r="D117" t="s" s="50">
        <v>274</v>
      </c>
      <c r="E117" t="s" s="50">
        <v>374</v>
      </c>
      <c r="F117" t="s" s="50">
        <v>48</v>
      </c>
      <c r="G117" t="s" s="50">
        <v>291</v>
      </c>
      <c r="H117" s="69">
        <v>0</v>
      </c>
      <c r="I117" t="s" s="70">
        <v>292</v>
      </c>
      <c r="J117" s="48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" customHeight="1">
      <c r="A118" t="s" s="71">
        <v>411</v>
      </c>
      <c r="B118" s="64">
        <v>45871</v>
      </c>
      <c r="C118" s="61">
        <v>46</v>
      </c>
      <c r="D118" t="s" s="59">
        <v>274</v>
      </c>
      <c r="E118" t="s" s="59">
        <v>376</v>
      </c>
      <c r="F118" t="s" s="59">
        <v>48</v>
      </c>
      <c r="G118" t="s" s="59">
        <v>291</v>
      </c>
      <c r="H118" s="72">
        <v>0</v>
      </c>
      <c r="I118" t="s" s="73">
        <v>292</v>
      </c>
      <c r="J118" s="48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" customHeight="1">
      <c r="A119" t="s" s="68">
        <v>412</v>
      </c>
      <c r="B119" s="55">
        <v>45759</v>
      </c>
      <c r="C119" s="52">
        <v>47</v>
      </c>
      <c r="D119" t="s" s="50">
        <v>274</v>
      </c>
      <c r="E119" t="s" s="50">
        <v>290</v>
      </c>
      <c r="F119" t="s" s="50">
        <v>48</v>
      </c>
      <c r="G119" t="s" s="50">
        <v>318</v>
      </c>
      <c r="H119" s="69">
        <v>2</v>
      </c>
      <c r="I119" t="s" s="70">
        <v>319</v>
      </c>
      <c r="J119" s="48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" customHeight="1">
      <c r="A120" t="s" s="71">
        <v>413</v>
      </c>
      <c r="B120" s="64">
        <v>45787</v>
      </c>
      <c r="C120" s="61">
        <v>47</v>
      </c>
      <c r="D120" t="s" s="59">
        <v>274</v>
      </c>
      <c r="E120" t="s" s="59">
        <v>314</v>
      </c>
      <c r="F120" t="s" s="59">
        <v>48</v>
      </c>
      <c r="G120" t="s" s="59">
        <v>291</v>
      </c>
      <c r="H120" s="72">
        <v>0</v>
      </c>
      <c r="I120" t="s" s="73">
        <v>292</v>
      </c>
      <c r="J120" s="48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" customHeight="1">
      <c r="A121" t="s" s="68">
        <v>414</v>
      </c>
      <c r="B121" s="55">
        <v>45817</v>
      </c>
      <c r="C121" s="52">
        <v>47</v>
      </c>
      <c r="D121" t="s" s="50">
        <v>274</v>
      </c>
      <c r="E121" t="s" s="50">
        <v>316</v>
      </c>
      <c r="F121" t="s" s="50">
        <v>48</v>
      </c>
      <c r="G121" t="s" s="50">
        <v>318</v>
      </c>
      <c r="H121" s="69">
        <v>2</v>
      </c>
      <c r="I121" t="s" s="70">
        <v>319</v>
      </c>
      <c r="J121" s="48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" customHeight="1">
      <c r="A122" t="s" s="71">
        <v>415</v>
      </c>
      <c r="B122" s="64">
        <v>45839</v>
      </c>
      <c r="C122" s="61">
        <v>47</v>
      </c>
      <c r="D122" t="s" s="59">
        <v>274</v>
      </c>
      <c r="E122" t="s" s="59">
        <v>374</v>
      </c>
      <c r="F122" t="s" s="59">
        <v>48</v>
      </c>
      <c r="G122" t="s" s="59">
        <v>291</v>
      </c>
      <c r="H122" s="72">
        <v>0</v>
      </c>
      <c r="I122" t="s" s="73">
        <v>292</v>
      </c>
      <c r="J122" s="48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" customHeight="1">
      <c r="A123" t="s" s="68">
        <v>416</v>
      </c>
      <c r="B123" s="55">
        <v>45866</v>
      </c>
      <c r="C123" s="52">
        <v>47</v>
      </c>
      <c r="D123" t="s" s="50">
        <v>274</v>
      </c>
      <c r="E123" t="s" s="50">
        <v>376</v>
      </c>
      <c r="F123" t="s" s="50">
        <v>48</v>
      </c>
      <c r="G123" t="s" s="50">
        <v>318</v>
      </c>
      <c r="H123" s="69">
        <v>1</v>
      </c>
      <c r="I123" t="s" s="70">
        <v>319</v>
      </c>
      <c r="J123" s="48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" customHeight="1">
      <c r="A124" t="s" s="71">
        <v>417</v>
      </c>
      <c r="B124" s="64">
        <v>45758</v>
      </c>
      <c r="C124" s="61">
        <v>48</v>
      </c>
      <c r="D124" t="s" s="59">
        <v>274</v>
      </c>
      <c r="E124" t="s" s="59">
        <v>290</v>
      </c>
      <c r="F124" t="s" s="59">
        <v>48</v>
      </c>
      <c r="G124" t="s" s="59">
        <v>291</v>
      </c>
      <c r="H124" s="72">
        <v>0</v>
      </c>
      <c r="I124" t="s" s="73">
        <v>292</v>
      </c>
      <c r="J124" s="48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" customHeight="1">
      <c r="A125" t="s" s="68">
        <v>418</v>
      </c>
      <c r="B125" s="55">
        <v>45790</v>
      </c>
      <c r="C125" s="52">
        <v>48</v>
      </c>
      <c r="D125" t="s" s="50">
        <v>274</v>
      </c>
      <c r="E125" t="s" s="50">
        <v>314</v>
      </c>
      <c r="F125" t="s" s="50">
        <v>48</v>
      </c>
      <c r="G125" t="s" s="50">
        <v>291</v>
      </c>
      <c r="H125" s="69">
        <v>0</v>
      </c>
      <c r="I125" t="s" s="70">
        <v>292</v>
      </c>
      <c r="J125" s="48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" customHeight="1">
      <c r="A126" t="s" s="71">
        <v>419</v>
      </c>
      <c r="B126" s="64">
        <v>45814</v>
      </c>
      <c r="C126" s="61">
        <v>48</v>
      </c>
      <c r="D126" t="s" s="59">
        <v>274</v>
      </c>
      <c r="E126" t="s" s="59">
        <v>316</v>
      </c>
      <c r="F126" t="s" s="59">
        <v>48</v>
      </c>
      <c r="G126" t="s" s="59">
        <v>291</v>
      </c>
      <c r="H126" s="72">
        <v>0</v>
      </c>
      <c r="I126" t="s" s="73">
        <v>292</v>
      </c>
      <c r="J126" s="48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" customHeight="1">
      <c r="A127" t="s" s="68">
        <v>420</v>
      </c>
      <c r="B127" s="55">
        <v>45840</v>
      </c>
      <c r="C127" s="52">
        <v>48</v>
      </c>
      <c r="D127" t="s" s="50">
        <v>274</v>
      </c>
      <c r="E127" t="s" s="50">
        <v>374</v>
      </c>
      <c r="F127" t="s" s="50">
        <v>48</v>
      </c>
      <c r="G127" t="s" s="50">
        <v>291</v>
      </c>
      <c r="H127" s="69">
        <v>0</v>
      </c>
      <c r="I127" t="s" s="70">
        <v>292</v>
      </c>
      <c r="J127" s="48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" customHeight="1">
      <c r="A128" t="s" s="71">
        <v>421</v>
      </c>
      <c r="B128" s="64">
        <v>45873</v>
      </c>
      <c r="C128" s="61">
        <v>48</v>
      </c>
      <c r="D128" t="s" s="59">
        <v>274</v>
      </c>
      <c r="E128" t="s" s="59">
        <v>376</v>
      </c>
      <c r="F128" t="s" s="59">
        <v>48</v>
      </c>
      <c r="G128" t="s" s="59">
        <v>291</v>
      </c>
      <c r="H128" s="72">
        <v>0</v>
      </c>
      <c r="I128" t="s" s="73">
        <v>292</v>
      </c>
      <c r="J128" s="48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" customHeight="1">
      <c r="A129" t="s" s="68">
        <v>422</v>
      </c>
      <c r="B129" s="55">
        <v>45760</v>
      </c>
      <c r="C129" s="52">
        <v>49</v>
      </c>
      <c r="D129" t="s" s="50">
        <v>274</v>
      </c>
      <c r="E129" t="s" s="50">
        <v>290</v>
      </c>
      <c r="F129" t="s" s="50">
        <v>48</v>
      </c>
      <c r="G129" t="s" s="50">
        <v>291</v>
      </c>
      <c r="H129" s="69">
        <v>0</v>
      </c>
      <c r="I129" t="s" s="70">
        <v>292</v>
      </c>
      <c r="J129" s="48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" customHeight="1">
      <c r="A130" t="s" s="71">
        <v>423</v>
      </c>
      <c r="B130" s="64">
        <v>45789</v>
      </c>
      <c r="C130" s="61">
        <v>49</v>
      </c>
      <c r="D130" t="s" s="59">
        <v>274</v>
      </c>
      <c r="E130" t="s" s="59">
        <v>314</v>
      </c>
      <c r="F130" t="s" s="59">
        <v>48</v>
      </c>
      <c r="G130" t="s" s="59">
        <v>318</v>
      </c>
      <c r="H130" s="72">
        <v>1</v>
      </c>
      <c r="I130" t="s" s="73">
        <v>319</v>
      </c>
      <c r="J130" s="48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" customHeight="1">
      <c r="A131" t="s" s="68">
        <v>424</v>
      </c>
      <c r="B131" s="55">
        <v>45818</v>
      </c>
      <c r="C131" s="52">
        <v>49</v>
      </c>
      <c r="D131" t="s" s="50">
        <v>274</v>
      </c>
      <c r="E131" t="s" s="50">
        <v>316</v>
      </c>
      <c r="F131" t="s" s="50">
        <v>48</v>
      </c>
      <c r="G131" t="s" s="50">
        <v>318</v>
      </c>
      <c r="H131" s="69">
        <v>2</v>
      </c>
      <c r="I131" t="s" s="70">
        <v>319</v>
      </c>
      <c r="J131" s="48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" customHeight="1">
      <c r="A132" t="s" s="71">
        <v>425</v>
      </c>
      <c r="B132" s="64">
        <v>45843</v>
      </c>
      <c r="C132" s="61">
        <v>49</v>
      </c>
      <c r="D132" t="s" s="59">
        <v>274</v>
      </c>
      <c r="E132" t="s" s="59">
        <v>374</v>
      </c>
      <c r="F132" t="s" s="59">
        <v>48</v>
      </c>
      <c r="G132" t="s" s="59">
        <v>291</v>
      </c>
      <c r="H132" s="72">
        <v>0</v>
      </c>
      <c r="I132" t="s" s="73">
        <v>292</v>
      </c>
      <c r="J132" s="48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" customHeight="1">
      <c r="A133" t="s" s="68">
        <v>426</v>
      </c>
      <c r="B133" s="55">
        <v>45874</v>
      </c>
      <c r="C133" s="52">
        <v>49</v>
      </c>
      <c r="D133" t="s" s="50">
        <v>274</v>
      </c>
      <c r="E133" t="s" s="50">
        <v>376</v>
      </c>
      <c r="F133" t="s" s="50">
        <v>48</v>
      </c>
      <c r="G133" t="s" s="50">
        <v>291</v>
      </c>
      <c r="H133" s="69">
        <v>0</v>
      </c>
      <c r="I133" t="s" s="70">
        <v>292</v>
      </c>
      <c r="J133" s="48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" customHeight="1">
      <c r="A134" t="s" s="71">
        <v>427</v>
      </c>
      <c r="B134" s="64">
        <v>45760</v>
      </c>
      <c r="C134" s="61">
        <v>50</v>
      </c>
      <c r="D134" t="s" s="59">
        <v>274</v>
      </c>
      <c r="E134" t="s" s="59">
        <v>290</v>
      </c>
      <c r="F134" t="s" s="59">
        <v>48</v>
      </c>
      <c r="G134" t="s" s="59">
        <v>291</v>
      </c>
      <c r="H134" s="72">
        <v>0</v>
      </c>
      <c r="I134" t="s" s="73">
        <v>292</v>
      </c>
      <c r="J134" s="48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" customHeight="1">
      <c r="A135" t="s" s="68">
        <v>428</v>
      </c>
      <c r="B135" s="55">
        <v>45794</v>
      </c>
      <c r="C135" s="52">
        <v>50</v>
      </c>
      <c r="D135" t="s" s="50">
        <v>274</v>
      </c>
      <c r="E135" t="s" s="50">
        <v>314</v>
      </c>
      <c r="F135" t="s" s="50">
        <v>48</v>
      </c>
      <c r="G135" t="s" s="50">
        <v>291</v>
      </c>
      <c r="H135" s="69">
        <v>0</v>
      </c>
      <c r="I135" t="s" s="70">
        <v>292</v>
      </c>
      <c r="J135" s="48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" customHeight="1">
      <c r="A136" t="s" s="71">
        <v>429</v>
      </c>
      <c r="B136" s="64">
        <v>45820</v>
      </c>
      <c r="C136" s="61">
        <v>50</v>
      </c>
      <c r="D136" t="s" s="59">
        <v>274</v>
      </c>
      <c r="E136" t="s" s="59">
        <v>316</v>
      </c>
      <c r="F136" t="s" s="59">
        <v>48</v>
      </c>
      <c r="G136" t="s" s="59">
        <v>291</v>
      </c>
      <c r="H136" s="72">
        <v>0</v>
      </c>
      <c r="I136" t="s" s="73">
        <v>292</v>
      </c>
      <c r="J136" s="48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" customHeight="1">
      <c r="A137" t="s" s="68">
        <v>430</v>
      </c>
      <c r="B137" s="55">
        <v>45848</v>
      </c>
      <c r="C137" s="52">
        <v>50</v>
      </c>
      <c r="D137" t="s" s="50">
        <v>274</v>
      </c>
      <c r="E137" t="s" s="50">
        <v>374</v>
      </c>
      <c r="F137" t="s" s="50">
        <v>48</v>
      </c>
      <c r="G137" t="s" s="50">
        <v>291</v>
      </c>
      <c r="H137" s="69">
        <v>0</v>
      </c>
      <c r="I137" t="s" s="70">
        <v>292</v>
      </c>
      <c r="J137" s="48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" customHeight="1">
      <c r="A138" t="s" s="71">
        <v>431</v>
      </c>
      <c r="B138" s="64">
        <v>45877</v>
      </c>
      <c r="C138" s="61">
        <v>50</v>
      </c>
      <c r="D138" t="s" s="59">
        <v>274</v>
      </c>
      <c r="E138" t="s" s="59">
        <v>376</v>
      </c>
      <c r="F138" t="s" s="59">
        <v>48</v>
      </c>
      <c r="G138" t="s" s="59">
        <v>291</v>
      </c>
      <c r="H138" s="72">
        <v>0</v>
      </c>
      <c r="I138" t="s" s="73">
        <v>292</v>
      </c>
      <c r="J138" s="48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" customHeight="1">
      <c r="A139" t="s" s="68">
        <v>432</v>
      </c>
      <c r="B139" s="55">
        <v>45769</v>
      </c>
      <c r="C139" s="52">
        <v>51</v>
      </c>
      <c r="D139" t="s" s="50">
        <v>274</v>
      </c>
      <c r="E139" t="s" s="50">
        <v>290</v>
      </c>
      <c r="F139" t="s" s="50">
        <v>48</v>
      </c>
      <c r="G139" t="s" s="50">
        <v>291</v>
      </c>
      <c r="H139" s="69">
        <v>0</v>
      </c>
      <c r="I139" t="s" s="70">
        <v>292</v>
      </c>
      <c r="J139" s="48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" customHeight="1">
      <c r="A140" t="s" s="71">
        <v>433</v>
      </c>
      <c r="B140" s="64">
        <v>45793</v>
      </c>
      <c r="C140" s="61">
        <v>51</v>
      </c>
      <c r="D140" t="s" s="59">
        <v>274</v>
      </c>
      <c r="E140" t="s" s="59">
        <v>314</v>
      </c>
      <c r="F140" t="s" s="59">
        <v>48</v>
      </c>
      <c r="G140" t="s" s="59">
        <v>291</v>
      </c>
      <c r="H140" s="72">
        <v>0</v>
      </c>
      <c r="I140" t="s" s="73">
        <v>292</v>
      </c>
      <c r="J140" s="48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" customHeight="1">
      <c r="A141" t="s" s="68">
        <v>434</v>
      </c>
      <c r="B141" s="55">
        <v>45823</v>
      </c>
      <c r="C141" s="52">
        <v>51</v>
      </c>
      <c r="D141" t="s" s="50">
        <v>274</v>
      </c>
      <c r="E141" t="s" s="50">
        <v>316</v>
      </c>
      <c r="F141" t="s" s="50">
        <v>48</v>
      </c>
      <c r="G141" t="s" s="50">
        <v>291</v>
      </c>
      <c r="H141" s="69">
        <v>0</v>
      </c>
      <c r="I141" t="s" s="70">
        <v>292</v>
      </c>
      <c r="J141" s="48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" customHeight="1">
      <c r="A142" t="s" s="71">
        <v>435</v>
      </c>
      <c r="B142" s="64">
        <v>45852</v>
      </c>
      <c r="C142" s="61">
        <v>51</v>
      </c>
      <c r="D142" t="s" s="59">
        <v>274</v>
      </c>
      <c r="E142" t="s" s="59">
        <v>374</v>
      </c>
      <c r="F142" t="s" s="59">
        <v>48</v>
      </c>
      <c r="G142" t="s" s="59">
        <v>291</v>
      </c>
      <c r="H142" s="72">
        <v>0</v>
      </c>
      <c r="I142" t="s" s="73">
        <v>292</v>
      </c>
      <c r="J142" s="48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" customHeight="1">
      <c r="A143" t="s" s="68">
        <v>436</v>
      </c>
      <c r="B143" s="55">
        <v>45881</v>
      </c>
      <c r="C143" s="52">
        <v>51</v>
      </c>
      <c r="D143" t="s" s="50">
        <v>274</v>
      </c>
      <c r="E143" t="s" s="50">
        <v>376</v>
      </c>
      <c r="F143" t="s" s="50">
        <v>48</v>
      </c>
      <c r="G143" t="s" s="50">
        <v>291</v>
      </c>
      <c r="H143" s="69">
        <v>0</v>
      </c>
      <c r="I143" t="s" s="70">
        <v>292</v>
      </c>
      <c r="J143" s="48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" customHeight="1">
      <c r="A144" t="s" s="71">
        <v>437</v>
      </c>
      <c r="B144" s="64">
        <v>45769</v>
      </c>
      <c r="C144" s="61">
        <v>52</v>
      </c>
      <c r="D144" t="s" s="59">
        <v>274</v>
      </c>
      <c r="E144" t="s" s="59">
        <v>290</v>
      </c>
      <c r="F144" t="s" s="59">
        <v>48</v>
      </c>
      <c r="G144" t="s" s="59">
        <v>291</v>
      </c>
      <c r="H144" s="72">
        <v>0</v>
      </c>
      <c r="I144" t="s" s="73">
        <v>292</v>
      </c>
      <c r="J144" s="48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" customHeight="1">
      <c r="A145" t="s" s="68">
        <v>438</v>
      </c>
      <c r="B145" s="55">
        <v>45793</v>
      </c>
      <c r="C145" s="52">
        <v>52</v>
      </c>
      <c r="D145" t="s" s="50">
        <v>274</v>
      </c>
      <c r="E145" t="s" s="50">
        <v>314</v>
      </c>
      <c r="F145" t="s" s="50">
        <v>48</v>
      </c>
      <c r="G145" t="s" s="50">
        <v>291</v>
      </c>
      <c r="H145" s="69">
        <v>0</v>
      </c>
      <c r="I145" t="s" s="70">
        <v>292</v>
      </c>
      <c r="J145" s="48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" customHeight="1">
      <c r="A146" t="s" s="71">
        <v>439</v>
      </c>
      <c r="B146" s="64">
        <v>45821</v>
      </c>
      <c r="C146" s="61">
        <v>52</v>
      </c>
      <c r="D146" t="s" s="59">
        <v>274</v>
      </c>
      <c r="E146" t="s" s="59">
        <v>316</v>
      </c>
      <c r="F146" t="s" s="59">
        <v>48</v>
      </c>
      <c r="G146" t="s" s="59">
        <v>291</v>
      </c>
      <c r="H146" s="72">
        <v>0</v>
      </c>
      <c r="I146" t="s" s="73">
        <v>292</v>
      </c>
      <c r="J146" s="48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" customHeight="1">
      <c r="A147" t="s" s="68">
        <v>440</v>
      </c>
      <c r="B147" s="55">
        <v>45849</v>
      </c>
      <c r="C147" s="52">
        <v>52</v>
      </c>
      <c r="D147" t="s" s="50">
        <v>274</v>
      </c>
      <c r="E147" t="s" s="50">
        <v>374</v>
      </c>
      <c r="F147" t="s" s="50">
        <v>48</v>
      </c>
      <c r="G147" t="s" s="50">
        <v>291</v>
      </c>
      <c r="H147" s="69">
        <v>0</v>
      </c>
      <c r="I147" t="s" s="70">
        <v>292</v>
      </c>
      <c r="J147" s="48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" customHeight="1">
      <c r="A148" t="s" s="71">
        <v>441</v>
      </c>
      <c r="B148" s="64">
        <v>45883</v>
      </c>
      <c r="C148" s="61">
        <v>52</v>
      </c>
      <c r="D148" t="s" s="59">
        <v>274</v>
      </c>
      <c r="E148" t="s" s="59">
        <v>376</v>
      </c>
      <c r="F148" t="s" s="59">
        <v>48</v>
      </c>
      <c r="G148" t="s" s="59">
        <v>291</v>
      </c>
      <c r="H148" s="72">
        <v>0</v>
      </c>
      <c r="I148" t="s" s="73">
        <v>292</v>
      </c>
      <c r="J148" s="48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" customHeight="1">
      <c r="A149" t="s" s="68">
        <v>442</v>
      </c>
      <c r="B149" s="55">
        <v>45773</v>
      </c>
      <c r="C149" s="52">
        <v>53</v>
      </c>
      <c r="D149" t="s" s="50">
        <v>274</v>
      </c>
      <c r="E149" t="s" s="50">
        <v>290</v>
      </c>
      <c r="F149" t="s" s="50">
        <v>48</v>
      </c>
      <c r="G149" t="s" s="50">
        <v>318</v>
      </c>
      <c r="H149" s="69">
        <v>2</v>
      </c>
      <c r="I149" t="s" s="70">
        <v>319</v>
      </c>
      <c r="J149" s="48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" customHeight="1">
      <c r="A150" t="s" s="71">
        <v>443</v>
      </c>
      <c r="B150" s="64">
        <v>45795</v>
      </c>
      <c r="C150" s="61">
        <v>53</v>
      </c>
      <c r="D150" t="s" s="59">
        <v>274</v>
      </c>
      <c r="E150" t="s" s="59">
        <v>314</v>
      </c>
      <c r="F150" t="s" s="59">
        <v>48</v>
      </c>
      <c r="G150" t="s" s="59">
        <v>318</v>
      </c>
      <c r="H150" s="72">
        <v>1</v>
      </c>
      <c r="I150" t="s" s="73">
        <v>319</v>
      </c>
      <c r="J150" s="48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" customHeight="1">
      <c r="A151" t="s" s="68">
        <v>444</v>
      </c>
      <c r="B151" s="55">
        <v>45822</v>
      </c>
      <c r="C151" s="52">
        <v>53</v>
      </c>
      <c r="D151" t="s" s="50">
        <v>274</v>
      </c>
      <c r="E151" t="s" s="50">
        <v>316</v>
      </c>
      <c r="F151" t="s" s="50">
        <v>48</v>
      </c>
      <c r="G151" t="s" s="50">
        <v>291</v>
      </c>
      <c r="H151" s="69">
        <v>0</v>
      </c>
      <c r="I151" t="s" s="70">
        <v>292</v>
      </c>
      <c r="J151" s="48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" customHeight="1">
      <c r="A152" t="s" s="71">
        <v>445</v>
      </c>
      <c r="B152" s="64">
        <v>45854</v>
      </c>
      <c r="C152" s="61">
        <v>53</v>
      </c>
      <c r="D152" t="s" s="59">
        <v>274</v>
      </c>
      <c r="E152" t="s" s="59">
        <v>374</v>
      </c>
      <c r="F152" t="s" s="59">
        <v>48</v>
      </c>
      <c r="G152" t="s" s="59">
        <v>291</v>
      </c>
      <c r="H152" s="72">
        <v>0</v>
      </c>
      <c r="I152" t="s" s="73">
        <v>292</v>
      </c>
      <c r="J152" s="48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" customHeight="1">
      <c r="A153" t="s" s="68">
        <v>446</v>
      </c>
      <c r="B153" s="55">
        <v>45885</v>
      </c>
      <c r="C153" s="52">
        <v>53</v>
      </c>
      <c r="D153" t="s" s="50">
        <v>274</v>
      </c>
      <c r="E153" t="s" s="50">
        <v>376</v>
      </c>
      <c r="F153" t="s" s="50">
        <v>48</v>
      </c>
      <c r="G153" t="s" s="50">
        <v>291</v>
      </c>
      <c r="H153" s="69">
        <v>0</v>
      </c>
      <c r="I153" t="s" s="70">
        <v>292</v>
      </c>
      <c r="J153" s="48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" customHeight="1">
      <c r="A154" t="s" s="71">
        <v>447</v>
      </c>
      <c r="B154" s="64">
        <v>45768</v>
      </c>
      <c r="C154" s="61">
        <v>54</v>
      </c>
      <c r="D154" t="s" s="59">
        <v>274</v>
      </c>
      <c r="E154" t="s" s="59">
        <v>290</v>
      </c>
      <c r="F154" t="s" s="59">
        <v>48</v>
      </c>
      <c r="G154" t="s" s="59">
        <v>291</v>
      </c>
      <c r="H154" s="72">
        <v>0</v>
      </c>
      <c r="I154" t="s" s="73">
        <v>292</v>
      </c>
      <c r="J154" s="48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" customHeight="1">
      <c r="A155" t="s" s="68">
        <v>448</v>
      </c>
      <c r="B155" s="55">
        <v>45796</v>
      </c>
      <c r="C155" s="52">
        <v>54</v>
      </c>
      <c r="D155" t="s" s="50">
        <v>274</v>
      </c>
      <c r="E155" t="s" s="50">
        <v>314</v>
      </c>
      <c r="F155" t="s" s="50">
        <v>48</v>
      </c>
      <c r="G155" t="s" s="50">
        <v>291</v>
      </c>
      <c r="H155" s="69">
        <v>0</v>
      </c>
      <c r="I155" t="s" s="70">
        <v>292</v>
      </c>
      <c r="J155" s="48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" customHeight="1">
      <c r="A156" t="s" s="71">
        <v>449</v>
      </c>
      <c r="B156" s="64">
        <v>45824</v>
      </c>
      <c r="C156" s="61">
        <v>54</v>
      </c>
      <c r="D156" t="s" s="59">
        <v>274</v>
      </c>
      <c r="E156" t="s" s="59">
        <v>316</v>
      </c>
      <c r="F156" t="s" s="59">
        <v>48</v>
      </c>
      <c r="G156" t="s" s="59">
        <v>318</v>
      </c>
      <c r="H156" s="72">
        <v>1</v>
      </c>
      <c r="I156" t="s" s="73">
        <v>319</v>
      </c>
      <c r="J156" s="48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" customHeight="1">
      <c r="A157" t="s" s="68">
        <v>450</v>
      </c>
      <c r="B157" s="55">
        <v>45856</v>
      </c>
      <c r="C157" s="52">
        <v>54</v>
      </c>
      <c r="D157" t="s" s="50">
        <v>274</v>
      </c>
      <c r="E157" t="s" s="50">
        <v>374</v>
      </c>
      <c r="F157" t="s" s="50">
        <v>48</v>
      </c>
      <c r="G157" t="s" s="50">
        <v>291</v>
      </c>
      <c r="H157" s="69">
        <v>0</v>
      </c>
      <c r="I157" t="s" s="70">
        <v>292</v>
      </c>
      <c r="J157" s="48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" customHeight="1">
      <c r="A158" t="s" s="71">
        <v>451</v>
      </c>
      <c r="B158" s="64">
        <v>45884</v>
      </c>
      <c r="C158" s="61">
        <v>54</v>
      </c>
      <c r="D158" t="s" s="59">
        <v>274</v>
      </c>
      <c r="E158" t="s" s="59">
        <v>376</v>
      </c>
      <c r="F158" t="s" s="59">
        <v>48</v>
      </c>
      <c r="G158" t="s" s="59">
        <v>318</v>
      </c>
      <c r="H158" s="72">
        <v>1</v>
      </c>
      <c r="I158" t="s" s="73">
        <v>319</v>
      </c>
      <c r="J158" s="48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" customHeight="1">
      <c r="A159" t="s" s="68">
        <v>452</v>
      </c>
      <c r="B159" s="55">
        <v>45777</v>
      </c>
      <c r="C159" s="52">
        <v>55</v>
      </c>
      <c r="D159" t="s" s="50">
        <v>274</v>
      </c>
      <c r="E159" t="s" s="50">
        <v>290</v>
      </c>
      <c r="F159" t="s" s="50">
        <v>48</v>
      </c>
      <c r="G159" t="s" s="50">
        <v>291</v>
      </c>
      <c r="H159" s="69">
        <v>0</v>
      </c>
      <c r="I159" t="s" s="70">
        <v>292</v>
      </c>
      <c r="J159" s="48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" customHeight="1">
      <c r="A160" t="s" s="71">
        <v>453</v>
      </c>
      <c r="B160" s="64">
        <v>45802</v>
      </c>
      <c r="C160" s="61">
        <v>55</v>
      </c>
      <c r="D160" t="s" s="59">
        <v>274</v>
      </c>
      <c r="E160" t="s" s="59">
        <v>314</v>
      </c>
      <c r="F160" t="s" s="59">
        <v>48</v>
      </c>
      <c r="G160" t="s" s="59">
        <v>291</v>
      </c>
      <c r="H160" s="72">
        <v>0</v>
      </c>
      <c r="I160" t="s" s="73">
        <v>292</v>
      </c>
      <c r="J160" s="48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" customHeight="1">
      <c r="A161" t="s" s="68">
        <v>454</v>
      </c>
      <c r="B161" s="55">
        <v>45826</v>
      </c>
      <c r="C161" s="52">
        <v>55</v>
      </c>
      <c r="D161" t="s" s="50">
        <v>274</v>
      </c>
      <c r="E161" t="s" s="50">
        <v>316</v>
      </c>
      <c r="F161" t="s" s="50">
        <v>48</v>
      </c>
      <c r="G161" t="s" s="50">
        <v>291</v>
      </c>
      <c r="H161" s="69">
        <v>0</v>
      </c>
      <c r="I161" t="s" s="70">
        <v>292</v>
      </c>
      <c r="J161" s="48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" customHeight="1">
      <c r="A162" t="s" s="71">
        <v>455</v>
      </c>
      <c r="B162" s="64">
        <v>45857</v>
      </c>
      <c r="C162" s="61">
        <v>55</v>
      </c>
      <c r="D162" t="s" s="59">
        <v>274</v>
      </c>
      <c r="E162" t="s" s="59">
        <v>374</v>
      </c>
      <c r="F162" t="s" s="59">
        <v>48</v>
      </c>
      <c r="G162" t="s" s="59">
        <v>291</v>
      </c>
      <c r="H162" s="72">
        <v>0</v>
      </c>
      <c r="I162" t="s" s="73">
        <v>292</v>
      </c>
      <c r="J162" s="48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" customHeight="1">
      <c r="A163" t="s" s="68">
        <v>456</v>
      </c>
      <c r="B163" s="55">
        <v>45885</v>
      </c>
      <c r="C163" s="52">
        <v>55</v>
      </c>
      <c r="D163" t="s" s="50">
        <v>274</v>
      </c>
      <c r="E163" t="s" s="50">
        <v>376</v>
      </c>
      <c r="F163" t="s" s="50">
        <v>48</v>
      </c>
      <c r="G163" t="s" s="50">
        <v>291</v>
      </c>
      <c r="H163" s="69">
        <v>0</v>
      </c>
      <c r="I163" t="s" s="70">
        <v>292</v>
      </c>
      <c r="J163" s="48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" customHeight="1">
      <c r="A164" t="s" s="71">
        <v>457</v>
      </c>
      <c r="B164" s="64">
        <v>45775</v>
      </c>
      <c r="C164" s="61">
        <v>56</v>
      </c>
      <c r="D164" t="s" s="59">
        <v>274</v>
      </c>
      <c r="E164" t="s" s="59">
        <v>290</v>
      </c>
      <c r="F164" t="s" s="59">
        <v>48</v>
      </c>
      <c r="G164" t="s" s="59">
        <v>291</v>
      </c>
      <c r="H164" s="72">
        <v>0</v>
      </c>
      <c r="I164" t="s" s="73">
        <v>292</v>
      </c>
      <c r="J164" s="48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" customHeight="1">
      <c r="A165" t="s" s="68">
        <v>458</v>
      </c>
      <c r="B165" s="55">
        <v>45807</v>
      </c>
      <c r="C165" s="52">
        <v>56</v>
      </c>
      <c r="D165" t="s" s="50">
        <v>274</v>
      </c>
      <c r="E165" t="s" s="50">
        <v>314</v>
      </c>
      <c r="F165" t="s" s="50">
        <v>48</v>
      </c>
      <c r="G165" t="s" s="50">
        <v>291</v>
      </c>
      <c r="H165" s="69">
        <v>0</v>
      </c>
      <c r="I165" t="s" s="70">
        <v>292</v>
      </c>
      <c r="J165" s="48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" customHeight="1">
      <c r="A166" t="s" s="71">
        <v>459</v>
      </c>
      <c r="B166" s="64">
        <v>45829</v>
      </c>
      <c r="C166" s="61">
        <v>56</v>
      </c>
      <c r="D166" t="s" s="59">
        <v>274</v>
      </c>
      <c r="E166" t="s" s="59">
        <v>316</v>
      </c>
      <c r="F166" t="s" s="59">
        <v>48</v>
      </c>
      <c r="G166" t="s" s="59">
        <v>291</v>
      </c>
      <c r="H166" s="72">
        <v>0</v>
      </c>
      <c r="I166" t="s" s="73">
        <v>292</v>
      </c>
      <c r="J166" s="48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" customHeight="1">
      <c r="A167" t="s" s="68">
        <v>460</v>
      </c>
      <c r="B167" s="55">
        <v>45857</v>
      </c>
      <c r="C167" s="52">
        <v>56</v>
      </c>
      <c r="D167" t="s" s="50">
        <v>274</v>
      </c>
      <c r="E167" t="s" s="50">
        <v>374</v>
      </c>
      <c r="F167" t="s" s="50">
        <v>48</v>
      </c>
      <c r="G167" t="s" s="50">
        <v>291</v>
      </c>
      <c r="H167" s="69">
        <v>0</v>
      </c>
      <c r="I167" t="s" s="70">
        <v>292</v>
      </c>
      <c r="J167" s="48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" customHeight="1">
      <c r="A168" t="s" s="71">
        <v>461</v>
      </c>
      <c r="B168" s="64">
        <v>45890</v>
      </c>
      <c r="C168" s="61">
        <v>56</v>
      </c>
      <c r="D168" t="s" s="59">
        <v>274</v>
      </c>
      <c r="E168" t="s" s="59">
        <v>376</v>
      </c>
      <c r="F168" t="s" s="59">
        <v>48</v>
      </c>
      <c r="G168" t="s" s="59">
        <v>291</v>
      </c>
      <c r="H168" s="72">
        <v>0</v>
      </c>
      <c r="I168" t="s" s="73">
        <v>292</v>
      </c>
      <c r="J168" s="48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" customHeight="1">
      <c r="A169" t="s" s="68">
        <v>462</v>
      </c>
      <c r="B169" s="55">
        <v>45781</v>
      </c>
      <c r="C169" s="52">
        <v>57</v>
      </c>
      <c r="D169" t="s" s="50">
        <v>274</v>
      </c>
      <c r="E169" t="s" s="50">
        <v>290</v>
      </c>
      <c r="F169" t="s" s="50">
        <v>48</v>
      </c>
      <c r="G169" t="s" s="50">
        <v>291</v>
      </c>
      <c r="H169" s="69">
        <v>0</v>
      </c>
      <c r="I169" t="s" s="70">
        <v>292</v>
      </c>
      <c r="J169" s="48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" customHeight="1">
      <c r="A170" t="s" s="71">
        <v>463</v>
      </c>
      <c r="B170" s="64">
        <v>45807</v>
      </c>
      <c r="C170" s="61">
        <v>57</v>
      </c>
      <c r="D170" t="s" s="59">
        <v>274</v>
      </c>
      <c r="E170" t="s" s="59">
        <v>314</v>
      </c>
      <c r="F170" t="s" s="59">
        <v>48</v>
      </c>
      <c r="G170" t="s" s="59">
        <v>291</v>
      </c>
      <c r="H170" s="72">
        <v>0</v>
      </c>
      <c r="I170" t="s" s="73">
        <v>292</v>
      </c>
      <c r="J170" s="48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" customHeight="1">
      <c r="A171" t="s" s="68">
        <v>464</v>
      </c>
      <c r="B171" s="55">
        <v>45834</v>
      </c>
      <c r="C171" s="52">
        <v>57</v>
      </c>
      <c r="D171" t="s" s="50">
        <v>274</v>
      </c>
      <c r="E171" t="s" s="50">
        <v>316</v>
      </c>
      <c r="F171" t="s" s="50">
        <v>48</v>
      </c>
      <c r="G171" t="s" s="50">
        <v>291</v>
      </c>
      <c r="H171" s="69">
        <v>0</v>
      </c>
      <c r="I171" t="s" s="70">
        <v>292</v>
      </c>
      <c r="J171" s="48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" customHeight="1">
      <c r="A172" t="s" s="71">
        <v>465</v>
      </c>
      <c r="B172" s="64">
        <v>45865</v>
      </c>
      <c r="C172" s="61">
        <v>57</v>
      </c>
      <c r="D172" t="s" s="59">
        <v>274</v>
      </c>
      <c r="E172" t="s" s="59">
        <v>374</v>
      </c>
      <c r="F172" t="s" s="59">
        <v>48</v>
      </c>
      <c r="G172" t="s" s="59">
        <v>291</v>
      </c>
      <c r="H172" s="72">
        <v>0</v>
      </c>
      <c r="I172" t="s" s="73">
        <v>292</v>
      </c>
      <c r="J172" s="48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" customHeight="1">
      <c r="A173" t="s" s="68">
        <v>466</v>
      </c>
      <c r="B173" s="55">
        <v>45886</v>
      </c>
      <c r="C173" s="52">
        <v>57</v>
      </c>
      <c r="D173" t="s" s="50">
        <v>274</v>
      </c>
      <c r="E173" t="s" s="50">
        <v>376</v>
      </c>
      <c r="F173" t="s" s="50">
        <v>48</v>
      </c>
      <c r="G173" t="s" s="50">
        <v>318</v>
      </c>
      <c r="H173" s="69">
        <v>2</v>
      </c>
      <c r="I173" t="s" s="70">
        <v>319</v>
      </c>
      <c r="J173" s="48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" customHeight="1">
      <c r="A174" t="s" s="71">
        <v>467</v>
      </c>
      <c r="B174" s="64">
        <v>45781</v>
      </c>
      <c r="C174" s="61">
        <v>58</v>
      </c>
      <c r="D174" t="s" s="59">
        <v>274</v>
      </c>
      <c r="E174" t="s" s="59">
        <v>290</v>
      </c>
      <c r="F174" t="s" s="59">
        <v>48</v>
      </c>
      <c r="G174" t="s" s="59">
        <v>291</v>
      </c>
      <c r="H174" s="72">
        <v>0</v>
      </c>
      <c r="I174" t="s" s="73">
        <v>292</v>
      </c>
      <c r="J174" s="48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" customHeight="1">
      <c r="A175" t="s" s="68">
        <v>468</v>
      </c>
      <c r="B175" s="55">
        <v>45810</v>
      </c>
      <c r="C175" s="52">
        <v>58</v>
      </c>
      <c r="D175" t="s" s="50">
        <v>274</v>
      </c>
      <c r="E175" t="s" s="50">
        <v>314</v>
      </c>
      <c r="F175" t="s" s="50">
        <v>48</v>
      </c>
      <c r="G175" t="s" s="50">
        <v>291</v>
      </c>
      <c r="H175" s="69">
        <v>0</v>
      </c>
      <c r="I175" t="s" s="70">
        <v>292</v>
      </c>
      <c r="J175" s="48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" customHeight="1">
      <c r="A176" t="s" s="71">
        <v>469</v>
      </c>
      <c r="B176" s="64">
        <v>45838</v>
      </c>
      <c r="C176" s="61">
        <v>58</v>
      </c>
      <c r="D176" t="s" s="59">
        <v>274</v>
      </c>
      <c r="E176" t="s" s="59">
        <v>316</v>
      </c>
      <c r="F176" t="s" s="59">
        <v>48</v>
      </c>
      <c r="G176" t="s" s="59">
        <v>291</v>
      </c>
      <c r="H176" s="72">
        <v>0</v>
      </c>
      <c r="I176" t="s" s="73">
        <v>292</v>
      </c>
      <c r="J176" s="48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" customHeight="1">
      <c r="A177" t="s" s="68">
        <v>470</v>
      </c>
      <c r="B177" s="55">
        <v>45863</v>
      </c>
      <c r="C177" s="52">
        <v>58</v>
      </c>
      <c r="D177" t="s" s="50">
        <v>274</v>
      </c>
      <c r="E177" t="s" s="50">
        <v>374</v>
      </c>
      <c r="F177" t="s" s="50">
        <v>48</v>
      </c>
      <c r="G177" t="s" s="50">
        <v>291</v>
      </c>
      <c r="H177" s="69">
        <v>0</v>
      </c>
      <c r="I177" t="s" s="70">
        <v>292</v>
      </c>
      <c r="J177" s="48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" customHeight="1">
      <c r="A178" t="s" s="71">
        <v>471</v>
      </c>
      <c r="B178" s="64">
        <v>45893</v>
      </c>
      <c r="C178" s="61">
        <v>58</v>
      </c>
      <c r="D178" t="s" s="59">
        <v>274</v>
      </c>
      <c r="E178" t="s" s="59">
        <v>376</v>
      </c>
      <c r="F178" t="s" s="59">
        <v>48</v>
      </c>
      <c r="G178" t="s" s="59">
        <v>291</v>
      </c>
      <c r="H178" s="72">
        <v>0</v>
      </c>
      <c r="I178" t="s" s="73">
        <v>292</v>
      </c>
      <c r="J178" s="48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" customHeight="1">
      <c r="A179" t="s" s="68">
        <v>472</v>
      </c>
      <c r="B179" s="55">
        <v>45780</v>
      </c>
      <c r="C179" s="52">
        <v>59</v>
      </c>
      <c r="D179" t="s" s="50">
        <v>274</v>
      </c>
      <c r="E179" t="s" s="50">
        <v>290</v>
      </c>
      <c r="F179" t="s" s="50">
        <v>48</v>
      </c>
      <c r="G179" t="s" s="50">
        <v>291</v>
      </c>
      <c r="H179" s="69">
        <v>0</v>
      </c>
      <c r="I179" t="s" s="70">
        <v>292</v>
      </c>
      <c r="J179" s="48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" customHeight="1">
      <c r="A180" t="s" s="71">
        <v>473</v>
      </c>
      <c r="B180" s="64">
        <v>45812</v>
      </c>
      <c r="C180" s="61">
        <v>59</v>
      </c>
      <c r="D180" t="s" s="59">
        <v>274</v>
      </c>
      <c r="E180" t="s" s="59">
        <v>314</v>
      </c>
      <c r="F180" t="s" s="59">
        <v>48</v>
      </c>
      <c r="G180" t="s" s="59">
        <v>291</v>
      </c>
      <c r="H180" s="72">
        <v>0</v>
      </c>
      <c r="I180" t="s" s="73">
        <v>292</v>
      </c>
      <c r="J180" s="48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" customHeight="1">
      <c r="A181" t="s" s="68">
        <v>474</v>
      </c>
      <c r="B181" s="55">
        <v>45835</v>
      </c>
      <c r="C181" s="52">
        <v>59</v>
      </c>
      <c r="D181" t="s" s="50">
        <v>274</v>
      </c>
      <c r="E181" t="s" s="50">
        <v>316</v>
      </c>
      <c r="F181" t="s" s="50">
        <v>48</v>
      </c>
      <c r="G181" t="s" s="50">
        <v>291</v>
      </c>
      <c r="H181" s="69">
        <v>0</v>
      </c>
      <c r="I181" t="s" s="70">
        <v>292</v>
      </c>
      <c r="J181" s="48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" customHeight="1">
      <c r="A182" t="s" s="71">
        <v>475</v>
      </c>
      <c r="B182" s="64">
        <v>45868</v>
      </c>
      <c r="C182" s="61">
        <v>59</v>
      </c>
      <c r="D182" t="s" s="59">
        <v>274</v>
      </c>
      <c r="E182" t="s" s="59">
        <v>374</v>
      </c>
      <c r="F182" t="s" s="59">
        <v>48</v>
      </c>
      <c r="G182" t="s" s="59">
        <v>291</v>
      </c>
      <c r="H182" s="72">
        <v>0</v>
      </c>
      <c r="I182" t="s" s="73">
        <v>292</v>
      </c>
      <c r="J182" s="48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" customHeight="1">
      <c r="A183" t="s" s="68">
        <v>476</v>
      </c>
      <c r="B183" s="55">
        <v>45891</v>
      </c>
      <c r="C183" s="52">
        <v>59</v>
      </c>
      <c r="D183" t="s" s="50">
        <v>274</v>
      </c>
      <c r="E183" t="s" s="50">
        <v>376</v>
      </c>
      <c r="F183" t="s" s="50">
        <v>48</v>
      </c>
      <c r="G183" t="s" s="50">
        <v>291</v>
      </c>
      <c r="H183" s="69">
        <v>0</v>
      </c>
      <c r="I183" t="s" s="70">
        <v>292</v>
      </c>
      <c r="J183" s="48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" customHeight="1">
      <c r="A184" t="s" s="71">
        <v>477</v>
      </c>
      <c r="B184" s="64">
        <v>45787</v>
      </c>
      <c r="C184" s="61">
        <v>60</v>
      </c>
      <c r="D184" t="s" s="59">
        <v>274</v>
      </c>
      <c r="E184" t="s" s="59">
        <v>290</v>
      </c>
      <c r="F184" t="s" s="59">
        <v>48</v>
      </c>
      <c r="G184" t="s" s="59">
        <v>291</v>
      </c>
      <c r="H184" s="72">
        <v>0</v>
      </c>
      <c r="I184" t="s" s="73">
        <v>292</v>
      </c>
      <c r="J184" s="48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" customHeight="1">
      <c r="A185" t="s" s="68">
        <v>478</v>
      </c>
      <c r="B185" s="55">
        <v>45811</v>
      </c>
      <c r="C185" s="52">
        <v>60</v>
      </c>
      <c r="D185" t="s" s="50">
        <v>274</v>
      </c>
      <c r="E185" t="s" s="50">
        <v>314</v>
      </c>
      <c r="F185" t="s" s="50">
        <v>48</v>
      </c>
      <c r="G185" t="s" s="50">
        <v>291</v>
      </c>
      <c r="H185" s="69">
        <v>0</v>
      </c>
      <c r="I185" t="s" s="70">
        <v>292</v>
      </c>
      <c r="J185" s="48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" customHeight="1">
      <c r="A186" t="s" s="71">
        <v>479</v>
      </c>
      <c r="B186" s="64">
        <v>45840</v>
      </c>
      <c r="C186" s="61">
        <v>60</v>
      </c>
      <c r="D186" t="s" s="59">
        <v>274</v>
      </c>
      <c r="E186" t="s" s="59">
        <v>316</v>
      </c>
      <c r="F186" t="s" s="59">
        <v>48</v>
      </c>
      <c r="G186" t="s" s="59">
        <v>291</v>
      </c>
      <c r="H186" s="72">
        <v>0</v>
      </c>
      <c r="I186" t="s" s="73">
        <v>292</v>
      </c>
      <c r="J186" s="48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" customHeight="1">
      <c r="A187" t="s" s="68">
        <v>480</v>
      </c>
      <c r="B187" s="55">
        <v>45871</v>
      </c>
      <c r="C187" s="52">
        <v>60</v>
      </c>
      <c r="D187" t="s" s="50">
        <v>274</v>
      </c>
      <c r="E187" t="s" s="50">
        <v>374</v>
      </c>
      <c r="F187" t="s" s="50">
        <v>48</v>
      </c>
      <c r="G187" t="s" s="50">
        <v>291</v>
      </c>
      <c r="H187" s="69">
        <v>0</v>
      </c>
      <c r="I187" t="s" s="70">
        <v>292</v>
      </c>
      <c r="J187" s="48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" customHeight="1">
      <c r="A188" t="s" s="71">
        <v>481</v>
      </c>
      <c r="B188" s="64">
        <v>45894</v>
      </c>
      <c r="C188" s="61">
        <v>60</v>
      </c>
      <c r="D188" t="s" s="59">
        <v>274</v>
      </c>
      <c r="E188" t="s" s="59">
        <v>376</v>
      </c>
      <c r="F188" t="s" s="59">
        <v>48</v>
      </c>
      <c r="G188" t="s" s="59">
        <v>291</v>
      </c>
      <c r="H188" s="72">
        <v>0</v>
      </c>
      <c r="I188" t="s" s="73">
        <v>292</v>
      </c>
      <c r="J188" s="48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" customHeight="1">
      <c r="A189" t="s" s="68">
        <v>482</v>
      </c>
      <c r="B189" s="55">
        <v>45782</v>
      </c>
      <c r="C189" s="52">
        <v>61</v>
      </c>
      <c r="D189" t="s" s="50">
        <v>276</v>
      </c>
      <c r="E189" t="s" s="50">
        <v>290</v>
      </c>
      <c r="F189" t="s" s="50">
        <v>48</v>
      </c>
      <c r="G189" t="s" s="50">
        <v>291</v>
      </c>
      <c r="H189" s="69">
        <v>0</v>
      </c>
      <c r="I189" t="s" s="70">
        <v>292</v>
      </c>
      <c r="J189" s="48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" customHeight="1">
      <c r="A190" t="s" s="71">
        <v>483</v>
      </c>
      <c r="B190" s="64">
        <v>45814</v>
      </c>
      <c r="C190" s="61">
        <v>61</v>
      </c>
      <c r="D190" t="s" s="59">
        <v>276</v>
      </c>
      <c r="E190" t="s" s="59">
        <v>314</v>
      </c>
      <c r="F190" t="s" s="59">
        <v>48</v>
      </c>
      <c r="G190" t="s" s="59">
        <v>291</v>
      </c>
      <c r="H190" s="72">
        <v>0</v>
      </c>
      <c r="I190" t="s" s="73">
        <v>292</v>
      </c>
      <c r="J190" s="48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" customHeight="1">
      <c r="A191" t="s" s="68">
        <v>484</v>
      </c>
      <c r="B191" s="55">
        <v>45839</v>
      </c>
      <c r="C191" s="52">
        <v>61</v>
      </c>
      <c r="D191" t="s" s="50">
        <v>276</v>
      </c>
      <c r="E191" t="s" s="50">
        <v>316</v>
      </c>
      <c r="F191" t="s" s="50">
        <v>48</v>
      </c>
      <c r="G191" t="s" s="50">
        <v>291</v>
      </c>
      <c r="H191" s="69">
        <v>0</v>
      </c>
      <c r="I191" t="s" s="70">
        <v>292</v>
      </c>
      <c r="J191" s="48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" customHeight="1">
      <c r="A192" t="s" s="71">
        <v>485</v>
      </c>
      <c r="B192" s="64">
        <v>45873</v>
      </c>
      <c r="C192" s="61">
        <v>61</v>
      </c>
      <c r="D192" t="s" s="59">
        <v>276</v>
      </c>
      <c r="E192" t="s" s="59">
        <v>374</v>
      </c>
      <c r="F192" t="s" s="59">
        <v>48</v>
      </c>
      <c r="G192" t="s" s="59">
        <v>291</v>
      </c>
      <c r="H192" s="72">
        <v>0</v>
      </c>
      <c r="I192" t="s" s="73">
        <v>292</v>
      </c>
      <c r="J192" s="48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" customHeight="1">
      <c r="A193" t="s" s="68">
        <v>486</v>
      </c>
      <c r="B193" s="55">
        <v>45898</v>
      </c>
      <c r="C193" s="52">
        <v>61</v>
      </c>
      <c r="D193" t="s" s="50">
        <v>276</v>
      </c>
      <c r="E193" t="s" s="50">
        <v>376</v>
      </c>
      <c r="F193" t="s" s="50">
        <v>48</v>
      </c>
      <c r="G193" t="s" s="50">
        <v>291</v>
      </c>
      <c r="H193" s="69">
        <v>0</v>
      </c>
      <c r="I193" t="s" s="70">
        <v>292</v>
      </c>
      <c r="J193" s="48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" customHeight="1">
      <c r="A194" t="s" s="71">
        <v>487</v>
      </c>
      <c r="B194" s="64">
        <v>45925</v>
      </c>
      <c r="C194" s="61">
        <v>61</v>
      </c>
      <c r="D194" t="s" s="59">
        <v>276</v>
      </c>
      <c r="E194" t="s" s="59">
        <v>488</v>
      </c>
      <c r="F194" t="s" s="59">
        <v>49</v>
      </c>
      <c r="G194" t="s" s="59">
        <v>291</v>
      </c>
      <c r="H194" s="72">
        <v>0</v>
      </c>
      <c r="I194" t="s" s="73">
        <v>292</v>
      </c>
      <c r="J194" s="48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" customHeight="1">
      <c r="A195" t="s" s="68">
        <v>489</v>
      </c>
      <c r="B195" s="55">
        <v>45791</v>
      </c>
      <c r="C195" s="52">
        <v>62</v>
      </c>
      <c r="D195" t="s" s="50">
        <v>276</v>
      </c>
      <c r="E195" t="s" s="50">
        <v>290</v>
      </c>
      <c r="F195" t="s" s="50">
        <v>48</v>
      </c>
      <c r="G195" t="s" s="50">
        <v>291</v>
      </c>
      <c r="H195" s="69">
        <v>0</v>
      </c>
      <c r="I195" t="s" s="70">
        <v>292</v>
      </c>
      <c r="J195" s="48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" customHeight="1">
      <c r="A196" t="s" s="71">
        <v>490</v>
      </c>
      <c r="B196" s="64">
        <v>45815</v>
      </c>
      <c r="C196" s="61">
        <v>62</v>
      </c>
      <c r="D196" t="s" s="59">
        <v>276</v>
      </c>
      <c r="E196" t="s" s="59">
        <v>314</v>
      </c>
      <c r="F196" t="s" s="59">
        <v>48</v>
      </c>
      <c r="G196" t="s" s="59">
        <v>291</v>
      </c>
      <c r="H196" s="72">
        <v>0</v>
      </c>
      <c r="I196" t="s" s="73">
        <v>292</v>
      </c>
      <c r="J196" s="48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" customHeight="1">
      <c r="A197" t="s" s="68">
        <v>491</v>
      </c>
      <c r="B197" s="55">
        <v>45840</v>
      </c>
      <c r="C197" s="52">
        <v>62</v>
      </c>
      <c r="D197" t="s" s="50">
        <v>276</v>
      </c>
      <c r="E197" t="s" s="50">
        <v>316</v>
      </c>
      <c r="F197" t="s" s="50">
        <v>48</v>
      </c>
      <c r="G197" t="s" s="50">
        <v>291</v>
      </c>
      <c r="H197" s="69">
        <v>0</v>
      </c>
      <c r="I197" t="s" s="70">
        <v>292</v>
      </c>
      <c r="J197" s="48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" customHeight="1">
      <c r="A198" t="s" s="71">
        <v>492</v>
      </c>
      <c r="B198" s="64">
        <v>45869</v>
      </c>
      <c r="C198" s="61">
        <v>62</v>
      </c>
      <c r="D198" t="s" s="59">
        <v>276</v>
      </c>
      <c r="E198" t="s" s="59">
        <v>374</v>
      </c>
      <c r="F198" t="s" s="59">
        <v>48</v>
      </c>
      <c r="G198" t="s" s="59">
        <v>291</v>
      </c>
      <c r="H198" s="72">
        <v>0</v>
      </c>
      <c r="I198" t="s" s="73">
        <v>292</v>
      </c>
      <c r="J198" s="48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" customHeight="1">
      <c r="A199" t="s" s="68">
        <v>493</v>
      </c>
      <c r="B199" s="55">
        <v>45901</v>
      </c>
      <c r="C199" s="52">
        <v>62</v>
      </c>
      <c r="D199" t="s" s="50">
        <v>276</v>
      </c>
      <c r="E199" t="s" s="50">
        <v>376</v>
      </c>
      <c r="F199" t="s" s="50">
        <v>48</v>
      </c>
      <c r="G199" t="s" s="50">
        <v>291</v>
      </c>
      <c r="H199" s="69">
        <v>0</v>
      </c>
      <c r="I199" t="s" s="70">
        <v>292</v>
      </c>
      <c r="J199" s="48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" customHeight="1">
      <c r="A200" t="s" s="71">
        <v>494</v>
      </c>
      <c r="B200" s="64">
        <v>45928</v>
      </c>
      <c r="C200" s="61">
        <v>62</v>
      </c>
      <c r="D200" t="s" s="59">
        <v>276</v>
      </c>
      <c r="E200" t="s" s="59">
        <v>488</v>
      </c>
      <c r="F200" t="s" s="59">
        <v>49</v>
      </c>
      <c r="G200" t="s" s="59">
        <v>291</v>
      </c>
      <c r="H200" s="72">
        <v>0</v>
      </c>
      <c r="I200" t="s" s="73">
        <v>292</v>
      </c>
      <c r="J200" s="48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" customHeight="1">
      <c r="A201" t="s" s="68">
        <v>495</v>
      </c>
      <c r="B201" s="55">
        <v>45791</v>
      </c>
      <c r="C201" s="52">
        <v>63</v>
      </c>
      <c r="D201" t="s" s="50">
        <v>276</v>
      </c>
      <c r="E201" t="s" s="50">
        <v>290</v>
      </c>
      <c r="F201" t="s" s="50">
        <v>48</v>
      </c>
      <c r="G201" t="s" s="50">
        <v>291</v>
      </c>
      <c r="H201" s="69">
        <v>0</v>
      </c>
      <c r="I201" t="s" s="70">
        <v>292</v>
      </c>
      <c r="J201" s="48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" customHeight="1">
      <c r="A202" t="s" s="71">
        <v>496</v>
      </c>
      <c r="B202" s="64">
        <v>45816</v>
      </c>
      <c r="C202" s="61">
        <v>63</v>
      </c>
      <c r="D202" t="s" s="59">
        <v>276</v>
      </c>
      <c r="E202" t="s" s="59">
        <v>314</v>
      </c>
      <c r="F202" t="s" s="59">
        <v>48</v>
      </c>
      <c r="G202" t="s" s="59">
        <v>291</v>
      </c>
      <c r="H202" s="72">
        <v>0</v>
      </c>
      <c r="I202" t="s" s="73">
        <v>292</v>
      </c>
      <c r="J202" s="48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" customHeight="1">
      <c r="A203" t="s" s="68">
        <v>497</v>
      </c>
      <c r="B203" s="55">
        <v>45845</v>
      </c>
      <c r="C203" s="52">
        <v>63</v>
      </c>
      <c r="D203" t="s" s="50">
        <v>276</v>
      </c>
      <c r="E203" t="s" s="50">
        <v>316</v>
      </c>
      <c r="F203" t="s" s="50">
        <v>48</v>
      </c>
      <c r="G203" t="s" s="50">
        <v>291</v>
      </c>
      <c r="H203" s="69">
        <v>0</v>
      </c>
      <c r="I203" t="s" s="70">
        <v>292</v>
      </c>
      <c r="J203" s="48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" customHeight="1">
      <c r="A204" t="s" s="71">
        <v>498</v>
      </c>
      <c r="B204" s="64">
        <v>45874</v>
      </c>
      <c r="C204" s="61">
        <v>63</v>
      </c>
      <c r="D204" t="s" s="59">
        <v>276</v>
      </c>
      <c r="E204" t="s" s="59">
        <v>374</v>
      </c>
      <c r="F204" t="s" s="59">
        <v>48</v>
      </c>
      <c r="G204" t="s" s="59">
        <v>318</v>
      </c>
      <c r="H204" s="72">
        <v>2</v>
      </c>
      <c r="I204" t="s" s="73">
        <v>319</v>
      </c>
      <c r="J204" s="48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" customHeight="1">
      <c r="A205" t="s" s="68">
        <v>499</v>
      </c>
      <c r="B205" s="55">
        <v>45903</v>
      </c>
      <c r="C205" s="52">
        <v>63</v>
      </c>
      <c r="D205" t="s" s="50">
        <v>276</v>
      </c>
      <c r="E205" t="s" s="50">
        <v>376</v>
      </c>
      <c r="F205" t="s" s="50">
        <v>48</v>
      </c>
      <c r="G205" t="s" s="50">
        <v>318</v>
      </c>
      <c r="H205" s="69">
        <v>1</v>
      </c>
      <c r="I205" t="s" s="70">
        <v>319</v>
      </c>
      <c r="J205" s="48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" customHeight="1">
      <c r="A206" t="s" s="71">
        <v>500</v>
      </c>
      <c r="B206" s="64">
        <v>45930</v>
      </c>
      <c r="C206" s="61">
        <v>63</v>
      </c>
      <c r="D206" t="s" s="59">
        <v>276</v>
      </c>
      <c r="E206" t="s" s="59">
        <v>488</v>
      </c>
      <c r="F206" t="s" s="59">
        <v>49</v>
      </c>
      <c r="G206" t="s" s="59">
        <v>291</v>
      </c>
      <c r="H206" s="72">
        <v>0</v>
      </c>
      <c r="I206" t="s" s="73">
        <v>292</v>
      </c>
      <c r="J206" s="48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" customHeight="1">
      <c r="A207" t="s" s="68">
        <v>501</v>
      </c>
      <c r="B207" s="55">
        <v>45794</v>
      </c>
      <c r="C207" s="52">
        <v>64</v>
      </c>
      <c r="D207" t="s" s="50">
        <v>276</v>
      </c>
      <c r="E207" t="s" s="50">
        <v>290</v>
      </c>
      <c r="F207" t="s" s="50">
        <v>48</v>
      </c>
      <c r="G207" t="s" s="50">
        <v>291</v>
      </c>
      <c r="H207" s="69">
        <v>0</v>
      </c>
      <c r="I207" t="s" s="70">
        <v>292</v>
      </c>
      <c r="J207" s="48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" customHeight="1">
      <c r="A208" t="s" s="71">
        <v>502</v>
      </c>
      <c r="B208" s="64">
        <v>45822</v>
      </c>
      <c r="C208" s="61">
        <v>64</v>
      </c>
      <c r="D208" t="s" s="59">
        <v>276</v>
      </c>
      <c r="E208" t="s" s="59">
        <v>314</v>
      </c>
      <c r="F208" t="s" s="59">
        <v>48</v>
      </c>
      <c r="G208" t="s" s="59">
        <v>291</v>
      </c>
      <c r="H208" s="72">
        <v>0</v>
      </c>
      <c r="I208" t="s" s="73">
        <v>292</v>
      </c>
      <c r="J208" s="48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" customHeight="1">
      <c r="A209" t="s" s="68">
        <v>503</v>
      </c>
      <c r="B209" s="55">
        <v>45849</v>
      </c>
      <c r="C209" s="52">
        <v>64</v>
      </c>
      <c r="D209" t="s" s="50">
        <v>276</v>
      </c>
      <c r="E209" t="s" s="50">
        <v>316</v>
      </c>
      <c r="F209" t="s" s="50">
        <v>48</v>
      </c>
      <c r="G209" t="s" s="50">
        <v>291</v>
      </c>
      <c r="H209" s="69">
        <v>0</v>
      </c>
      <c r="I209" t="s" s="70">
        <v>292</v>
      </c>
      <c r="J209" s="48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" customHeight="1">
      <c r="A210" t="s" s="71">
        <v>504</v>
      </c>
      <c r="B210" s="64">
        <v>45875</v>
      </c>
      <c r="C210" s="61">
        <v>64</v>
      </c>
      <c r="D210" t="s" s="59">
        <v>276</v>
      </c>
      <c r="E210" t="s" s="59">
        <v>374</v>
      </c>
      <c r="F210" t="s" s="59">
        <v>48</v>
      </c>
      <c r="G210" t="s" s="59">
        <v>291</v>
      </c>
      <c r="H210" s="72">
        <v>0</v>
      </c>
      <c r="I210" t="s" s="73">
        <v>292</v>
      </c>
      <c r="J210" s="48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" customHeight="1">
      <c r="A211" t="s" s="68">
        <v>505</v>
      </c>
      <c r="B211" s="55">
        <v>45902</v>
      </c>
      <c r="C211" s="52">
        <v>64</v>
      </c>
      <c r="D211" t="s" s="50">
        <v>276</v>
      </c>
      <c r="E211" t="s" s="50">
        <v>376</v>
      </c>
      <c r="F211" t="s" s="50">
        <v>48</v>
      </c>
      <c r="G211" t="s" s="50">
        <v>291</v>
      </c>
      <c r="H211" s="69">
        <v>0</v>
      </c>
      <c r="I211" t="s" s="70">
        <v>292</v>
      </c>
      <c r="J211" s="48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" customHeight="1">
      <c r="A212" t="s" s="71">
        <v>506</v>
      </c>
      <c r="B212" s="64">
        <v>45932</v>
      </c>
      <c r="C212" s="61">
        <v>64</v>
      </c>
      <c r="D212" t="s" s="59">
        <v>276</v>
      </c>
      <c r="E212" t="s" s="59">
        <v>488</v>
      </c>
      <c r="F212" t="s" s="59">
        <v>49</v>
      </c>
      <c r="G212" t="s" s="59">
        <v>507</v>
      </c>
      <c r="H212" s="72">
        <v>2</v>
      </c>
      <c r="I212" t="s" s="73">
        <v>508</v>
      </c>
      <c r="J212" s="48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" customHeight="1">
      <c r="A213" t="s" s="68">
        <v>509</v>
      </c>
      <c r="B213" s="55">
        <v>45797</v>
      </c>
      <c r="C213" s="52">
        <v>65</v>
      </c>
      <c r="D213" t="s" s="50">
        <v>276</v>
      </c>
      <c r="E213" t="s" s="50">
        <v>290</v>
      </c>
      <c r="F213" t="s" s="50">
        <v>48</v>
      </c>
      <c r="G213" t="s" s="50">
        <v>291</v>
      </c>
      <c r="H213" s="69">
        <v>0</v>
      </c>
      <c r="I213" t="s" s="70">
        <v>292</v>
      </c>
      <c r="J213" s="48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" customHeight="1">
      <c r="A214" t="s" s="71">
        <v>510</v>
      </c>
      <c r="B214" s="64">
        <v>45822</v>
      </c>
      <c r="C214" s="61">
        <v>65</v>
      </c>
      <c r="D214" t="s" s="59">
        <v>276</v>
      </c>
      <c r="E214" t="s" s="59">
        <v>314</v>
      </c>
      <c r="F214" t="s" s="59">
        <v>48</v>
      </c>
      <c r="G214" t="s" s="59">
        <v>291</v>
      </c>
      <c r="H214" s="72">
        <v>0</v>
      </c>
      <c r="I214" t="s" s="73">
        <v>292</v>
      </c>
      <c r="J214" s="48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" customHeight="1">
      <c r="A215" t="s" s="68">
        <v>511</v>
      </c>
      <c r="B215" s="55">
        <v>45850</v>
      </c>
      <c r="C215" s="52">
        <v>65</v>
      </c>
      <c r="D215" t="s" s="50">
        <v>276</v>
      </c>
      <c r="E215" t="s" s="50">
        <v>316</v>
      </c>
      <c r="F215" t="s" s="50">
        <v>48</v>
      </c>
      <c r="G215" t="s" s="50">
        <v>291</v>
      </c>
      <c r="H215" s="69">
        <v>0</v>
      </c>
      <c r="I215" t="s" s="70">
        <v>292</v>
      </c>
      <c r="J215" s="48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" customHeight="1">
      <c r="A216" t="s" s="71">
        <v>512</v>
      </c>
      <c r="B216" s="64">
        <v>45881</v>
      </c>
      <c r="C216" s="61">
        <v>65</v>
      </c>
      <c r="D216" t="s" s="59">
        <v>276</v>
      </c>
      <c r="E216" t="s" s="59">
        <v>374</v>
      </c>
      <c r="F216" t="s" s="59">
        <v>48</v>
      </c>
      <c r="G216" t="s" s="59">
        <v>291</v>
      </c>
      <c r="H216" s="72">
        <v>0</v>
      </c>
      <c r="I216" t="s" s="73">
        <v>292</v>
      </c>
      <c r="J216" s="48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" customHeight="1">
      <c r="A217" t="s" s="68">
        <v>513</v>
      </c>
      <c r="B217" s="55">
        <v>45904</v>
      </c>
      <c r="C217" s="52">
        <v>65</v>
      </c>
      <c r="D217" t="s" s="50">
        <v>276</v>
      </c>
      <c r="E217" t="s" s="50">
        <v>376</v>
      </c>
      <c r="F217" t="s" s="50">
        <v>48</v>
      </c>
      <c r="G217" t="s" s="50">
        <v>318</v>
      </c>
      <c r="H217" s="69">
        <v>1</v>
      </c>
      <c r="I217" t="s" s="70">
        <v>319</v>
      </c>
      <c r="J217" s="48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" customHeight="1">
      <c r="A218" t="s" s="71">
        <v>514</v>
      </c>
      <c r="B218" s="64">
        <v>45937</v>
      </c>
      <c r="C218" s="61">
        <v>65</v>
      </c>
      <c r="D218" t="s" s="59">
        <v>276</v>
      </c>
      <c r="E218" t="s" s="59">
        <v>488</v>
      </c>
      <c r="F218" t="s" s="59">
        <v>49</v>
      </c>
      <c r="G218" t="s" s="59">
        <v>291</v>
      </c>
      <c r="H218" s="72">
        <v>0</v>
      </c>
      <c r="I218" t="s" s="73">
        <v>292</v>
      </c>
      <c r="J218" s="48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" customHeight="1">
      <c r="A219" t="s" s="68">
        <v>515</v>
      </c>
      <c r="B219" s="55">
        <v>45799</v>
      </c>
      <c r="C219" s="52">
        <v>66</v>
      </c>
      <c r="D219" t="s" s="50">
        <v>276</v>
      </c>
      <c r="E219" t="s" s="50">
        <v>290</v>
      </c>
      <c r="F219" t="s" s="50">
        <v>48</v>
      </c>
      <c r="G219" t="s" s="50">
        <v>291</v>
      </c>
      <c r="H219" s="69">
        <v>0</v>
      </c>
      <c r="I219" t="s" s="70">
        <v>292</v>
      </c>
      <c r="J219" s="48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" customHeight="1">
      <c r="A220" t="s" s="71">
        <v>516</v>
      </c>
      <c r="B220" s="64">
        <v>45820</v>
      </c>
      <c r="C220" s="61">
        <v>66</v>
      </c>
      <c r="D220" t="s" s="59">
        <v>276</v>
      </c>
      <c r="E220" t="s" s="59">
        <v>314</v>
      </c>
      <c r="F220" t="s" s="59">
        <v>48</v>
      </c>
      <c r="G220" t="s" s="59">
        <v>291</v>
      </c>
      <c r="H220" s="72">
        <v>0</v>
      </c>
      <c r="I220" t="s" s="73">
        <v>292</v>
      </c>
      <c r="J220" s="48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" customHeight="1">
      <c r="A221" t="s" s="68">
        <v>517</v>
      </c>
      <c r="B221" s="55">
        <v>45849</v>
      </c>
      <c r="C221" s="52">
        <v>66</v>
      </c>
      <c r="D221" t="s" s="50">
        <v>276</v>
      </c>
      <c r="E221" t="s" s="50">
        <v>316</v>
      </c>
      <c r="F221" t="s" s="50">
        <v>48</v>
      </c>
      <c r="G221" t="s" s="50">
        <v>291</v>
      </c>
      <c r="H221" s="69">
        <v>0</v>
      </c>
      <c r="I221" t="s" s="70">
        <v>292</v>
      </c>
      <c r="J221" s="48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" customHeight="1">
      <c r="A222" t="s" s="71">
        <v>518</v>
      </c>
      <c r="B222" s="64">
        <v>45883</v>
      </c>
      <c r="C222" s="61">
        <v>66</v>
      </c>
      <c r="D222" t="s" s="59">
        <v>276</v>
      </c>
      <c r="E222" t="s" s="59">
        <v>374</v>
      </c>
      <c r="F222" t="s" s="59">
        <v>48</v>
      </c>
      <c r="G222" t="s" s="59">
        <v>291</v>
      </c>
      <c r="H222" s="72">
        <v>0</v>
      </c>
      <c r="I222" t="s" s="73">
        <v>292</v>
      </c>
      <c r="J222" s="48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" customHeight="1">
      <c r="A223" t="s" s="68">
        <v>519</v>
      </c>
      <c r="B223" s="55">
        <v>45904</v>
      </c>
      <c r="C223" s="52">
        <v>66</v>
      </c>
      <c r="D223" t="s" s="50">
        <v>276</v>
      </c>
      <c r="E223" t="s" s="50">
        <v>376</v>
      </c>
      <c r="F223" t="s" s="50">
        <v>48</v>
      </c>
      <c r="G223" t="s" s="50">
        <v>291</v>
      </c>
      <c r="H223" s="69">
        <v>0</v>
      </c>
      <c r="I223" t="s" s="70">
        <v>292</v>
      </c>
      <c r="J223" s="48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" customHeight="1">
      <c r="A224" t="s" s="71">
        <v>520</v>
      </c>
      <c r="B224" s="64">
        <v>45933</v>
      </c>
      <c r="C224" s="61">
        <v>66</v>
      </c>
      <c r="D224" t="s" s="59">
        <v>276</v>
      </c>
      <c r="E224" t="s" s="59">
        <v>488</v>
      </c>
      <c r="F224" t="s" s="59">
        <v>49</v>
      </c>
      <c r="G224" t="s" s="59">
        <v>291</v>
      </c>
      <c r="H224" s="72">
        <v>0</v>
      </c>
      <c r="I224" t="s" s="73">
        <v>292</v>
      </c>
      <c r="J224" s="48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" customHeight="1">
      <c r="A225" t="s" s="68">
        <v>521</v>
      </c>
      <c r="B225" s="55">
        <v>45794</v>
      </c>
      <c r="C225" s="52">
        <v>67</v>
      </c>
      <c r="D225" t="s" s="50">
        <v>276</v>
      </c>
      <c r="E225" t="s" s="50">
        <v>290</v>
      </c>
      <c r="F225" t="s" s="50">
        <v>48</v>
      </c>
      <c r="G225" t="s" s="50">
        <v>291</v>
      </c>
      <c r="H225" s="69">
        <v>0</v>
      </c>
      <c r="I225" t="s" s="70">
        <v>292</v>
      </c>
      <c r="J225" s="48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" customHeight="1">
      <c r="A226" t="s" s="71">
        <v>522</v>
      </c>
      <c r="B226" s="64">
        <v>45823</v>
      </c>
      <c r="C226" s="61">
        <v>67</v>
      </c>
      <c r="D226" t="s" s="59">
        <v>276</v>
      </c>
      <c r="E226" t="s" s="59">
        <v>314</v>
      </c>
      <c r="F226" t="s" s="59">
        <v>48</v>
      </c>
      <c r="G226" t="s" s="59">
        <v>291</v>
      </c>
      <c r="H226" s="72">
        <v>0</v>
      </c>
      <c r="I226" t="s" s="73">
        <v>292</v>
      </c>
      <c r="J226" s="48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" customHeight="1">
      <c r="A227" t="s" s="68">
        <v>523</v>
      </c>
      <c r="B227" s="55">
        <v>45853</v>
      </c>
      <c r="C227" s="52">
        <v>67</v>
      </c>
      <c r="D227" t="s" s="50">
        <v>276</v>
      </c>
      <c r="E227" t="s" s="50">
        <v>316</v>
      </c>
      <c r="F227" t="s" s="50">
        <v>48</v>
      </c>
      <c r="G227" t="s" s="50">
        <v>291</v>
      </c>
      <c r="H227" s="69">
        <v>0</v>
      </c>
      <c r="I227" t="s" s="70">
        <v>292</v>
      </c>
      <c r="J227" s="48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" customHeight="1">
      <c r="A228" t="s" s="71">
        <v>524</v>
      </c>
      <c r="B228" s="64">
        <v>45883</v>
      </c>
      <c r="C228" s="61">
        <v>67</v>
      </c>
      <c r="D228" t="s" s="59">
        <v>276</v>
      </c>
      <c r="E228" t="s" s="59">
        <v>374</v>
      </c>
      <c r="F228" t="s" s="59">
        <v>48</v>
      </c>
      <c r="G228" t="s" s="59">
        <v>291</v>
      </c>
      <c r="H228" s="72">
        <v>0</v>
      </c>
      <c r="I228" t="s" s="73">
        <v>292</v>
      </c>
      <c r="J228" s="48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" customHeight="1">
      <c r="A229" t="s" s="68">
        <v>525</v>
      </c>
      <c r="B229" s="55">
        <v>45907</v>
      </c>
      <c r="C229" s="52">
        <v>67</v>
      </c>
      <c r="D229" t="s" s="50">
        <v>276</v>
      </c>
      <c r="E229" t="s" s="50">
        <v>376</v>
      </c>
      <c r="F229" t="s" s="50">
        <v>48</v>
      </c>
      <c r="G229" t="s" s="50">
        <v>291</v>
      </c>
      <c r="H229" s="69">
        <v>0</v>
      </c>
      <c r="I229" t="s" s="70">
        <v>292</v>
      </c>
      <c r="J229" s="48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" customHeight="1">
      <c r="A230" t="s" s="71">
        <v>526</v>
      </c>
      <c r="B230" s="64">
        <v>45938</v>
      </c>
      <c r="C230" s="61">
        <v>67</v>
      </c>
      <c r="D230" t="s" s="59">
        <v>276</v>
      </c>
      <c r="E230" t="s" s="59">
        <v>488</v>
      </c>
      <c r="F230" t="s" s="59">
        <v>49</v>
      </c>
      <c r="G230" t="s" s="59">
        <v>291</v>
      </c>
      <c r="H230" s="72">
        <v>0</v>
      </c>
      <c r="I230" t="s" s="73">
        <v>292</v>
      </c>
      <c r="J230" s="48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" customHeight="1">
      <c r="A231" t="s" s="68">
        <v>527</v>
      </c>
      <c r="B231" s="55">
        <v>45799</v>
      </c>
      <c r="C231" s="52">
        <v>68</v>
      </c>
      <c r="D231" t="s" s="50">
        <v>276</v>
      </c>
      <c r="E231" t="s" s="50">
        <v>290</v>
      </c>
      <c r="F231" t="s" s="50">
        <v>48</v>
      </c>
      <c r="G231" t="s" s="50">
        <v>291</v>
      </c>
      <c r="H231" s="69">
        <v>0</v>
      </c>
      <c r="I231" t="s" s="70">
        <v>292</v>
      </c>
      <c r="J231" s="48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" customHeight="1">
      <c r="A232" t="s" s="71">
        <v>528</v>
      </c>
      <c r="B232" s="64">
        <v>45825</v>
      </c>
      <c r="C232" s="61">
        <v>68</v>
      </c>
      <c r="D232" t="s" s="59">
        <v>276</v>
      </c>
      <c r="E232" t="s" s="59">
        <v>314</v>
      </c>
      <c r="F232" t="s" s="59">
        <v>48</v>
      </c>
      <c r="G232" t="s" s="59">
        <v>291</v>
      </c>
      <c r="H232" s="72">
        <v>0</v>
      </c>
      <c r="I232" t="s" s="73">
        <v>292</v>
      </c>
      <c r="J232" s="48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" customHeight="1">
      <c r="A233" t="s" s="68">
        <v>529</v>
      </c>
      <c r="B233" s="55">
        <v>45854</v>
      </c>
      <c r="C233" s="52">
        <v>68</v>
      </c>
      <c r="D233" t="s" s="50">
        <v>276</v>
      </c>
      <c r="E233" t="s" s="50">
        <v>316</v>
      </c>
      <c r="F233" t="s" s="50">
        <v>48</v>
      </c>
      <c r="G233" t="s" s="50">
        <v>291</v>
      </c>
      <c r="H233" s="69">
        <v>0</v>
      </c>
      <c r="I233" t="s" s="70">
        <v>292</v>
      </c>
      <c r="J233" s="48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" customHeight="1">
      <c r="A234" t="s" s="71">
        <v>530</v>
      </c>
      <c r="B234" s="64">
        <v>45886</v>
      </c>
      <c r="C234" s="61">
        <v>68</v>
      </c>
      <c r="D234" t="s" s="59">
        <v>276</v>
      </c>
      <c r="E234" t="s" s="59">
        <v>374</v>
      </c>
      <c r="F234" t="s" s="59">
        <v>48</v>
      </c>
      <c r="G234" t="s" s="59">
        <v>291</v>
      </c>
      <c r="H234" s="72">
        <v>0</v>
      </c>
      <c r="I234" t="s" s="73">
        <v>292</v>
      </c>
      <c r="J234" s="48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" customHeight="1">
      <c r="A235" t="s" s="68">
        <v>531</v>
      </c>
      <c r="B235" s="55">
        <v>45911</v>
      </c>
      <c r="C235" s="52">
        <v>68</v>
      </c>
      <c r="D235" t="s" s="50">
        <v>276</v>
      </c>
      <c r="E235" t="s" s="50">
        <v>376</v>
      </c>
      <c r="F235" t="s" s="50">
        <v>48</v>
      </c>
      <c r="G235" t="s" s="50">
        <v>291</v>
      </c>
      <c r="H235" s="69">
        <v>0</v>
      </c>
      <c r="I235" t="s" s="70">
        <v>292</v>
      </c>
      <c r="J235" s="48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" customHeight="1">
      <c r="A236" t="s" s="71">
        <v>532</v>
      </c>
      <c r="B236" s="64">
        <v>45939</v>
      </c>
      <c r="C236" s="61">
        <v>68</v>
      </c>
      <c r="D236" t="s" s="59">
        <v>276</v>
      </c>
      <c r="E236" t="s" s="59">
        <v>488</v>
      </c>
      <c r="F236" t="s" s="59">
        <v>49</v>
      </c>
      <c r="G236" t="s" s="59">
        <v>291</v>
      </c>
      <c r="H236" s="72">
        <v>0</v>
      </c>
      <c r="I236" t="s" s="73">
        <v>292</v>
      </c>
      <c r="J236" s="48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" customHeight="1">
      <c r="A237" t="s" s="68">
        <v>533</v>
      </c>
      <c r="B237" s="55">
        <v>45801</v>
      </c>
      <c r="C237" s="52">
        <v>69</v>
      </c>
      <c r="D237" t="s" s="50">
        <v>276</v>
      </c>
      <c r="E237" t="s" s="50">
        <v>290</v>
      </c>
      <c r="F237" t="s" s="50">
        <v>48</v>
      </c>
      <c r="G237" t="s" s="50">
        <v>291</v>
      </c>
      <c r="H237" s="69">
        <v>0</v>
      </c>
      <c r="I237" t="s" s="70">
        <v>292</v>
      </c>
      <c r="J237" s="48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" customHeight="1">
      <c r="A238" t="s" s="71">
        <v>534</v>
      </c>
      <c r="B238" s="64">
        <v>45832</v>
      </c>
      <c r="C238" s="61">
        <v>69</v>
      </c>
      <c r="D238" t="s" s="59">
        <v>276</v>
      </c>
      <c r="E238" t="s" s="59">
        <v>314</v>
      </c>
      <c r="F238" t="s" s="59">
        <v>48</v>
      </c>
      <c r="G238" t="s" s="59">
        <v>291</v>
      </c>
      <c r="H238" s="72">
        <v>0</v>
      </c>
      <c r="I238" t="s" s="73">
        <v>292</v>
      </c>
      <c r="J238" s="48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" customHeight="1">
      <c r="A239" t="s" s="68">
        <v>535</v>
      </c>
      <c r="B239" s="55">
        <v>45855</v>
      </c>
      <c r="C239" s="52">
        <v>69</v>
      </c>
      <c r="D239" t="s" s="50">
        <v>276</v>
      </c>
      <c r="E239" t="s" s="50">
        <v>316</v>
      </c>
      <c r="F239" t="s" s="50">
        <v>48</v>
      </c>
      <c r="G239" t="s" s="50">
        <v>291</v>
      </c>
      <c r="H239" s="69">
        <v>0</v>
      </c>
      <c r="I239" t="s" s="70">
        <v>292</v>
      </c>
      <c r="J239" s="48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" customHeight="1">
      <c r="A240" t="s" s="71">
        <v>536</v>
      </c>
      <c r="B240" s="64">
        <v>45882</v>
      </c>
      <c r="C240" s="61">
        <v>69</v>
      </c>
      <c r="D240" t="s" s="59">
        <v>276</v>
      </c>
      <c r="E240" t="s" s="59">
        <v>374</v>
      </c>
      <c r="F240" t="s" s="59">
        <v>48</v>
      </c>
      <c r="G240" t="s" s="59">
        <v>318</v>
      </c>
      <c r="H240" s="72">
        <v>2</v>
      </c>
      <c r="I240" t="s" s="73">
        <v>319</v>
      </c>
      <c r="J240" s="48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" customHeight="1">
      <c r="A241" t="s" s="68">
        <v>537</v>
      </c>
      <c r="B241" s="55">
        <v>45916</v>
      </c>
      <c r="C241" s="52">
        <v>69</v>
      </c>
      <c r="D241" t="s" s="50">
        <v>276</v>
      </c>
      <c r="E241" t="s" s="50">
        <v>376</v>
      </c>
      <c r="F241" t="s" s="50">
        <v>48</v>
      </c>
      <c r="G241" t="s" s="50">
        <v>291</v>
      </c>
      <c r="H241" s="69">
        <v>0</v>
      </c>
      <c r="I241" t="s" s="70">
        <v>292</v>
      </c>
      <c r="J241" s="48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" customHeight="1">
      <c r="A242" t="s" s="71">
        <v>538</v>
      </c>
      <c r="B242" s="64">
        <v>45938</v>
      </c>
      <c r="C242" s="61">
        <v>69</v>
      </c>
      <c r="D242" t="s" s="59">
        <v>276</v>
      </c>
      <c r="E242" t="s" s="59">
        <v>488</v>
      </c>
      <c r="F242" t="s" s="59">
        <v>49</v>
      </c>
      <c r="G242" t="s" s="59">
        <v>291</v>
      </c>
      <c r="H242" s="72">
        <v>0</v>
      </c>
      <c r="I242" t="s" s="73">
        <v>292</v>
      </c>
      <c r="J242" s="48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" customHeight="1">
      <c r="A243" t="s" s="68">
        <v>539</v>
      </c>
      <c r="B243" s="55">
        <v>45800</v>
      </c>
      <c r="C243" s="52">
        <v>70</v>
      </c>
      <c r="D243" t="s" s="50">
        <v>276</v>
      </c>
      <c r="E243" t="s" s="50">
        <v>290</v>
      </c>
      <c r="F243" t="s" s="50">
        <v>48</v>
      </c>
      <c r="G243" t="s" s="50">
        <v>291</v>
      </c>
      <c r="H243" s="69">
        <v>0</v>
      </c>
      <c r="I243" t="s" s="70">
        <v>292</v>
      </c>
      <c r="J243" s="48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" customHeight="1">
      <c r="A244" t="s" s="71">
        <v>540</v>
      </c>
      <c r="B244" s="64">
        <v>45831</v>
      </c>
      <c r="C244" s="61">
        <v>70</v>
      </c>
      <c r="D244" t="s" s="59">
        <v>276</v>
      </c>
      <c r="E244" t="s" s="59">
        <v>314</v>
      </c>
      <c r="F244" t="s" s="59">
        <v>48</v>
      </c>
      <c r="G244" t="s" s="59">
        <v>318</v>
      </c>
      <c r="H244" s="72">
        <v>1</v>
      </c>
      <c r="I244" t="s" s="73">
        <v>319</v>
      </c>
      <c r="J244" s="48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" customHeight="1">
      <c r="A245" t="s" s="68">
        <v>541</v>
      </c>
      <c r="B245" s="55">
        <v>45857</v>
      </c>
      <c r="C245" s="52">
        <v>70</v>
      </c>
      <c r="D245" t="s" s="50">
        <v>276</v>
      </c>
      <c r="E245" t="s" s="50">
        <v>316</v>
      </c>
      <c r="F245" t="s" s="50">
        <v>48</v>
      </c>
      <c r="G245" t="s" s="50">
        <v>291</v>
      </c>
      <c r="H245" s="69">
        <v>0</v>
      </c>
      <c r="I245" t="s" s="70">
        <v>292</v>
      </c>
      <c r="J245" s="48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" customHeight="1">
      <c r="A246" t="s" s="71">
        <v>542</v>
      </c>
      <c r="B246" s="64">
        <v>45886</v>
      </c>
      <c r="C246" s="61">
        <v>70</v>
      </c>
      <c r="D246" t="s" s="59">
        <v>276</v>
      </c>
      <c r="E246" t="s" s="59">
        <v>374</v>
      </c>
      <c r="F246" t="s" s="59">
        <v>48</v>
      </c>
      <c r="G246" t="s" s="59">
        <v>291</v>
      </c>
      <c r="H246" s="72">
        <v>0</v>
      </c>
      <c r="I246" t="s" s="73">
        <v>292</v>
      </c>
      <c r="J246" s="48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" customHeight="1">
      <c r="A247" t="s" s="68">
        <v>543</v>
      </c>
      <c r="B247" s="55">
        <v>45914</v>
      </c>
      <c r="C247" s="52">
        <v>70</v>
      </c>
      <c r="D247" t="s" s="50">
        <v>276</v>
      </c>
      <c r="E247" t="s" s="50">
        <v>376</v>
      </c>
      <c r="F247" t="s" s="50">
        <v>48</v>
      </c>
      <c r="G247" t="s" s="50">
        <v>291</v>
      </c>
      <c r="H247" s="69">
        <v>0</v>
      </c>
      <c r="I247" t="s" s="70">
        <v>292</v>
      </c>
      <c r="J247" s="48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" customHeight="1">
      <c r="A248" t="s" s="71">
        <v>544</v>
      </c>
      <c r="B248" s="64">
        <v>45945</v>
      </c>
      <c r="C248" s="61">
        <v>70</v>
      </c>
      <c r="D248" t="s" s="59">
        <v>276</v>
      </c>
      <c r="E248" t="s" s="59">
        <v>488</v>
      </c>
      <c r="F248" t="s" s="59">
        <v>49</v>
      </c>
      <c r="G248" t="s" s="59">
        <v>318</v>
      </c>
      <c r="H248" s="72">
        <v>2</v>
      </c>
      <c r="I248" t="s" s="73">
        <v>319</v>
      </c>
      <c r="J248" s="48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" customHeight="1">
      <c r="A249" t="s" s="68">
        <v>545</v>
      </c>
      <c r="B249" s="55">
        <v>45802</v>
      </c>
      <c r="C249" s="52">
        <v>71</v>
      </c>
      <c r="D249" t="s" s="50">
        <v>276</v>
      </c>
      <c r="E249" t="s" s="50">
        <v>290</v>
      </c>
      <c r="F249" t="s" s="50">
        <v>48</v>
      </c>
      <c r="G249" t="s" s="50">
        <v>291</v>
      </c>
      <c r="H249" s="69">
        <v>0</v>
      </c>
      <c r="I249" t="s" s="70">
        <v>292</v>
      </c>
      <c r="J249" s="48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" customHeight="1">
      <c r="A250" t="s" s="71">
        <v>546</v>
      </c>
      <c r="B250" s="64">
        <v>45832</v>
      </c>
      <c r="C250" s="61">
        <v>71</v>
      </c>
      <c r="D250" t="s" s="59">
        <v>276</v>
      </c>
      <c r="E250" t="s" s="59">
        <v>314</v>
      </c>
      <c r="F250" t="s" s="59">
        <v>48</v>
      </c>
      <c r="G250" t="s" s="59">
        <v>291</v>
      </c>
      <c r="H250" s="72">
        <v>0</v>
      </c>
      <c r="I250" t="s" s="73">
        <v>292</v>
      </c>
      <c r="J250" s="48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" customHeight="1">
      <c r="A251" t="s" s="68">
        <v>547</v>
      </c>
      <c r="B251" s="55">
        <v>45864</v>
      </c>
      <c r="C251" s="52">
        <v>71</v>
      </c>
      <c r="D251" t="s" s="50">
        <v>276</v>
      </c>
      <c r="E251" t="s" s="50">
        <v>316</v>
      </c>
      <c r="F251" t="s" s="50">
        <v>48</v>
      </c>
      <c r="G251" t="s" s="50">
        <v>291</v>
      </c>
      <c r="H251" s="69">
        <v>0</v>
      </c>
      <c r="I251" t="s" s="70">
        <v>292</v>
      </c>
      <c r="J251" s="48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" customHeight="1">
      <c r="A252" t="s" s="71">
        <v>548</v>
      </c>
      <c r="B252" s="64">
        <v>45890</v>
      </c>
      <c r="C252" s="61">
        <v>71</v>
      </c>
      <c r="D252" t="s" s="59">
        <v>276</v>
      </c>
      <c r="E252" t="s" s="59">
        <v>374</v>
      </c>
      <c r="F252" t="s" s="59">
        <v>48</v>
      </c>
      <c r="G252" t="s" s="59">
        <v>291</v>
      </c>
      <c r="H252" s="72">
        <v>0</v>
      </c>
      <c r="I252" t="s" s="73">
        <v>292</v>
      </c>
      <c r="J252" s="48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" customHeight="1">
      <c r="A253" t="s" s="68">
        <v>549</v>
      </c>
      <c r="B253" s="55">
        <v>45919</v>
      </c>
      <c r="C253" s="52">
        <v>71</v>
      </c>
      <c r="D253" t="s" s="50">
        <v>276</v>
      </c>
      <c r="E253" t="s" s="50">
        <v>376</v>
      </c>
      <c r="F253" t="s" s="50">
        <v>48</v>
      </c>
      <c r="G253" t="s" s="50">
        <v>291</v>
      </c>
      <c r="H253" s="69">
        <v>0</v>
      </c>
      <c r="I253" t="s" s="70">
        <v>292</v>
      </c>
      <c r="J253" s="48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" customHeight="1">
      <c r="A254" t="s" s="71">
        <v>550</v>
      </c>
      <c r="B254" s="64">
        <v>45945</v>
      </c>
      <c r="C254" s="61">
        <v>71</v>
      </c>
      <c r="D254" t="s" s="59">
        <v>276</v>
      </c>
      <c r="E254" t="s" s="59">
        <v>488</v>
      </c>
      <c r="F254" t="s" s="59">
        <v>49</v>
      </c>
      <c r="G254" t="s" s="59">
        <v>291</v>
      </c>
      <c r="H254" s="72">
        <v>0</v>
      </c>
      <c r="I254" t="s" s="73">
        <v>292</v>
      </c>
      <c r="J254" s="48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" customHeight="1">
      <c r="A255" t="s" s="68">
        <v>551</v>
      </c>
      <c r="B255" s="55">
        <v>45810</v>
      </c>
      <c r="C255" s="52">
        <v>72</v>
      </c>
      <c r="D255" t="s" s="50">
        <v>276</v>
      </c>
      <c r="E255" t="s" s="50">
        <v>290</v>
      </c>
      <c r="F255" t="s" s="50">
        <v>48</v>
      </c>
      <c r="G255" t="s" s="50">
        <v>291</v>
      </c>
      <c r="H255" s="69">
        <v>0</v>
      </c>
      <c r="I255" t="s" s="70">
        <v>292</v>
      </c>
      <c r="J255" s="48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" customHeight="1">
      <c r="A256" t="s" s="71">
        <v>552</v>
      </c>
      <c r="B256" s="64">
        <v>45832</v>
      </c>
      <c r="C256" s="61">
        <v>72</v>
      </c>
      <c r="D256" t="s" s="59">
        <v>276</v>
      </c>
      <c r="E256" t="s" s="59">
        <v>314</v>
      </c>
      <c r="F256" t="s" s="59">
        <v>48</v>
      </c>
      <c r="G256" t="s" s="59">
        <v>291</v>
      </c>
      <c r="H256" s="72">
        <v>0</v>
      </c>
      <c r="I256" t="s" s="73">
        <v>292</v>
      </c>
      <c r="J256" s="48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" customHeight="1">
      <c r="A257" t="s" s="68">
        <v>553</v>
      </c>
      <c r="B257" s="55">
        <v>45865</v>
      </c>
      <c r="C257" s="52">
        <v>72</v>
      </c>
      <c r="D257" t="s" s="50">
        <v>276</v>
      </c>
      <c r="E257" t="s" s="50">
        <v>316</v>
      </c>
      <c r="F257" t="s" s="50">
        <v>48</v>
      </c>
      <c r="G257" t="s" s="50">
        <v>291</v>
      </c>
      <c r="H257" s="69">
        <v>0</v>
      </c>
      <c r="I257" t="s" s="70">
        <v>292</v>
      </c>
      <c r="J257" s="48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" customHeight="1">
      <c r="A258" t="s" s="71">
        <v>554</v>
      </c>
      <c r="B258" s="64">
        <v>45893</v>
      </c>
      <c r="C258" s="61">
        <v>72</v>
      </c>
      <c r="D258" t="s" s="59">
        <v>276</v>
      </c>
      <c r="E258" t="s" s="59">
        <v>374</v>
      </c>
      <c r="F258" t="s" s="59">
        <v>48</v>
      </c>
      <c r="G258" t="s" s="59">
        <v>291</v>
      </c>
      <c r="H258" s="72">
        <v>0</v>
      </c>
      <c r="I258" t="s" s="73">
        <v>292</v>
      </c>
      <c r="J258" s="48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" customHeight="1">
      <c r="A259" t="s" s="68">
        <v>555</v>
      </c>
      <c r="B259" s="55">
        <v>45918</v>
      </c>
      <c r="C259" s="52">
        <v>72</v>
      </c>
      <c r="D259" t="s" s="50">
        <v>276</v>
      </c>
      <c r="E259" t="s" s="50">
        <v>376</v>
      </c>
      <c r="F259" t="s" s="50">
        <v>48</v>
      </c>
      <c r="G259" t="s" s="50">
        <v>291</v>
      </c>
      <c r="H259" s="69">
        <v>0</v>
      </c>
      <c r="I259" t="s" s="70">
        <v>292</v>
      </c>
      <c r="J259" s="48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" customHeight="1">
      <c r="A260" t="s" s="71">
        <v>556</v>
      </c>
      <c r="B260" s="64">
        <v>45948</v>
      </c>
      <c r="C260" s="61">
        <v>72</v>
      </c>
      <c r="D260" t="s" s="59">
        <v>276</v>
      </c>
      <c r="E260" t="s" s="59">
        <v>488</v>
      </c>
      <c r="F260" t="s" s="59">
        <v>49</v>
      </c>
      <c r="G260" t="s" s="59">
        <v>291</v>
      </c>
      <c r="H260" s="72">
        <v>0</v>
      </c>
      <c r="I260" t="s" s="73">
        <v>292</v>
      </c>
      <c r="J260" s="48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" customHeight="1">
      <c r="A261" t="s" s="68">
        <v>557</v>
      </c>
      <c r="B261" s="55">
        <v>45809</v>
      </c>
      <c r="C261" s="52">
        <v>73</v>
      </c>
      <c r="D261" t="s" s="50">
        <v>276</v>
      </c>
      <c r="E261" t="s" s="50">
        <v>290</v>
      </c>
      <c r="F261" t="s" s="50">
        <v>48</v>
      </c>
      <c r="G261" t="s" s="50">
        <v>291</v>
      </c>
      <c r="H261" s="69">
        <v>0</v>
      </c>
      <c r="I261" t="s" s="70">
        <v>292</v>
      </c>
      <c r="J261" s="48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" customHeight="1">
      <c r="A262" t="s" s="71">
        <v>558</v>
      </c>
      <c r="B262" s="64">
        <v>45834</v>
      </c>
      <c r="C262" s="61">
        <v>73</v>
      </c>
      <c r="D262" t="s" s="59">
        <v>276</v>
      </c>
      <c r="E262" t="s" s="59">
        <v>314</v>
      </c>
      <c r="F262" t="s" s="59">
        <v>48</v>
      </c>
      <c r="G262" t="s" s="59">
        <v>291</v>
      </c>
      <c r="H262" s="72">
        <v>0</v>
      </c>
      <c r="I262" t="s" s="73">
        <v>292</v>
      </c>
      <c r="J262" s="48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" customHeight="1">
      <c r="A263" t="s" s="68">
        <v>559</v>
      </c>
      <c r="B263" s="55">
        <v>45862</v>
      </c>
      <c r="C263" s="52">
        <v>73</v>
      </c>
      <c r="D263" t="s" s="50">
        <v>276</v>
      </c>
      <c r="E263" t="s" s="50">
        <v>316</v>
      </c>
      <c r="F263" t="s" s="50">
        <v>48</v>
      </c>
      <c r="G263" t="s" s="50">
        <v>318</v>
      </c>
      <c r="H263" s="69">
        <v>2</v>
      </c>
      <c r="I263" t="s" s="70">
        <v>319</v>
      </c>
      <c r="J263" s="48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" customHeight="1">
      <c r="A264" t="s" s="71">
        <v>560</v>
      </c>
      <c r="B264" s="64">
        <v>45891</v>
      </c>
      <c r="C264" s="61">
        <v>73</v>
      </c>
      <c r="D264" t="s" s="59">
        <v>276</v>
      </c>
      <c r="E264" t="s" s="59">
        <v>374</v>
      </c>
      <c r="F264" t="s" s="59">
        <v>48</v>
      </c>
      <c r="G264" t="s" s="59">
        <v>291</v>
      </c>
      <c r="H264" s="72">
        <v>0</v>
      </c>
      <c r="I264" t="s" s="73">
        <v>292</v>
      </c>
      <c r="J264" s="48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" customHeight="1">
      <c r="A265" t="s" s="68">
        <v>561</v>
      </c>
      <c r="B265" s="55">
        <v>45920</v>
      </c>
      <c r="C265" s="52">
        <v>73</v>
      </c>
      <c r="D265" t="s" s="50">
        <v>276</v>
      </c>
      <c r="E265" t="s" s="50">
        <v>376</v>
      </c>
      <c r="F265" t="s" s="50">
        <v>48</v>
      </c>
      <c r="G265" t="s" s="50">
        <v>291</v>
      </c>
      <c r="H265" s="69">
        <v>0</v>
      </c>
      <c r="I265" t="s" s="70">
        <v>292</v>
      </c>
      <c r="J265" s="48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" customHeight="1">
      <c r="A266" t="s" s="71">
        <v>562</v>
      </c>
      <c r="B266" s="64">
        <v>45951</v>
      </c>
      <c r="C266" s="61">
        <v>73</v>
      </c>
      <c r="D266" t="s" s="59">
        <v>276</v>
      </c>
      <c r="E266" t="s" s="59">
        <v>488</v>
      </c>
      <c r="F266" t="s" s="59">
        <v>49</v>
      </c>
      <c r="G266" t="s" s="59">
        <v>291</v>
      </c>
      <c r="H266" s="72">
        <v>0</v>
      </c>
      <c r="I266" t="s" s="73">
        <v>292</v>
      </c>
      <c r="J266" s="48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" customHeight="1">
      <c r="A267" t="s" s="68">
        <v>563</v>
      </c>
      <c r="B267" s="55">
        <v>45814</v>
      </c>
      <c r="C267" s="52">
        <v>74</v>
      </c>
      <c r="D267" t="s" s="50">
        <v>276</v>
      </c>
      <c r="E267" t="s" s="50">
        <v>290</v>
      </c>
      <c r="F267" t="s" s="50">
        <v>48</v>
      </c>
      <c r="G267" t="s" s="50">
        <v>291</v>
      </c>
      <c r="H267" s="69">
        <v>0</v>
      </c>
      <c r="I267" t="s" s="70">
        <v>292</v>
      </c>
      <c r="J267" s="48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" customHeight="1">
      <c r="A268" t="s" s="71">
        <v>564</v>
      </c>
      <c r="B268" s="64">
        <v>45838</v>
      </c>
      <c r="C268" s="61">
        <v>74</v>
      </c>
      <c r="D268" t="s" s="59">
        <v>276</v>
      </c>
      <c r="E268" t="s" s="59">
        <v>314</v>
      </c>
      <c r="F268" t="s" s="59">
        <v>48</v>
      </c>
      <c r="G268" t="s" s="59">
        <v>291</v>
      </c>
      <c r="H268" s="72">
        <v>0</v>
      </c>
      <c r="I268" t="s" s="73">
        <v>292</v>
      </c>
      <c r="J268" s="48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" customHeight="1">
      <c r="A269" t="s" s="68">
        <v>565</v>
      </c>
      <c r="B269" s="55">
        <v>45864</v>
      </c>
      <c r="C269" s="52">
        <v>74</v>
      </c>
      <c r="D269" t="s" s="50">
        <v>276</v>
      </c>
      <c r="E269" t="s" s="50">
        <v>316</v>
      </c>
      <c r="F269" t="s" s="50">
        <v>48</v>
      </c>
      <c r="G269" t="s" s="50">
        <v>291</v>
      </c>
      <c r="H269" s="69">
        <v>0</v>
      </c>
      <c r="I269" t="s" s="70">
        <v>292</v>
      </c>
      <c r="J269" s="48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" customHeight="1">
      <c r="A270" t="s" s="71">
        <v>566</v>
      </c>
      <c r="B270" s="64">
        <v>45897</v>
      </c>
      <c r="C270" s="61">
        <v>74</v>
      </c>
      <c r="D270" t="s" s="59">
        <v>276</v>
      </c>
      <c r="E270" t="s" s="59">
        <v>374</v>
      </c>
      <c r="F270" t="s" s="59">
        <v>48</v>
      </c>
      <c r="G270" t="s" s="59">
        <v>291</v>
      </c>
      <c r="H270" s="72">
        <v>0</v>
      </c>
      <c r="I270" t="s" s="73">
        <v>292</v>
      </c>
      <c r="J270" s="48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" customHeight="1">
      <c r="A271" t="s" s="68">
        <v>567</v>
      </c>
      <c r="B271" s="55">
        <v>45923</v>
      </c>
      <c r="C271" s="52">
        <v>74</v>
      </c>
      <c r="D271" t="s" s="50">
        <v>276</v>
      </c>
      <c r="E271" t="s" s="50">
        <v>376</v>
      </c>
      <c r="F271" t="s" s="50">
        <v>48</v>
      </c>
      <c r="G271" t="s" s="50">
        <v>291</v>
      </c>
      <c r="H271" s="69">
        <v>0</v>
      </c>
      <c r="I271" t="s" s="70">
        <v>292</v>
      </c>
      <c r="J271" s="48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" customHeight="1">
      <c r="A272" t="s" s="71">
        <v>568</v>
      </c>
      <c r="B272" s="64">
        <v>45951</v>
      </c>
      <c r="C272" s="61">
        <v>74</v>
      </c>
      <c r="D272" t="s" s="59">
        <v>276</v>
      </c>
      <c r="E272" t="s" s="59">
        <v>488</v>
      </c>
      <c r="F272" t="s" s="59">
        <v>49</v>
      </c>
      <c r="G272" t="s" s="59">
        <v>291</v>
      </c>
      <c r="H272" s="72">
        <v>0</v>
      </c>
      <c r="I272" t="s" s="73">
        <v>292</v>
      </c>
      <c r="J272" s="48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" customHeight="1">
      <c r="A273" t="s" s="68">
        <v>569</v>
      </c>
      <c r="B273" s="55">
        <v>45814</v>
      </c>
      <c r="C273" s="52">
        <v>75</v>
      </c>
      <c r="D273" t="s" s="50">
        <v>276</v>
      </c>
      <c r="E273" t="s" s="50">
        <v>290</v>
      </c>
      <c r="F273" t="s" s="50">
        <v>48</v>
      </c>
      <c r="G273" t="s" s="50">
        <v>291</v>
      </c>
      <c r="H273" s="69">
        <v>0</v>
      </c>
      <c r="I273" t="s" s="70">
        <v>292</v>
      </c>
      <c r="J273" s="48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" customHeight="1">
      <c r="A274" t="s" s="71">
        <v>570</v>
      </c>
      <c r="B274" s="64">
        <v>45844</v>
      </c>
      <c r="C274" s="61">
        <v>75</v>
      </c>
      <c r="D274" t="s" s="59">
        <v>276</v>
      </c>
      <c r="E274" t="s" s="59">
        <v>314</v>
      </c>
      <c r="F274" t="s" s="59">
        <v>48</v>
      </c>
      <c r="G274" t="s" s="59">
        <v>291</v>
      </c>
      <c r="H274" s="72">
        <v>0</v>
      </c>
      <c r="I274" t="s" s="73">
        <v>292</v>
      </c>
      <c r="J274" s="48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" customHeight="1">
      <c r="A275" t="s" s="68">
        <v>571</v>
      </c>
      <c r="B275" s="55">
        <v>45866</v>
      </c>
      <c r="C275" s="52">
        <v>75</v>
      </c>
      <c r="D275" t="s" s="50">
        <v>276</v>
      </c>
      <c r="E275" t="s" s="50">
        <v>316</v>
      </c>
      <c r="F275" t="s" s="50">
        <v>48</v>
      </c>
      <c r="G275" t="s" s="50">
        <v>291</v>
      </c>
      <c r="H275" s="69">
        <v>0</v>
      </c>
      <c r="I275" t="s" s="70">
        <v>292</v>
      </c>
      <c r="J275" s="48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" customHeight="1">
      <c r="A276" t="s" s="71">
        <v>572</v>
      </c>
      <c r="B276" s="64">
        <v>45898</v>
      </c>
      <c r="C276" s="61">
        <v>75</v>
      </c>
      <c r="D276" t="s" s="59">
        <v>276</v>
      </c>
      <c r="E276" t="s" s="59">
        <v>374</v>
      </c>
      <c r="F276" t="s" s="59">
        <v>48</v>
      </c>
      <c r="G276" t="s" s="59">
        <v>291</v>
      </c>
      <c r="H276" s="72">
        <v>0</v>
      </c>
      <c r="I276" t="s" s="73">
        <v>292</v>
      </c>
      <c r="J276" s="48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" customHeight="1">
      <c r="A277" t="s" s="68">
        <v>573</v>
      </c>
      <c r="B277" s="55">
        <v>45922</v>
      </c>
      <c r="C277" s="52">
        <v>75</v>
      </c>
      <c r="D277" t="s" s="50">
        <v>276</v>
      </c>
      <c r="E277" t="s" s="50">
        <v>376</v>
      </c>
      <c r="F277" t="s" s="50">
        <v>48</v>
      </c>
      <c r="G277" t="s" s="50">
        <v>291</v>
      </c>
      <c r="H277" s="69">
        <v>0</v>
      </c>
      <c r="I277" t="s" s="70">
        <v>292</v>
      </c>
      <c r="J277" s="48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" customHeight="1">
      <c r="A278" t="s" s="71">
        <v>574</v>
      </c>
      <c r="B278" s="64">
        <v>45954</v>
      </c>
      <c r="C278" s="61">
        <v>75</v>
      </c>
      <c r="D278" t="s" s="59">
        <v>276</v>
      </c>
      <c r="E278" t="s" s="59">
        <v>488</v>
      </c>
      <c r="F278" t="s" s="59">
        <v>49</v>
      </c>
      <c r="G278" t="s" s="59">
        <v>291</v>
      </c>
      <c r="H278" s="72">
        <v>0</v>
      </c>
      <c r="I278" t="s" s="73">
        <v>292</v>
      </c>
      <c r="J278" s="48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" customHeight="1">
      <c r="A279" t="s" s="68">
        <v>575</v>
      </c>
      <c r="B279" s="55">
        <v>45814</v>
      </c>
      <c r="C279" s="52">
        <v>76</v>
      </c>
      <c r="D279" t="s" s="50">
        <v>276</v>
      </c>
      <c r="E279" t="s" s="50">
        <v>290</v>
      </c>
      <c r="F279" t="s" s="50">
        <v>48</v>
      </c>
      <c r="G279" t="s" s="50">
        <v>291</v>
      </c>
      <c r="H279" s="69">
        <v>0</v>
      </c>
      <c r="I279" t="s" s="70">
        <v>292</v>
      </c>
      <c r="J279" s="48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" customHeight="1">
      <c r="A280" t="s" s="71">
        <v>576</v>
      </c>
      <c r="B280" s="64">
        <v>45844</v>
      </c>
      <c r="C280" s="61">
        <v>76</v>
      </c>
      <c r="D280" t="s" s="59">
        <v>276</v>
      </c>
      <c r="E280" t="s" s="59">
        <v>314</v>
      </c>
      <c r="F280" t="s" s="59">
        <v>48</v>
      </c>
      <c r="G280" t="s" s="59">
        <v>291</v>
      </c>
      <c r="H280" s="72">
        <v>0</v>
      </c>
      <c r="I280" t="s" s="73">
        <v>292</v>
      </c>
      <c r="J280" s="48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" customHeight="1">
      <c r="A281" t="s" s="68">
        <v>577</v>
      </c>
      <c r="B281" s="55">
        <v>45872</v>
      </c>
      <c r="C281" s="52">
        <v>76</v>
      </c>
      <c r="D281" t="s" s="50">
        <v>276</v>
      </c>
      <c r="E281" t="s" s="50">
        <v>316</v>
      </c>
      <c r="F281" t="s" s="50">
        <v>48</v>
      </c>
      <c r="G281" t="s" s="50">
        <v>291</v>
      </c>
      <c r="H281" s="69">
        <v>0</v>
      </c>
      <c r="I281" t="s" s="70">
        <v>292</v>
      </c>
      <c r="J281" s="48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" customHeight="1">
      <c r="A282" t="s" s="71">
        <v>578</v>
      </c>
      <c r="B282" s="64">
        <v>45903</v>
      </c>
      <c r="C282" s="61">
        <v>76</v>
      </c>
      <c r="D282" t="s" s="59">
        <v>276</v>
      </c>
      <c r="E282" t="s" s="59">
        <v>374</v>
      </c>
      <c r="F282" t="s" s="59">
        <v>48</v>
      </c>
      <c r="G282" t="s" s="59">
        <v>291</v>
      </c>
      <c r="H282" s="72">
        <v>0</v>
      </c>
      <c r="I282" t="s" s="73">
        <v>292</v>
      </c>
      <c r="J282" s="48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" customHeight="1">
      <c r="A283" t="s" s="68">
        <v>579</v>
      </c>
      <c r="B283" s="55">
        <v>45927</v>
      </c>
      <c r="C283" s="52">
        <v>76</v>
      </c>
      <c r="D283" t="s" s="50">
        <v>276</v>
      </c>
      <c r="E283" t="s" s="50">
        <v>376</v>
      </c>
      <c r="F283" t="s" s="50">
        <v>48</v>
      </c>
      <c r="G283" t="s" s="50">
        <v>291</v>
      </c>
      <c r="H283" s="69">
        <v>0</v>
      </c>
      <c r="I283" t="s" s="70">
        <v>292</v>
      </c>
      <c r="J283" s="48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" customHeight="1">
      <c r="A284" t="s" s="71">
        <v>580</v>
      </c>
      <c r="B284" s="64">
        <v>45958</v>
      </c>
      <c r="C284" s="61">
        <v>76</v>
      </c>
      <c r="D284" t="s" s="59">
        <v>276</v>
      </c>
      <c r="E284" t="s" s="59">
        <v>488</v>
      </c>
      <c r="F284" t="s" s="59">
        <v>49</v>
      </c>
      <c r="G284" t="s" s="59">
        <v>291</v>
      </c>
      <c r="H284" s="72">
        <v>0</v>
      </c>
      <c r="I284" t="s" s="73">
        <v>292</v>
      </c>
      <c r="J284" s="48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" customHeight="1">
      <c r="A285" t="s" s="68">
        <v>581</v>
      </c>
      <c r="B285" s="55">
        <v>45821</v>
      </c>
      <c r="C285" s="52">
        <v>77</v>
      </c>
      <c r="D285" t="s" s="50">
        <v>276</v>
      </c>
      <c r="E285" t="s" s="50">
        <v>290</v>
      </c>
      <c r="F285" t="s" s="50">
        <v>48</v>
      </c>
      <c r="G285" t="s" s="50">
        <v>291</v>
      </c>
      <c r="H285" s="69">
        <v>0</v>
      </c>
      <c r="I285" t="s" s="70">
        <v>292</v>
      </c>
      <c r="J285" s="48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" customHeight="1">
      <c r="A286" t="s" s="71">
        <v>582</v>
      </c>
      <c r="B286" s="64">
        <v>45846</v>
      </c>
      <c r="C286" s="61">
        <v>77</v>
      </c>
      <c r="D286" t="s" s="59">
        <v>276</v>
      </c>
      <c r="E286" t="s" s="59">
        <v>314</v>
      </c>
      <c r="F286" t="s" s="59">
        <v>48</v>
      </c>
      <c r="G286" t="s" s="59">
        <v>318</v>
      </c>
      <c r="H286" s="72">
        <v>2</v>
      </c>
      <c r="I286" t="s" s="73">
        <v>319</v>
      </c>
      <c r="J286" s="48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" customHeight="1">
      <c r="A287" t="s" s="68">
        <v>583</v>
      </c>
      <c r="B287" s="55">
        <v>45873</v>
      </c>
      <c r="C287" s="52">
        <v>77</v>
      </c>
      <c r="D287" t="s" s="50">
        <v>276</v>
      </c>
      <c r="E287" t="s" s="50">
        <v>316</v>
      </c>
      <c r="F287" t="s" s="50">
        <v>48</v>
      </c>
      <c r="G287" t="s" s="50">
        <v>318</v>
      </c>
      <c r="H287" s="69">
        <v>1</v>
      </c>
      <c r="I287" t="s" s="70">
        <v>319</v>
      </c>
      <c r="J287" s="48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" customHeight="1">
      <c r="A288" t="s" s="71">
        <v>584</v>
      </c>
      <c r="B288" s="64">
        <v>45898</v>
      </c>
      <c r="C288" s="61">
        <v>77</v>
      </c>
      <c r="D288" t="s" s="59">
        <v>276</v>
      </c>
      <c r="E288" t="s" s="59">
        <v>374</v>
      </c>
      <c r="F288" t="s" s="59">
        <v>48</v>
      </c>
      <c r="G288" t="s" s="59">
        <v>291</v>
      </c>
      <c r="H288" s="72">
        <v>0</v>
      </c>
      <c r="I288" t="s" s="73">
        <v>292</v>
      </c>
      <c r="J288" s="48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" customHeight="1">
      <c r="A289" t="s" s="68">
        <v>585</v>
      </c>
      <c r="B289" s="55">
        <v>45926</v>
      </c>
      <c r="C289" s="52">
        <v>77</v>
      </c>
      <c r="D289" t="s" s="50">
        <v>276</v>
      </c>
      <c r="E289" t="s" s="50">
        <v>376</v>
      </c>
      <c r="F289" t="s" s="50">
        <v>48</v>
      </c>
      <c r="G289" t="s" s="50">
        <v>291</v>
      </c>
      <c r="H289" s="69">
        <v>0</v>
      </c>
      <c r="I289" t="s" s="70">
        <v>292</v>
      </c>
      <c r="J289" s="48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" customHeight="1">
      <c r="A290" t="s" s="71">
        <v>586</v>
      </c>
      <c r="B290" s="64">
        <v>45959</v>
      </c>
      <c r="C290" s="61">
        <v>77</v>
      </c>
      <c r="D290" t="s" s="59">
        <v>276</v>
      </c>
      <c r="E290" t="s" s="59">
        <v>488</v>
      </c>
      <c r="F290" t="s" s="59">
        <v>49</v>
      </c>
      <c r="G290" t="s" s="59">
        <v>291</v>
      </c>
      <c r="H290" s="72">
        <v>0</v>
      </c>
      <c r="I290" t="s" s="73">
        <v>292</v>
      </c>
      <c r="J290" s="48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" customHeight="1">
      <c r="A291" t="s" s="68">
        <v>587</v>
      </c>
      <c r="B291" s="55">
        <v>45986</v>
      </c>
      <c r="C291" s="52">
        <v>77</v>
      </c>
      <c r="D291" t="s" s="50">
        <v>276</v>
      </c>
      <c r="E291" t="s" s="50">
        <v>588</v>
      </c>
      <c r="F291" t="s" s="50">
        <v>51</v>
      </c>
      <c r="G291" t="s" s="50">
        <v>291</v>
      </c>
      <c r="H291" s="69">
        <v>0</v>
      </c>
      <c r="I291" t="s" s="70">
        <v>292</v>
      </c>
      <c r="J291" s="48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" customHeight="1">
      <c r="A292" t="s" s="71">
        <v>589</v>
      </c>
      <c r="B292" s="64">
        <v>46010</v>
      </c>
      <c r="C292" s="61">
        <v>77</v>
      </c>
      <c r="D292" t="s" s="59">
        <v>276</v>
      </c>
      <c r="E292" t="s" s="59">
        <v>590</v>
      </c>
      <c r="F292" t="s" s="59">
        <v>50</v>
      </c>
      <c r="G292" t="s" s="59">
        <v>291</v>
      </c>
      <c r="H292" s="72">
        <v>0</v>
      </c>
      <c r="I292" t="s" s="73">
        <v>292</v>
      </c>
      <c r="J292" s="48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" customHeight="1">
      <c r="A293" t="s" s="68">
        <v>591</v>
      </c>
      <c r="B293" s="55">
        <v>46038</v>
      </c>
      <c r="C293" s="52">
        <v>77</v>
      </c>
      <c r="D293" t="s" s="50">
        <v>276</v>
      </c>
      <c r="E293" t="s" s="50">
        <v>592</v>
      </c>
      <c r="F293" t="s" s="50">
        <v>50</v>
      </c>
      <c r="G293" t="s" s="50">
        <v>291</v>
      </c>
      <c r="H293" s="69">
        <v>0</v>
      </c>
      <c r="I293" t="s" s="70">
        <v>292</v>
      </c>
      <c r="J293" s="48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" customHeight="1">
      <c r="A294" t="s" s="71">
        <v>593</v>
      </c>
      <c r="B294" s="64">
        <v>45821</v>
      </c>
      <c r="C294" s="61">
        <v>78</v>
      </c>
      <c r="D294" t="s" s="59">
        <v>276</v>
      </c>
      <c r="E294" t="s" s="59">
        <v>290</v>
      </c>
      <c r="F294" t="s" s="59">
        <v>48</v>
      </c>
      <c r="G294" t="s" s="59">
        <v>291</v>
      </c>
      <c r="H294" s="72">
        <v>0</v>
      </c>
      <c r="I294" t="s" s="73">
        <v>292</v>
      </c>
      <c r="J294" s="48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" customHeight="1">
      <c r="A295" t="s" s="68">
        <v>594</v>
      </c>
      <c r="B295" s="55">
        <v>45851</v>
      </c>
      <c r="C295" s="52">
        <v>78</v>
      </c>
      <c r="D295" t="s" s="50">
        <v>276</v>
      </c>
      <c r="E295" t="s" s="50">
        <v>314</v>
      </c>
      <c r="F295" t="s" s="50">
        <v>48</v>
      </c>
      <c r="G295" t="s" s="50">
        <v>291</v>
      </c>
      <c r="H295" s="69">
        <v>0</v>
      </c>
      <c r="I295" t="s" s="70">
        <v>292</v>
      </c>
      <c r="J295" s="48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" customHeight="1">
      <c r="A296" t="s" s="71">
        <v>595</v>
      </c>
      <c r="B296" s="64">
        <v>45878</v>
      </c>
      <c r="C296" s="61">
        <v>78</v>
      </c>
      <c r="D296" t="s" s="59">
        <v>276</v>
      </c>
      <c r="E296" t="s" s="59">
        <v>316</v>
      </c>
      <c r="F296" t="s" s="59">
        <v>48</v>
      </c>
      <c r="G296" t="s" s="59">
        <v>291</v>
      </c>
      <c r="H296" s="72">
        <v>0</v>
      </c>
      <c r="I296" t="s" s="73">
        <v>292</v>
      </c>
      <c r="J296" s="48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" customHeight="1">
      <c r="A297" t="s" s="68">
        <v>596</v>
      </c>
      <c r="B297" s="55">
        <v>45901</v>
      </c>
      <c r="C297" s="52">
        <v>78</v>
      </c>
      <c r="D297" t="s" s="50">
        <v>276</v>
      </c>
      <c r="E297" t="s" s="50">
        <v>374</v>
      </c>
      <c r="F297" t="s" s="50">
        <v>48</v>
      </c>
      <c r="G297" t="s" s="50">
        <v>291</v>
      </c>
      <c r="H297" s="69">
        <v>0</v>
      </c>
      <c r="I297" t="s" s="70">
        <v>292</v>
      </c>
      <c r="J297" s="48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" customHeight="1">
      <c r="A298" t="s" s="71">
        <v>597</v>
      </c>
      <c r="B298" s="64">
        <v>45928</v>
      </c>
      <c r="C298" s="61">
        <v>78</v>
      </c>
      <c r="D298" t="s" s="59">
        <v>276</v>
      </c>
      <c r="E298" t="s" s="59">
        <v>376</v>
      </c>
      <c r="F298" t="s" s="59">
        <v>48</v>
      </c>
      <c r="G298" t="s" s="59">
        <v>318</v>
      </c>
      <c r="H298" s="72">
        <v>2</v>
      </c>
      <c r="I298" t="s" s="73">
        <v>319</v>
      </c>
      <c r="J298" s="48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" customHeight="1">
      <c r="A299" t="s" s="68">
        <v>598</v>
      </c>
      <c r="B299" s="55">
        <v>45956</v>
      </c>
      <c r="C299" s="52">
        <v>78</v>
      </c>
      <c r="D299" t="s" s="50">
        <v>276</v>
      </c>
      <c r="E299" t="s" s="50">
        <v>488</v>
      </c>
      <c r="F299" t="s" s="50">
        <v>49</v>
      </c>
      <c r="G299" t="s" s="50">
        <v>318</v>
      </c>
      <c r="H299" s="69">
        <v>2</v>
      </c>
      <c r="I299" t="s" s="70">
        <v>319</v>
      </c>
      <c r="J299" s="48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" customHeight="1">
      <c r="A300" t="s" s="71">
        <v>599</v>
      </c>
      <c r="B300" s="64">
        <v>45989</v>
      </c>
      <c r="C300" s="61">
        <v>78</v>
      </c>
      <c r="D300" t="s" s="59">
        <v>276</v>
      </c>
      <c r="E300" t="s" s="59">
        <v>588</v>
      </c>
      <c r="F300" t="s" s="59">
        <v>51</v>
      </c>
      <c r="G300" t="s" s="59">
        <v>291</v>
      </c>
      <c r="H300" s="72">
        <v>0</v>
      </c>
      <c r="I300" t="s" s="73">
        <v>292</v>
      </c>
      <c r="J300" s="48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" customHeight="1">
      <c r="A301" t="s" s="68">
        <v>600</v>
      </c>
      <c r="B301" s="55">
        <v>46018</v>
      </c>
      <c r="C301" s="52">
        <v>78</v>
      </c>
      <c r="D301" t="s" s="50">
        <v>276</v>
      </c>
      <c r="E301" t="s" s="50">
        <v>590</v>
      </c>
      <c r="F301" t="s" s="50">
        <v>50</v>
      </c>
      <c r="G301" t="s" s="50">
        <v>291</v>
      </c>
      <c r="H301" s="69">
        <v>0</v>
      </c>
      <c r="I301" t="s" s="70">
        <v>292</v>
      </c>
      <c r="J301" s="48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" customHeight="1">
      <c r="A302" t="s" s="71">
        <v>601</v>
      </c>
      <c r="B302" s="64">
        <v>46041</v>
      </c>
      <c r="C302" s="61">
        <v>78</v>
      </c>
      <c r="D302" t="s" s="59">
        <v>276</v>
      </c>
      <c r="E302" t="s" s="59">
        <v>592</v>
      </c>
      <c r="F302" t="s" s="59">
        <v>50</v>
      </c>
      <c r="G302" t="s" s="59">
        <v>291</v>
      </c>
      <c r="H302" s="72">
        <v>0</v>
      </c>
      <c r="I302" t="s" s="73">
        <v>292</v>
      </c>
      <c r="J302" s="48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" customHeight="1">
      <c r="A303" t="s" s="68">
        <v>602</v>
      </c>
      <c r="B303" s="55">
        <v>45824</v>
      </c>
      <c r="C303" s="52">
        <v>79</v>
      </c>
      <c r="D303" t="s" s="50">
        <v>276</v>
      </c>
      <c r="E303" t="s" s="50">
        <v>290</v>
      </c>
      <c r="F303" t="s" s="50">
        <v>48</v>
      </c>
      <c r="G303" t="s" s="50">
        <v>291</v>
      </c>
      <c r="H303" s="69">
        <v>0</v>
      </c>
      <c r="I303" t="s" s="70">
        <v>292</v>
      </c>
      <c r="J303" s="48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" customHeight="1">
      <c r="A304" t="s" s="71">
        <v>603</v>
      </c>
      <c r="B304" s="64">
        <v>45852</v>
      </c>
      <c r="C304" s="61">
        <v>79</v>
      </c>
      <c r="D304" t="s" s="59">
        <v>276</v>
      </c>
      <c r="E304" t="s" s="59">
        <v>314</v>
      </c>
      <c r="F304" t="s" s="59">
        <v>48</v>
      </c>
      <c r="G304" t="s" s="59">
        <v>318</v>
      </c>
      <c r="H304" s="72">
        <v>1</v>
      </c>
      <c r="I304" t="s" s="73">
        <v>319</v>
      </c>
      <c r="J304" s="48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" customHeight="1">
      <c r="A305" t="s" s="68">
        <v>604</v>
      </c>
      <c r="B305" s="55">
        <v>45878</v>
      </c>
      <c r="C305" s="52">
        <v>79</v>
      </c>
      <c r="D305" t="s" s="50">
        <v>276</v>
      </c>
      <c r="E305" t="s" s="50">
        <v>316</v>
      </c>
      <c r="F305" t="s" s="50">
        <v>48</v>
      </c>
      <c r="G305" t="s" s="50">
        <v>291</v>
      </c>
      <c r="H305" s="69">
        <v>0</v>
      </c>
      <c r="I305" t="s" s="70">
        <v>292</v>
      </c>
      <c r="J305" s="48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" customHeight="1">
      <c r="A306" t="s" s="71">
        <v>605</v>
      </c>
      <c r="B306" s="64">
        <v>45906</v>
      </c>
      <c r="C306" s="61">
        <v>79</v>
      </c>
      <c r="D306" t="s" s="59">
        <v>276</v>
      </c>
      <c r="E306" t="s" s="59">
        <v>374</v>
      </c>
      <c r="F306" t="s" s="59">
        <v>48</v>
      </c>
      <c r="G306" t="s" s="59">
        <v>291</v>
      </c>
      <c r="H306" s="72">
        <v>0</v>
      </c>
      <c r="I306" t="s" s="73">
        <v>292</v>
      </c>
      <c r="J306" s="48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" customHeight="1">
      <c r="A307" t="s" s="68">
        <v>606</v>
      </c>
      <c r="B307" s="55">
        <v>45932</v>
      </c>
      <c r="C307" s="52">
        <v>79</v>
      </c>
      <c r="D307" t="s" s="50">
        <v>276</v>
      </c>
      <c r="E307" t="s" s="50">
        <v>376</v>
      </c>
      <c r="F307" t="s" s="50">
        <v>48</v>
      </c>
      <c r="G307" t="s" s="50">
        <v>291</v>
      </c>
      <c r="H307" s="69">
        <v>0</v>
      </c>
      <c r="I307" t="s" s="70">
        <v>292</v>
      </c>
      <c r="J307" s="48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" customHeight="1">
      <c r="A308" t="s" s="71">
        <v>607</v>
      </c>
      <c r="B308" s="64">
        <v>45959</v>
      </c>
      <c r="C308" s="61">
        <v>79</v>
      </c>
      <c r="D308" t="s" s="59">
        <v>276</v>
      </c>
      <c r="E308" t="s" s="59">
        <v>488</v>
      </c>
      <c r="F308" t="s" s="59">
        <v>49</v>
      </c>
      <c r="G308" t="s" s="59">
        <v>318</v>
      </c>
      <c r="H308" s="72">
        <v>1</v>
      </c>
      <c r="I308" t="s" s="73">
        <v>319</v>
      </c>
      <c r="J308" s="48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" customHeight="1">
      <c r="A309" t="s" s="68">
        <v>608</v>
      </c>
      <c r="B309" s="55">
        <v>45990</v>
      </c>
      <c r="C309" s="52">
        <v>79</v>
      </c>
      <c r="D309" t="s" s="50">
        <v>276</v>
      </c>
      <c r="E309" t="s" s="50">
        <v>588</v>
      </c>
      <c r="F309" t="s" s="50">
        <v>51</v>
      </c>
      <c r="G309" t="s" s="50">
        <v>291</v>
      </c>
      <c r="H309" s="69">
        <v>0</v>
      </c>
      <c r="I309" t="s" s="70">
        <v>292</v>
      </c>
      <c r="J309" s="48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" customHeight="1">
      <c r="A310" t="s" s="71">
        <v>609</v>
      </c>
      <c r="B310" s="64">
        <v>46020</v>
      </c>
      <c r="C310" s="61">
        <v>79</v>
      </c>
      <c r="D310" t="s" s="59">
        <v>276</v>
      </c>
      <c r="E310" t="s" s="59">
        <v>590</v>
      </c>
      <c r="F310" t="s" s="59">
        <v>50</v>
      </c>
      <c r="G310" t="s" s="59">
        <v>291</v>
      </c>
      <c r="H310" s="72">
        <v>0</v>
      </c>
      <c r="I310" t="s" s="73">
        <v>292</v>
      </c>
      <c r="J310" s="48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" customHeight="1">
      <c r="A311" t="s" s="68">
        <v>610</v>
      </c>
      <c r="B311" s="55">
        <v>46044</v>
      </c>
      <c r="C311" s="52">
        <v>79</v>
      </c>
      <c r="D311" t="s" s="50">
        <v>276</v>
      </c>
      <c r="E311" t="s" s="50">
        <v>592</v>
      </c>
      <c r="F311" t="s" s="50">
        <v>50</v>
      </c>
      <c r="G311" t="s" s="50">
        <v>291</v>
      </c>
      <c r="H311" s="69">
        <v>0</v>
      </c>
      <c r="I311" t="s" s="70">
        <v>292</v>
      </c>
      <c r="J311" s="48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" customHeight="1">
      <c r="A312" t="s" s="71">
        <v>611</v>
      </c>
      <c r="B312" s="64">
        <v>45822</v>
      </c>
      <c r="C312" s="61">
        <v>80</v>
      </c>
      <c r="D312" t="s" s="59">
        <v>276</v>
      </c>
      <c r="E312" t="s" s="59">
        <v>290</v>
      </c>
      <c r="F312" t="s" s="59">
        <v>48</v>
      </c>
      <c r="G312" t="s" s="59">
        <v>318</v>
      </c>
      <c r="H312" s="72">
        <v>1</v>
      </c>
      <c r="I312" t="s" s="73">
        <v>319</v>
      </c>
      <c r="J312" s="48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" customHeight="1">
      <c r="A313" t="s" s="68">
        <v>612</v>
      </c>
      <c r="B313" s="55">
        <v>45849</v>
      </c>
      <c r="C313" s="52">
        <v>80</v>
      </c>
      <c r="D313" t="s" s="50">
        <v>276</v>
      </c>
      <c r="E313" t="s" s="50">
        <v>314</v>
      </c>
      <c r="F313" t="s" s="50">
        <v>48</v>
      </c>
      <c r="G313" t="s" s="50">
        <v>291</v>
      </c>
      <c r="H313" s="69">
        <v>0</v>
      </c>
      <c r="I313" t="s" s="70">
        <v>292</v>
      </c>
      <c r="J313" s="48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" customHeight="1">
      <c r="A314" t="s" s="71">
        <v>613</v>
      </c>
      <c r="B314" s="64">
        <v>45883</v>
      </c>
      <c r="C314" s="61">
        <v>80</v>
      </c>
      <c r="D314" t="s" s="59">
        <v>276</v>
      </c>
      <c r="E314" t="s" s="59">
        <v>316</v>
      </c>
      <c r="F314" t="s" s="59">
        <v>48</v>
      </c>
      <c r="G314" t="s" s="59">
        <v>291</v>
      </c>
      <c r="H314" s="72">
        <v>0</v>
      </c>
      <c r="I314" t="s" s="73">
        <v>292</v>
      </c>
      <c r="J314" s="48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" customHeight="1">
      <c r="A315" t="s" s="68">
        <v>614</v>
      </c>
      <c r="B315" s="55">
        <v>45908</v>
      </c>
      <c r="C315" s="52">
        <v>80</v>
      </c>
      <c r="D315" t="s" s="50">
        <v>276</v>
      </c>
      <c r="E315" t="s" s="50">
        <v>374</v>
      </c>
      <c r="F315" t="s" s="50">
        <v>48</v>
      </c>
      <c r="G315" t="s" s="50">
        <v>291</v>
      </c>
      <c r="H315" s="69">
        <v>0</v>
      </c>
      <c r="I315" t="s" s="70">
        <v>292</v>
      </c>
      <c r="J315" s="48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" customHeight="1">
      <c r="A316" t="s" s="71">
        <v>615</v>
      </c>
      <c r="B316" s="64">
        <v>45939</v>
      </c>
      <c r="C316" s="61">
        <v>80</v>
      </c>
      <c r="D316" t="s" s="59">
        <v>276</v>
      </c>
      <c r="E316" t="s" s="59">
        <v>376</v>
      </c>
      <c r="F316" t="s" s="59">
        <v>48</v>
      </c>
      <c r="G316" t="s" s="59">
        <v>291</v>
      </c>
      <c r="H316" s="72">
        <v>0</v>
      </c>
      <c r="I316" t="s" s="73">
        <v>292</v>
      </c>
      <c r="J316" s="48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" customHeight="1">
      <c r="A317" t="s" s="68">
        <v>616</v>
      </c>
      <c r="B317" s="55">
        <v>45966</v>
      </c>
      <c r="C317" s="52">
        <v>80</v>
      </c>
      <c r="D317" t="s" s="50">
        <v>276</v>
      </c>
      <c r="E317" t="s" s="50">
        <v>488</v>
      </c>
      <c r="F317" t="s" s="50">
        <v>49</v>
      </c>
      <c r="G317" t="s" s="50">
        <v>291</v>
      </c>
      <c r="H317" s="69">
        <v>0</v>
      </c>
      <c r="I317" t="s" s="70">
        <v>292</v>
      </c>
      <c r="J317" s="48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" customHeight="1">
      <c r="A318" t="s" s="71">
        <v>617</v>
      </c>
      <c r="B318" s="64">
        <v>45989</v>
      </c>
      <c r="C318" s="61">
        <v>80</v>
      </c>
      <c r="D318" t="s" s="59">
        <v>276</v>
      </c>
      <c r="E318" t="s" s="59">
        <v>588</v>
      </c>
      <c r="F318" t="s" s="59">
        <v>51</v>
      </c>
      <c r="G318" t="s" s="59">
        <v>291</v>
      </c>
      <c r="H318" s="72">
        <v>0</v>
      </c>
      <c r="I318" t="s" s="73">
        <v>292</v>
      </c>
      <c r="J318" s="48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" customHeight="1">
      <c r="A319" t="s" s="68">
        <v>618</v>
      </c>
      <c r="B319" s="55">
        <v>46022</v>
      </c>
      <c r="C319" s="52">
        <v>80</v>
      </c>
      <c r="D319" t="s" s="50">
        <v>276</v>
      </c>
      <c r="E319" t="s" s="50">
        <v>590</v>
      </c>
      <c r="F319" t="s" s="50">
        <v>50</v>
      </c>
      <c r="G319" t="s" s="50">
        <v>291</v>
      </c>
      <c r="H319" s="69">
        <v>0</v>
      </c>
      <c r="I319" t="s" s="70">
        <v>292</v>
      </c>
      <c r="J319" s="48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" customHeight="1">
      <c r="A320" t="s" s="71">
        <v>619</v>
      </c>
      <c r="B320" s="64">
        <v>46045</v>
      </c>
      <c r="C320" s="61">
        <v>80</v>
      </c>
      <c r="D320" t="s" s="59">
        <v>276</v>
      </c>
      <c r="E320" t="s" s="59">
        <v>592</v>
      </c>
      <c r="F320" t="s" s="59">
        <v>50</v>
      </c>
      <c r="G320" t="s" s="59">
        <v>291</v>
      </c>
      <c r="H320" s="72">
        <v>0</v>
      </c>
      <c r="I320" t="s" s="73">
        <v>292</v>
      </c>
      <c r="J320" s="48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" customHeight="1">
      <c r="A321" t="s" s="68">
        <v>620</v>
      </c>
      <c r="B321" s="55">
        <v>45828</v>
      </c>
      <c r="C321" s="52">
        <v>81</v>
      </c>
      <c r="D321" t="s" s="50">
        <v>276</v>
      </c>
      <c r="E321" t="s" s="50">
        <v>290</v>
      </c>
      <c r="F321" t="s" s="50">
        <v>48</v>
      </c>
      <c r="G321" t="s" s="50">
        <v>291</v>
      </c>
      <c r="H321" s="69">
        <v>0</v>
      </c>
      <c r="I321" t="s" s="70">
        <v>292</v>
      </c>
      <c r="J321" s="48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" customHeight="1">
      <c r="A322" t="s" s="71">
        <v>621</v>
      </c>
      <c r="B322" s="64">
        <v>45851</v>
      </c>
      <c r="C322" s="61">
        <v>81</v>
      </c>
      <c r="D322" t="s" s="59">
        <v>276</v>
      </c>
      <c r="E322" t="s" s="59">
        <v>314</v>
      </c>
      <c r="F322" t="s" s="59">
        <v>48</v>
      </c>
      <c r="G322" t="s" s="59">
        <v>291</v>
      </c>
      <c r="H322" s="72">
        <v>0</v>
      </c>
      <c r="I322" t="s" s="73">
        <v>292</v>
      </c>
      <c r="J322" s="48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" customHeight="1">
      <c r="A323" t="s" s="68">
        <v>622</v>
      </c>
      <c r="B323" s="55">
        <v>45885</v>
      </c>
      <c r="C323" s="52">
        <v>81</v>
      </c>
      <c r="D323" t="s" s="50">
        <v>276</v>
      </c>
      <c r="E323" t="s" s="50">
        <v>316</v>
      </c>
      <c r="F323" t="s" s="50">
        <v>48</v>
      </c>
      <c r="G323" t="s" s="50">
        <v>291</v>
      </c>
      <c r="H323" s="69">
        <v>0</v>
      </c>
      <c r="I323" t="s" s="70">
        <v>292</v>
      </c>
      <c r="J323" s="48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" customHeight="1">
      <c r="A324" t="s" s="71">
        <v>623</v>
      </c>
      <c r="B324" s="64">
        <v>45911</v>
      </c>
      <c r="C324" s="61">
        <v>81</v>
      </c>
      <c r="D324" t="s" s="59">
        <v>276</v>
      </c>
      <c r="E324" t="s" s="59">
        <v>374</v>
      </c>
      <c r="F324" t="s" s="59">
        <v>48</v>
      </c>
      <c r="G324" t="s" s="59">
        <v>291</v>
      </c>
      <c r="H324" s="72">
        <v>0</v>
      </c>
      <c r="I324" t="s" s="73">
        <v>292</v>
      </c>
      <c r="J324" s="48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" customHeight="1">
      <c r="A325" t="s" s="68">
        <v>624</v>
      </c>
      <c r="B325" s="55">
        <v>45940</v>
      </c>
      <c r="C325" s="52">
        <v>81</v>
      </c>
      <c r="D325" t="s" s="50">
        <v>276</v>
      </c>
      <c r="E325" t="s" s="50">
        <v>376</v>
      </c>
      <c r="F325" t="s" s="50">
        <v>48</v>
      </c>
      <c r="G325" t="s" s="50">
        <v>318</v>
      </c>
      <c r="H325" s="69">
        <v>2</v>
      </c>
      <c r="I325" t="s" s="70">
        <v>319</v>
      </c>
      <c r="J325" s="48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" customHeight="1">
      <c r="A326" t="s" s="71">
        <v>625</v>
      </c>
      <c r="B326" s="64">
        <v>45967</v>
      </c>
      <c r="C326" s="61">
        <v>81</v>
      </c>
      <c r="D326" t="s" s="59">
        <v>276</v>
      </c>
      <c r="E326" t="s" s="59">
        <v>488</v>
      </c>
      <c r="F326" t="s" s="59">
        <v>49</v>
      </c>
      <c r="G326" t="s" s="59">
        <v>291</v>
      </c>
      <c r="H326" s="72">
        <v>0</v>
      </c>
      <c r="I326" t="s" s="73">
        <v>292</v>
      </c>
      <c r="J326" s="48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" customHeight="1">
      <c r="A327" t="s" s="68">
        <v>626</v>
      </c>
      <c r="B327" s="55">
        <v>45991</v>
      </c>
      <c r="C327" s="52">
        <v>81</v>
      </c>
      <c r="D327" t="s" s="50">
        <v>276</v>
      </c>
      <c r="E327" t="s" s="50">
        <v>588</v>
      </c>
      <c r="F327" t="s" s="50">
        <v>51</v>
      </c>
      <c r="G327" t="s" s="50">
        <v>291</v>
      </c>
      <c r="H327" s="69">
        <v>0</v>
      </c>
      <c r="I327" t="s" s="70">
        <v>292</v>
      </c>
      <c r="J327" s="48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" customHeight="1">
      <c r="A328" t="s" s="71">
        <v>627</v>
      </c>
      <c r="B328" s="64">
        <v>46021</v>
      </c>
      <c r="C328" s="61">
        <v>81</v>
      </c>
      <c r="D328" t="s" s="59">
        <v>276</v>
      </c>
      <c r="E328" t="s" s="59">
        <v>590</v>
      </c>
      <c r="F328" t="s" s="59">
        <v>50</v>
      </c>
      <c r="G328" t="s" s="59">
        <v>318</v>
      </c>
      <c r="H328" s="72">
        <v>2</v>
      </c>
      <c r="I328" t="s" s="73">
        <v>319</v>
      </c>
      <c r="J328" s="48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" customHeight="1">
      <c r="A329" t="s" s="68">
        <v>628</v>
      </c>
      <c r="B329" s="55">
        <v>46046</v>
      </c>
      <c r="C329" s="52">
        <v>81</v>
      </c>
      <c r="D329" t="s" s="50">
        <v>276</v>
      </c>
      <c r="E329" t="s" s="50">
        <v>592</v>
      </c>
      <c r="F329" t="s" s="50">
        <v>50</v>
      </c>
      <c r="G329" t="s" s="50">
        <v>291</v>
      </c>
      <c r="H329" s="69">
        <v>0</v>
      </c>
      <c r="I329" t="s" s="70">
        <v>292</v>
      </c>
      <c r="J329" s="48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" customHeight="1">
      <c r="A330" t="s" s="71">
        <v>629</v>
      </c>
      <c r="B330" s="64">
        <v>45830</v>
      </c>
      <c r="C330" s="61">
        <v>82</v>
      </c>
      <c r="D330" t="s" s="59">
        <v>276</v>
      </c>
      <c r="E330" t="s" s="59">
        <v>290</v>
      </c>
      <c r="F330" t="s" s="59">
        <v>48</v>
      </c>
      <c r="G330" t="s" s="59">
        <v>318</v>
      </c>
      <c r="H330" s="72">
        <v>1</v>
      </c>
      <c r="I330" t="s" s="73">
        <v>319</v>
      </c>
      <c r="J330" s="48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" customHeight="1">
      <c r="A331" t="s" s="68">
        <v>630</v>
      </c>
      <c r="B331" s="55">
        <v>45853</v>
      </c>
      <c r="C331" s="52">
        <v>82</v>
      </c>
      <c r="D331" t="s" s="50">
        <v>276</v>
      </c>
      <c r="E331" t="s" s="50">
        <v>314</v>
      </c>
      <c r="F331" t="s" s="50">
        <v>48</v>
      </c>
      <c r="G331" t="s" s="50">
        <v>291</v>
      </c>
      <c r="H331" s="69">
        <v>0</v>
      </c>
      <c r="I331" t="s" s="70">
        <v>292</v>
      </c>
      <c r="J331" s="48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" customHeight="1">
      <c r="A332" t="s" s="71">
        <v>631</v>
      </c>
      <c r="B332" s="64">
        <v>45881</v>
      </c>
      <c r="C332" s="61">
        <v>82</v>
      </c>
      <c r="D332" t="s" s="59">
        <v>276</v>
      </c>
      <c r="E332" t="s" s="59">
        <v>316</v>
      </c>
      <c r="F332" t="s" s="59">
        <v>48</v>
      </c>
      <c r="G332" t="s" s="59">
        <v>291</v>
      </c>
      <c r="H332" s="72">
        <v>0</v>
      </c>
      <c r="I332" t="s" s="73">
        <v>292</v>
      </c>
      <c r="J332" s="48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" customHeight="1">
      <c r="A333" t="s" s="68">
        <v>632</v>
      </c>
      <c r="B333" s="55">
        <v>45911</v>
      </c>
      <c r="C333" s="52">
        <v>82</v>
      </c>
      <c r="D333" t="s" s="50">
        <v>276</v>
      </c>
      <c r="E333" t="s" s="50">
        <v>374</v>
      </c>
      <c r="F333" t="s" s="50">
        <v>48</v>
      </c>
      <c r="G333" t="s" s="50">
        <v>291</v>
      </c>
      <c r="H333" s="69">
        <v>0</v>
      </c>
      <c r="I333" t="s" s="70">
        <v>292</v>
      </c>
      <c r="J333" s="48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" customHeight="1">
      <c r="A334" t="s" s="71">
        <v>633</v>
      </c>
      <c r="B334" s="64">
        <v>45937</v>
      </c>
      <c r="C334" s="61">
        <v>82</v>
      </c>
      <c r="D334" t="s" s="59">
        <v>276</v>
      </c>
      <c r="E334" t="s" s="59">
        <v>376</v>
      </c>
      <c r="F334" t="s" s="59">
        <v>48</v>
      </c>
      <c r="G334" t="s" s="59">
        <v>291</v>
      </c>
      <c r="H334" s="72">
        <v>0</v>
      </c>
      <c r="I334" t="s" s="73">
        <v>292</v>
      </c>
      <c r="J334" s="48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" customHeight="1">
      <c r="A335" t="s" s="68">
        <v>634</v>
      </c>
      <c r="B335" s="55">
        <v>45968</v>
      </c>
      <c r="C335" s="52">
        <v>82</v>
      </c>
      <c r="D335" t="s" s="50">
        <v>276</v>
      </c>
      <c r="E335" t="s" s="50">
        <v>488</v>
      </c>
      <c r="F335" t="s" s="50">
        <v>49</v>
      </c>
      <c r="G335" t="s" s="50">
        <v>291</v>
      </c>
      <c r="H335" s="69">
        <v>0</v>
      </c>
      <c r="I335" t="s" s="70">
        <v>292</v>
      </c>
      <c r="J335" s="48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" customHeight="1">
      <c r="A336" t="s" s="71">
        <v>635</v>
      </c>
      <c r="B336" s="64">
        <v>45995</v>
      </c>
      <c r="C336" s="61">
        <v>82</v>
      </c>
      <c r="D336" t="s" s="59">
        <v>276</v>
      </c>
      <c r="E336" t="s" s="59">
        <v>588</v>
      </c>
      <c r="F336" t="s" s="59">
        <v>51</v>
      </c>
      <c r="G336" t="s" s="59">
        <v>291</v>
      </c>
      <c r="H336" s="72">
        <v>0</v>
      </c>
      <c r="I336" t="s" s="73">
        <v>292</v>
      </c>
      <c r="J336" s="48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" customHeight="1">
      <c r="A337" t="s" s="68">
        <v>636</v>
      </c>
      <c r="B337" s="55">
        <v>46023</v>
      </c>
      <c r="C337" s="52">
        <v>82</v>
      </c>
      <c r="D337" t="s" s="50">
        <v>276</v>
      </c>
      <c r="E337" t="s" s="50">
        <v>590</v>
      </c>
      <c r="F337" t="s" s="50">
        <v>50</v>
      </c>
      <c r="G337" t="s" s="50">
        <v>291</v>
      </c>
      <c r="H337" s="69">
        <v>0</v>
      </c>
      <c r="I337" t="s" s="70">
        <v>292</v>
      </c>
      <c r="J337" s="48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" customHeight="1">
      <c r="A338" t="s" s="71">
        <v>637</v>
      </c>
      <c r="B338" s="64">
        <v>46049</v>
      </c>
      <c r="C338" s="61">
        <v>82</v>
      </c>
      <c r="D338" t="s" s="59">
        <v>276</v>
      </c>
      <c r="E338" t="s" s="59">
        <v>592</v>
      </c>
      <c r="F338" t="s" s="59">
        <v>50</v>
      </c>
      <c r="G338" t="s" s="59">
        <v>291</v>
      </c>
      <c r="H338" s="72">
        <v>0</v>
      </c>
      <c r="I338" t="s" s="73">
        <v>292</v>
      </c>
      <c r="J338" s="48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" customHeight="1">
      <c r="A339" t="s" s="68">
        <v>638</v>
      </c>
      <c r="B339" s="55">
        <v>45828</v>
      </c>
      <c r="C339" s="52">
        <v>83</v>
      </c>
      <c r="D339" t="s" s="50">
        <v>276</v>
      </c>
      <c r="E339" t="s" s="50">
        <v>290</v>
      </c>
      <c r="F339" t="s" s="50">
        <v>48</v>
      </c>
      <c r="G339" t="s" s="50">
        <v>318</v>
      </c>
      <c r="H339" s="69">
        <v>2</v>
      </c>
      <c r="I339" t="s" s="70">
        <v>319</v>
      </c>
      <c r="J339" s="48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" customHeight="1">
      <c r="A340" t="s" s="71">
        <v>639</v>
      </c>
      <c r="B340" s="64">
        <v>45860</v>
      </c>
      <c r="C340" s="61">
        <v>83</v>
      </c>
      <c r="D340" t="s" s="59">
        <v>276</v>
      </c>
      <c r="E340" t="s" s="59">
        <v>314</v>
      </c>
      <c r="F340" t="s" s="59">
        <v>48</v>
      </c>
      <c r="G340" t="s" s="59">
        <v>291</v>
      </c>
      <c r="H340" s="72">
        <v>0</v>
      </c>
      <c r="I340" t="s" s="73">
        <v>292</v>
      </c>
      <c r="J340" s="48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" customHeight="1">
      <c r="A341" t="s" s="68">
        <v>640</v>
      </c>
      <c r="B341" s="55">
        <v>45882</v>
      </c>
      <c r="C341" s="52">
        <v>83</v>
      </c>
      <c r="D341" t="s" s="50">
        <v>276</v>
      </c>
      <c r="E341" t="s" s="50">
        <v>316</v>
      </c>
      <c r="F341" t="s" s="50">
        <v>48</v>
      </c>
      <c r="G341" t="s" s="50">
        <v>291</v>
      </c>
      <c r="H341" s="69">
        <v>0</v>
      </c>
      <c r="I341" t="s" s="70">
        <v>292</v>
      </c>
      <c r="J341" s="48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" customHeight="1">
      <c r="A342" t="s" s="71">
        <v>641</v>
      </c>
      <c r="B342" s="64">
        <v>45914</v>
      </c>
      <c r="C342" s="61">
        <v>83</v>
      </c>
      <c r="D342" t="s" s="59">
        <v>276</v>
      </c>
      <c r="E342" t="s" s="59">
        <v>374</v>
      </c>
      <c r="F342" t="s" s="59">
        <v>48</v>
      </c>
      <c r="G342" t="s" s="59">
        <v>291</v>
      </c>
      <c r="H342" s="72">
        <v>0</v>
      </c>
      <c r="I342" t="s" s="73">
        <v>292</v>
      </c>
      <c r="J342" s="48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" customHeight="1">
      <c r="A343" t="s" s="68">
        <v>642</v>
      </c>
      <c r="B343" s="55">
        <v>45938</v>
      </c>
      <c r="C343" s="52">
        <v>83</v>
      </c>
      <c r="D343" t="s" s="50">
        <v>276</v>
      </c>
      <c r="E343" t="s" s="50">
        <v>376</v>
      </c>
      <c r="F343" t="s" s="50">
        <v>48</v>
      </c>
      <c r="G343" t="s" s="50">
        <v>318</v>
      </c>
      <c r="H343" s="69">
        <v>1</v>
      </c>
      <c r="I343" t="s" s="70">
        <v>319</v>
      </c>
      <c r="J343" s="48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" customHeight="1">
      <c r="A344" t="s" s="71">
        <v>643</v>
      </c>
      <c r="B344" s="64">
        <v>45972</v>
      </c>
      <c r="C344" s="61">
        <v>83</v>
      </c>
      <c r="D344" t="s" s="59">
        <v>276</v>
      </c>
      <c r="E344" t="s" s="59">
        <v>488</v>
      </c>
      <c r="F344" t="s" s="59">
        <v>49</v>
      </c>
      <c r="G344" t="s" s="59">
        <v>318</v>
      </c>
      <c r="H344" s="72">
        <v>2</v>
      </c>
      <c r="I344" t="s" s="73">
        <v>319</v>
      </c>
      <c r="J344" s="48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" customHeight="1">
      <c r="A345" t="s" s="68">
        <v>644</v>
      </c>
      <c r="B345" s="55">
        <v>45995</v>
      </c>
      <c r="C345" s="52">
        <v>83</v>
      </c>
      <c r="D345" t="s" s="50">
        <v>276</v>
      </c>
      <c r="E345" t="s" s="50">
        <v>588</v>
      </c>
      <c r="F345" t="s" s="50">
        <v>51</v>
      </c>
      <c r="G345" t="s" s="50">
        <v>291</v>
      </c>
      <c r="H345" s="69">
        <v>0</v>
      </c>
      <c r="I345" t="s" s="70">
        <v>292</v>
      </c>
      <c r="J345" s="48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" customHeight="1">
      <c r="A346" t="s" s="71">
        <v>645</v>
      </c>
      <c r="B346" s="64">
        <v>46026</v>
      </c>
      <c r="C346" s="61">
        <v>83</v>
      </c>
      <c r="D346" t="s" s="59">
        <v>276</v>
      </c>
      <c r="E346" t="s" s="59">
        <v>590</v>
      </c>
      <c r="F346" t="s" s="59">
        <v>50</v>
      </c>
      <c r="G346" t="s" s="59">
        <v>291</v>
      </c>
      <c r="H346" s="72">
        <v>0</v>
      </c>
      <c r="I346" t="s" s="73">
        <v>292</v>
      </c>
      <c r="J346" s="48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" customHeight="1">
      <c r="A347" t="s" s="68">
        <v>646</v>
      </c>
      <c r="B347" s="55">
        <v>46053</v>
      </c>
      <c r="C347" s="52">
        <v>83</v>
      </c>
      <c r="D347" t="s" s="50">
        <v>276</v>
      </c>
      <c r="E347" t="s" s="50">
        <v>592</v>
      </c>
      <c r="F347" t="s" s="50">
        <v>50</v>
      </c>
      <c r="G347" t="s" s="50">
        <v>318</v>
      </c>
      <c r="H347" s="69">
        <v>1</v>
      </c>
      <c r="I347" t="s" s="70">
        <v>319</v>
      </c>
      <c r="J347" s="48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" customHeight="1">
      <c r="A348" t="s" s="71">
        <v>647</v>
      </c>
      <c r="B348" s="64">
        <v>45832</v>
      </c>
      <c r="C348" s="61">
        <v>84</v>
      </c>
      <c r="D348" t="s" s="59">
        <v>276</v>
      </c>
      <c r="E348" t="s" s="59">
        <v>290</v>
      </c>
      <c r="F348" t="s" s="59">
        <v>48</v>
      </c>
      <c r="G348" t="s" s="59">
        <v>291</v>
      </c>
      <c r="H348" s="72">
        <v>0</v>
      </c>
      <c r="I348" t="s" s="73">
        <v>292</v>
      </c>
      <c r="J348" s="48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" customHeight="1">
      <c r="A349" t="s" s="68">
        <v>648</v>
      </c>
      <c r="B349" s="55">
        <v>45859</v>
      </c>
      <c r="C349" s="52">
        <v>84</v>
      </c>
      <c r="D349" t="s" s="50">
        <v>276</v>
      </c>
      <c r="E349" t="s" s="50">
        <v>314</v>
      </c>
      <c r="F349" t="s" s="50">
        <v>48</v>
      </c>
      <c r="G349" t="s" s="50">
        <v>291</v>
      </c>
      <c r="H349" s="69">
        <v>0</v>
      </c>
      <c r="I349" t="s" s="70">
        <v>292</v>
      </c>
      <c r="J349" s="48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" customHeight="1">
      <c r="A350" t="s" s="71">
        <v>649</v>
      </c>
      <c r="B350" s="64">
        <v>45890</v>
      </c>
      <c r="C350" s="61">
        <v>84</v>
      </c>
      <c r="D350" t="s" s="59">
        <v>276</v>
      </c>
      <c r="E350" t="s" s="59">
        <v>316</v>
      </c>
      <c r="F350" t="s" s="59">
        <v>48</v>
      </c>
      <c r="G350" t="s" s="59">
        <v>291</v>
      </c>
      <c r="H350" s="72">
        <v>0</v>
      </c>
      <c r="I350" t="s" s="73">
        <v>292</v>
      </c>
      <c r="J350" s="48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" customHeight="1">
      <c r="A351" t="s" s="68">
        <v>650</v>
      </c>
      <c r="B351" s="55">
        <v>45919</v>
      </c>
      <c r="C351" s="52">
        <v>84</v>
      </c>
      <c r="D351" t="s" s="50">
        <v>276</v>
      </c>
      <c r="E351" t="s" s="50">
        <v>374</v>
      </c>
      <c r="F351" t="s" s="50">
        <v>48</v>
      </c>
      <c r="G351" t="s" s="50">
        <v>291</v>
      </c>
      <c r="H351" s="69">
        <v>0</v>
      </c>
      <c r="I351" t="s" s="70">
        <v>292</v>
      </c>
      <c r="J351" s="48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" customHeight="1">
      <c r="A352" t="s" s="71">
        <v>651</v>
      </c>
      <c r="B352" s="64">
        <v>45941</v>
      </c>
      <c r="C352" s="61">
        <v>84</v>
      </c>
      <c r="D352" t="s" s="59">
        <v>276</v>
      </c>
      <c r="E352" t="s" s="59">
        <v>376</v>
      </c>
      <c r="F352" t="s" s="59">
        <v>48</v>
      </c>
      <c r="G352" t="s" s="59">
        <v>291</v>
      </c>
      <c r="H352" s="72">
        <v>0</v>
      </c>
      <c r="I352" t="s" s="73">
        <v>292</v>
      </c>
      <c r="J352" s="48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" customHeight="1">
      <c r="A353" t="s" s="68">
        <v>652</v>
      </c>
      <c r="B353" s="55">
        <v>45971</v>
      </c>
      <c r="C353" s="52">
        <v>84</v>
      </c>
      <c r="D353" t="s" s="50">
        <v>276</v>
      </c>
      <c r="E353" t="s" s="50">
        <v>488</v>
      </c>
      <c r="F353" t="s" s="50">
        <v>49</v>
      </c>
      <c r="G353" t="s" s="50">
        <v>291</v>
      </c>
      <c r="H353" s="69">
        <v>0</v>
      </c>
      <c r="I353" t="s" s="70">
        <v>292</v>
      </c>
      <c r="J353" s="48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" customHeight="1">
      <c r="A354" t="s" s="71">
        <v>653</v>
      </c>
      <c r="B354" s="64">
        <v>46000</v>
      </c>
      <c r="C354" s="61">
        <v>84</v>
      </c>
      <c r="D354" t="s" s="59">
        <v>276</v>
      </c>
      <c r="E354" t="s" s="59">
        <v>588</v>
      </c>
      <c r="F354" t="s" s="59">
        <v>51</v>
      </c>
      <c r="G354" t="s" s="59">
        <v>291</v>
      </c>
      <c r="H354" s="72">
        <v>0</v>
      </c>
      <c r="I354" t="s" s="73">
        <v>292</v>
      </c>
      <c r="J354" s="48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" customHeight="1">
      <c r="A355" t="s" s="68">
        <v>654</v>
      </c>
      <c r="B355" s="55">
        <v>46026</v>
      </c>
      <c r="C355" s="52">
        <v>84</v>
      </c>
      <c r="D355" t="s" s="50">
        <v>276</v>
      </c>
      <c r="E355" t="s" s="50">
        <v>590</v>
      </c>
      <c r="F355" t="s" s="50">
        <v>50</v>
      </c>
      <c r="G355" t="s" s="50">
        <v>291</v>
      </c>
      <c r="H355" s="69">
        <v>0</v>
      </c>
      <c r="I355" t="s" s="70">
        <v>292</v>
      </c>
      <c r="J355" s="48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" customHeight="1">
      <c r="A356" t="s" s="71">
        <v>655</v>
      </c>
      <c r="B356" s="64">
        <v>46052</v>
      </c>
      <c r="C356" s="61">
        <v>84</v>
      </c>
      <c r="D356" t="s" s="59">
        <v>276</v>
      </c>
      <c r="E356" t="s" s="59">
        <v>592</v>
      </c>
      <c r="F356" t="s" s="59">
        <v>50</v>
      </c>
      <c r="G356" t="s" s="59">
        <v>291</v>
      </c>
      <c r="H356" s="72">
        <v>0</v>
      </c>
      <c r="I356" t="s" s="73">
        <v>292</v>
      </c>
      <c r="J356" s="48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" customHeight="1">
      <c r="A357" t="s" s="68">
        <v>656</v>
      </c>
      <c r="B357" s="55">
        <v>45833</v>
      </c>
      <c r="C357" s="52">
        <v>85</v>
      </c>
      <c r="D357" t="s" s="50">
        <v>276</v>
      </c>
      <c r="E357" t="s" s="50">
        <v>290</v>
      </c>
      <c r="F357" t="s" s="50">
        <v>48</v>
      </c>
      <c r="G357" t="s" s="50">
        <v>291</v>
      </c>
      <c r="H357" s="69">
        <v>0</v>
      </c>
      <c r="I357" t="s" s="70">
        <v>292</v>
      </c>
      <c r="J357" s="48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" customHeight="1">
      <c r="A358" t="s" s="71">
        <v>657</v>
      </c>
      <c r="B358" s="64">
        <v>45863</v>
      </c>
      <c r="C358" s="61">
        <v>85</v>
      </c>
      <c r="D358" t="s" s="59">
        <v>276</v>
      </c>
      <c r="E358" t="s" s="59">
        <v>314</v>
      </c>
      <c r="F358" t="s" s="59">
        <v>48</v>
      </c>
      <c r="G358" t="s" s="59">
        <v>291</v>
      </c>
      <c r="H358" s="72">
        <v>0</v>
      </c>
      <c r="I358" t="s" s="73">
        <v>292</v>
      </c>
      <c r="J358" s="48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" customHeight="1">
      <c r="A359" t="s" s="68">
        <v>658</v>
      </c>
      <c r="B359" s="55">
        <v>45893</v>
      </c>
      <c r="C359" s="52">
        <v>85</v>
      </c>
      <c r="D359" t="s" s="50">
        <v>276</v>
      </c>
      <c r="E359" t="s" s="50">
        <v>316</v>
      </c>
      <c r="F359" t="s" s="50">
        <v>48</v>
      </c>
      <c r="G359" t="s" s="50">
        <v>291</v>
      </c>
      <c r="H359" s="69">
        <v>0</v>
      </c>
      <c r="I359" t="s" s="70">
        <v>292</v>
      </c>
      <c r="J359" s="48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" customHeight="1">
      <c r="A360" t="s" s="71">
        <v>659</v>
      </c>
      <c r="B360" s="64">
        <v>45917</v>
      </c>
      <c r="C360" s="61">
        <v>85</v>
      </c>
      <c r="D360" t="s" s="59">
        <v>276</v>
      </c>
      <c r="E360" t="s" s="59">
        <v>374</v>
      </c>
      <c r="F360" t="s" s="59">
        <v>48</v>
      </c>
      <c r="G360" t="s" s="59">
        <v>291</v>
      </c>
      <c r="H360" s="72">
        <v>0</v>
      </c>
      <c r="I360" t="s" s="73">
        <v>292</v>
      </c>
      <c r="J360" s="48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" customHeight="1">
      <c r="A361" t="s" s="68">
        <v>660</v>
      </c>
      <c r="B361" s="55">
        <v>45948</v>
      </c>
      <c r="C361" s="52">
        <v>85</v>
      </c>
      <c r="D361" t="s" s="50">
        <v>276</v>
      </c>
      <c r="E361" t="s" s="50">
        <v>376</v>
      </c>
      <c r="F361" t="s" s="50">
        <v>48</v>
      </c>
      <c r="G361" t="s" s="50">
        <v>291</v>
      </c>
      <c r="H361" s="69">
        <v>0</v>
      </c>
      <c r="I361" t="s" s="70">
        <v>292</v>
      </c>
      <c r="J361" s="48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" customHeight="1">
      <c r="A362" t="s" s="71">
        <v>661</v>
      </c>
      <c r="B362" s="64">
        <v>45972</v>
      </c>
      <c r="C362" s="61">
        <v>85</v>
      </c>
      <c r="D362" t="s" s="59">
        <v>276</v>
      </c>
      <c r="E362" t="s" s="59">
        <v>488</v>
      </c>
      <c r="F362" t="s" s="59">
        <v>49</v>
      </c>
      <c r="G362" t="s" s="59">
        <v>291</v>
      </c>
      <c r="H362" s="72">
        <v>0</v>
      </c>
      <c r="I362" t="s" s="73">
        <v>292</v>
      </c>
      <c r="J362" s="48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" customHeight="1">
      <c r="A363" t="s" s="68">
        <v>662</v>
      </c>
      <c r="B363" s="55">
        <v>46000</v>
      </c>
      <c r="C363" s="52">
        <v>85</v>
      </c>
      <c r="D363" t="s" s="50">
        <v>276</v>
      </c>
      <c r="E363" t="s" s="50">
        <v>588</v>
      </c>
      <c r="F363" t="s" s="50">
        <v>51</v>
      </c>
      <c r="G363" t="s" s="50">
        <v>318</v>
      </c>
      <c r="H363" s="69">
        <v>2</v>
      </c>
      <c r="I363" t="s" s="70">
        <v>319</v>
      </c>
      <c r="J363" s="48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" customHeight="1">
      <c r="A364" t="s" s="71">
        <v>663</v>
      </c>
      <c r="B364" s="64">
        <v>46033</v>
      </c>
      <c r="C364" s="61">
        <v>85</v>
      </c>
      <c r="D364" t="s" s="59">
        <v>276</v>
      </c>
      <c r="E364" t="s" s="59">
        <v>590</v>
      </c>
      <c r="F364" t="s" s="59">
        <v>50</v>
      </c>
      <c r="G364" t="s" s="59">
        <v>291</v>
      </c>
      <c r="H364" s="72">
        <v>0</v>
      </c>
      <c r="I364" t="s" s="73">
        <v>292</v>
      </c>
      <c r="J364" s="48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" customHeight="1">
      <c r="A365" t="s" s="68">
        <v>664</v>
      </c>
      <c r="B365" s="55">
        <v>46060</v>
      </c>
      <c r="C365" s="52">
        <v>85</v>
      </c>
      <c r="D365" t="s" s="50">
        <v>276</v>
      </c>
      <c r="E365" t="s" s="50">
        <v>592</v>
      </c>
      <c r="F365" t="s" s="50">
        <v>50</v>
      </c>
      <c r="G365" t="s" s="50">
        <v>507</v>
      </c>
      <c r="H365" s="69">
        <v>1</v>
      </c>
      <c r="I365" t="s" s="70">
        <v>508</v>
      </c>
      <c r="J365" s="48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" customHeight="1">
      <c r="A366" t="s" s="71">
        <v>665</v>
      </c>
      <c r="B366" s="64">
        <v>45837</v>
      </c>
      <c r="C366" s="61">
        <v>86</v>
      </c>
      <c r="D366" t="s" s="59">
        <v>276</v>
      </c>
      <c r="E366" t="s" s="59">
        <v>290</v>
      </c>
      <c r="F366" t="s" s="59">
        <v>48</v>
      </c>
      <c r="G366" t="s" s="59">
        <v>291</v>
      </c>
      <c r="H366" s="72">
        <v>0</v>
      </c>
      <c r="I366" t="s" s="73">
        <v>292</v>
      </c>
      <c r="J366" s="48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" customHeight="1">
      <c r="A367" t="s" s="68">
        <v>666</v>
      </c>
      <c r="B367" s="55">
        <v>45865</v>
      </c>
      <c r="C367" s="52">
        <v>86</v>
      </c>
      <c r="D367" t="s" s="50">
        <v>276</v>
      </c>
      <c r="E367" t="s" s="50">
        <v>314</v>
      </c>
      <c r="F367" t="s" s="50">
        <v>48</v>
      </c>
      <c r="G367" t="s" s="50">
        <v>291</v>
      </c>
      <c r="H367" s="69">
        <v>0</v>
      </c>
      <c r="I367" t="s" s="70">
        <v>292</v>
      </c>
      <c r="J367" s="48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" customHeight="1">
      <c r="A368" t="s" s="71">
        <v>667</v>
      </c>
      <c r="B368" s="64">
        <v>45889</v>
      </c>
      <c r="C368" s="61">
        <v>86</v>
      </c>
      <c r="D368" t="s" s="59">
        <v>276</v>
      </c>
      <c r="E368" t="s" s="59">
        <v>316</v>
      </c>
      <c r="F368" t="s" s="59">
        <v>48</v>
      </c>
      <c r="G368" t="s" s="59">
        <v>291</v>
      </c>
      <c r="H368" s="72">
        <v>0</v>
      </c>
      <c r="I368" t="s" s="73">
        <v>292</v>
      </c>
      <c r="J368" s="48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" customHeight="1">
      <c r="A369" t="s" s="68">
        <v>668</v>
      </c>
      <c r="B369" s="55">
        <v>45923</v>
      </c>
      <c r="C369" s="52">
        <v>86</v>
      </c>
      <c r="D369" t="s" s="50">
        <v>276</v>
      </c>
      <c r="E369" t="s" s="50">
        <v>374</v>
      </c>
      <c r="F369" t="s" s="50">
        <v>48</v>
      </c>
      <c r="G369" t="s" s="50">
        <v>291</v>
      </c>
      <c r="H369" s="69">
        <v>0</v>
      </c>
      <c r="I369" t="s" s="70">
        <v>292</v>
      </c>
      <c r="J369" s="48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" customHeight="1">
      <c r="A370" t="s" s="71">
        <v>669</v>
      </c>
      <c r="B370" s="64">
        <v>45948</v>
      </c>
      <c r="C370" s="61">
        <v>86</v>
      </c>
      <c r="D370" t="s" s="59">
        <v>276</v>
      </c>
      <c r="E370" t="s" s="59">
        <v>376</v>
      </c>
      <c r="F370" t="s" s="59">
        <v>48</v>
      </c>
      <c r="G370" t="s" s="59">
        <v>291</v>
      </c>
      <c r="H370" s="72">
        <v>0</v>
      </c>
      <c r="I370" t="s" s="73">
        <v>292</v>
      </c>
      <c r="J370" s="48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" customHeight="1">
      <c r="A371" t="s" s="68">
        <v>670</v>
      </c>
      <c r="B371" s="55">
        <v>45974</v>
      </c>
      <c r="C371" s="52">
        <v>86</v>
      </c>
      <c r="D371" t="s" s="50">
        <v>276</v>
      </c>
      <c r="E371" t="s" s="50">
        <v>488</v>
      </c>
      <c r="F371" t="s" s="50">
        <v>49</v>
      </c>
      <c r="G371" t="s" s="50">
        <v>318</v>
      </c>
      <c r="H371" s="69">
        <v>1</v>
      </c>
      <c r="I371" t="s" s="70">
        <v>319</v>
      </c>
      <c r="J371" s="48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" customHeight="1">
      <c r="A372" t="s" s="71">
        <v>671</v>
      </c>
      <c r="B372" s="64">
        <v>46004</v>
      </c>
      <c r="C372" s="61">
        <v>86</v>
      </c>
      <c r="D372" t="s" s="59">
        <v>276</v>
      </c>
      <c r="E372" t="s" s="59">
        <v>588</v>
      </c>
      <c r="F372" t="s" s="59">
        <v>51</v>
      </c>
      <c r="G372" t="s" s="59">
        <v>291</v>
      </c>
      <c r="H372" s="72">
        <v>0</v>
      </c>
      <c r="I372" t="s" s="73">
        <v>292</v>
      </c>
      <c r="J372" s="48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" customHeight="1">
      <c r="A373" t="s" s="68">
        <v>672</v>
      </c>
      <c r="B373" s="55">
        <v>46035</v>
      </c>
      <c r="C373" s="52">
        <v>86</v>
      </c>
      <c r="D373" t="s" s="50">
        <v>276</v>
      </c>
      <c r="E373" t="s" s="50">
        <v>590</v>
      </c>
      <c r="F373" t="s" s="50">
        <v>50</v>
      </c>
      <c r="G373" t="s" s="50">
        <v>291</v>
      </c>
      <c r="H373" s="69">
        <v>0</v>
      </c>
      <c r="I373" t="s" s="70">
        <v>292</v>
      </c>
      <c r="J373" s="48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" customHeight="1">
      <c r="A374" t="s" s="71">
        <v>673</v>
      </c>
      <c r="B374" s="64">
        <v>46063</v>
      </c>
      <c r="C374" s="61">
        <v>86</v>
      </c>
      <c r="D374" t="s" s="59">
        <v>276</v>
      </c>
      <c r="E374" t="s" s="59">
        <v>592</v>
      </c>
      <c r="F374" t="s" s="59">
        <v>50</v>
      </c>
      <c r="G374" t="s" s="59">
        <v>291</v>
      </c>
      <c r="H374" s="72">
        <v>0</v>
      </c>
      <c r="I374" t="s" s="73">
        <v>292</v>
      </c>
      <c r="J374" s="48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" customHeight="1">
      <c r="A375" t="s" s="68">
        <v>674</v>
      </c>
      <c r="B375" s="55">
        <v>45840</v>
      </c>
      <c r="C375" s="52">
        <v>87</v>
      </c>
      <c r="D375" t="s" s="50">
        <v>276</v>
      </c>
      <c r="E375" t="s" s="50">
        <v>290</v>
      </c>
      <c r="F375" t="s" s="50">
        <v>48</v>
      </c>
      <c r="G375" t="s" s="50">
        <v>291</v>
      </c>
      <c r="H375" s="69">
        <v>0</v>
      </c>
      <c r="I375" t="s" s="70">
        <v>292</v>
      </c>
      <c r="J375" s="48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" customHeight="1">
      <c r="A376" t="s" s="71">
        <v>675</v>
      </c>
      <c r="B376" s="64">
        <v>45864</v>
      </c>
      <c r="C376" s="61">
        <v>87</v>
      </c>
      <c r="D376" t="s" s="59">
        <v>276</v>
      </c>
      <c r="E376" t="s" s="59">
        <v>314</v>
      </c>
      <c r="F376" t="s" s="59">
        <v>48</v>
      </c>
      <c r="G376" t="s" s="59">
        <v>291</v>
      </c>
      <c r="H376" s="72">
        <v>0</v>
      </c>
      <c r="I376" t="s" s="73">
        <v>292</v>
      </c>
      <c r="J376" s="48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" customHeight="1">
      <c r="A377" t="s" s="68">
        <v>676</v>
      </c>
      <c r="B377" s="55">
        <v>45895</v>
      </c>
      <c r="C377" s="52">
        <v>87</v>
      </c>
      <c r="D377" t="s" s="50">
        <v>276</v>
      </c>
      <c r="E377" t="s" s="50">
        <v>316</v>
      </c>
      <c r="F377" t="s" s="50">
        <v>48</v>
      </c>
      <c r="G377" t="s" s="50">
        <v>291</v>
      </c>
      <c r="H377" s="69">
        <v>0</v>
      </c>
      <c r="I377" t="s" s="70">
        <v>292</v>
      </c>
      <c r="J377" s="48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" customHeight="1">
      <c r="A378" t="s" s="71">
        <v>677</v>
      </c>
      <c r="B378" s="64">
        <v>45922</v>
      </c>
      <c r="C378" s="61">
        <v>87</v>
      </c>
      <c r="D378" t="s" s="59">
        <v>276</v>
      </c>
      <c r="E378" t="s" s="59">
        <v>374</v>
      </c>
      <c r="F378" t="s" s="59">
        <v>48</v>
      </c>
      <c r="G378" t="s" s="59">
        <v>291</v>
      </c>
      <c r="H378" s="72">
        <v>0</v>
      </c>
      <c r="I378" t="s" s="73">
        <v>292</v>
      </c>
      <c r="J378" s="48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" customHeight="1">
      <c r="A379" t="s" s="68">
        <v>678</v>
      </c>
      <c r="B379" s="55">
        <v>45947</v>
      </c>
      <c r="C379" s="52">
        <v>87</v>
      </c>
      <c r="D379" t="s" s="50">
        <v>276</v>
      </c>
      <c r="E379" t="s" s="50">
        <v>376</v>
      </c>
      <c r="F379" t="s" s="50">
        <v>48</v>
      </c>
      <c r="G379" t="s" s="50">
        <v>291</v>
      </c>
      <c r="H379" s="69">
        <v>0</v>
      </c>
      <c r="I379" t="s" s="70">
        <v>292</v>
      </c>
      <c r="J379" s="48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" customHeight="1">
      <c r="A380" t="s" s="71">
        <v>679</v>
      </c>
      <c r="B380" s="64">
        <v>45978</v>
      </c>
      <c r="C380" s="61">
        <v>87</v>
      </c>
      <c r="D380" t="s" s="59">
        <v>276</v>
      </c>
      <c r="E380" t="s" s="59">
        <v>488</v>
      </c>
      <c r="F380" t="s" s="59">
        <v>49</v>
      </c>
      <c r="G380" t="s" s="59">
        <v>291</v>
      </c>
      <c r="H380" s="72">
        <v>0</v>
      </c>
      <c r="I380" t="s" s="73">
        <v>292</v>
      </c>
      <c r="J380" s="48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" customHeight="1">
      <c r="A381" t="s" s="68">
        <v>680</v>
      </c>
      <c r="B381" s="55">
        <v>46009</v>
      </c>
      <c r="C381" s="52">
        <v>87</v>
      </c>
      <c r="D381" t="s" s="50">
        <v>276</v>
      </c>
      <c r="E381" t="s" s="50">
        <v>588</v>
      </c>
      <c r="F381" t="s" s="50">
        <v>51</v>
      </c>
      <c r="G381" t="s" s="50">
        <v>291</v>
      </c>
      <c r="H381" s="69">
        <v>0</v>
      </c>
      <c r="I381" t="s" s="70">
        <v>292</v>
      </c>
      <c r="J381" s="48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" customHeight="1">
      <c r="A382" t="s" s="71">
        <v>681</v>
      </c>
      <c r="B382" s="64">
        <v>46034</v>
      </c>
      <c r="C382" s="61">
        <v>87</v>
      </c>
      <c r="D382" t="s" s="59">
        <v>276</v>
      </c>
      <c r="E382" t="s" s="59">
        <v>590</v>
      </c>
      <c r="F382" t="s" s="59">
        <v>50</v>
      </c>
      <c r="G382" t="s" s="59">
        <v>318</v>
      </c>
      <c r="H382" s="72">
        <v>1</v>
      </c>
      <c r="I382" t="s" s="73">
        <v>319</v>
      </c>
      <c r="J382" s="48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" customHeight="1">
      <c r="A383" t="s" s="68">
        <v>682</v>
      </c>
      <c r="B383" s="55">
        <v>46062</v>
      </c>
      <c r="C383" s="52">
        <v>87</v>
      </c>
      <c r="D383" t="s" s="50">
        <v>276</v>
      </c>
      <c r="E383" t="s" s="50">
        <v>592</v>
      </c>
      <c r="F383" t="s" s="50">
        <v>50</v>
      </c>
      <c r="G383" t="s" s="50">
        <v>291</v>
      </c>
      <c r="H383" s="69">
        <v>0</v>
      </c>
      <c r="I383" t="s" s="70">
        <v>292</v>
      </c>
      <c r="J383" s="48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" customHeight="1">
      <c r="A384" t="s" s="71">
        <v>683</v>
      </c>
      <c r="B384" s="64">
        <v>45838</v>
      </c>
      <c r="C384" s="61">
        <v>88</v>
      </c>
      <c r="D384" t="s" s="59">
        <v>276</v>
      </c>
      <c r="E384" t="s" s="59">
        <v>290</v>
      </c>
      <c r="F384" t="s" s="59">
        <v>48</v>
      </c>
      <c r="G384" t="s" s="59">
        <v>291</v>
      </c>
      <c r="H384" s="72">
        <v>0</v>
      </c>
      <c r="I384" t="s" s="73">
        <v>292</v>
      </c>
      <c r="J384" s="48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" customHeight="1">
      <c r="A385" t="s" s="68">
        <v>684</v>
      </c>
      <c r="B385" s="55">
        <v>45865</v>
      </c>
      <c r="C385" s="52">
        <v>88</v>
      </c>
      <c r="D385" t="s" s="50">
        <v>276</v>
      </c>
      <c r="E385" t="s" s="50">
        <v>314</v>
      </c>
      <c r="F385" t="s" s="50">
        <v>48</v>
      </c>
      <c r="G385" t="s" s="50">
        <v>291</v>
      </c>
      <c r="H385" s="69">
        <v>0</v>
      </c>
      <c r="I385" t="s" s="70">
        <v>292</v>
      </c>
      <c r="J385" s="48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" customHeight="1">
      <c r="A386" t="s" s="71">
        <v>685</v>
      </c>
      <c r="B386" s="64">
        <v>45896</v>
      </c>
      <c r="C386" s="61">
        <v>88</v>
      </c>
      <c r="D386" t="s" s="59">
        <v>276</v>
      </c>
      <c r="E386" t="s" s="59">
        <v>316</v>
      </c>
      <c r="F386" t="s" s="59">
        <v>48</v>
      </c>
      <c r="G386" t="s" s="59">
        <v>291</v>
      </c>
      <c r="H386" s="72">
        <v>0</v>
      </c>
      <c r="I386" t="s" s="73">
        <v>292</v>
      </c>
      <c r="J386" s="48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" customHeight="1">
      <c r="A387" t="s" s="68">
        <v>686</v>
      </c>
      <c r="B387" s="55">
        <v>45922</v>
      </c>
      <c r="C387" s="52">
        <v>88</v>
      </c>
      <c r="D387" t="s" s="50">
        <v>276</v>
      </c>
      <c r="E387" t="s" s="50">
        <v>374</v>
      </c>
      <c r="F387" t="s" s="50">
        <v>48</v>
      </c>
      <c r="G387" t="s" s="50">
        <v>291</v>
      </c>
      <c r="H387" s="69">
        <v>0</v>
      </c>
      <c r="I387" t="s" s="70">
        <v>292</v>
      </c>
      <c r="J387" s="48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" customHeight="1">
      <c r="A388" t="s" s="71">
        <v>687</v>
      </c>
      <c r="B388" s="64">
        <v>45950</v>
      </c>
      <c r="C388" s="61">
        <v>88</v>
      </c>
      <c r="D388" t="s" s="59">
        <v>276</v>
      </c>
      <c r="E388" t="s" s="59">
        <v>376</v>
      </c>
      <c r="F388" t="s" s="59">
        <v>48</v>
      </c>
      <c r="G388" t="s" s="59">
        <v>291</v>
      </c>
      <c r="H388" s="72">
        <v>0</v>
      </c>
      <c r="I388" t="s" s="73">
        <v>292</v>
      </c>
      <c r="J388" s="48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" customHeight="1">
      <c r="A389" t="s" s="68">
        <v>688</v>
      </c>
      <c r="B389" s="55">
        <v>45977</v>
      </c>
      <c r="C389" s="52">
        <v>88</v>
      </c>
      <c r="D389" t="s" s="50">
        <v>276</v>
      </c>
      <c r="E389" t="s" s="50">
        <v>488</v>
      </c>
      <c r="F389" t="s" s="50">
        <v>49</v>
      </c>
      <c r="G389" t="s" s="50">
        <v>291</v>
      </c>
      <c r="H389" s="69">
        <v>0</v>
      </c>
      <c r="I389" t="s" s="70">
        <v>292</v>
      </c>
      <c r="J389" s="48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" customHeight="1">
      <c r="A390" t="s" s="71">
        <v>689</v>
      </c>
      <c r="B390" s="64">
        <v>46007</v>
      </c>
      <c r="C390" s="61">
        <v>88</v>
      </c>
      <c r="D390" t="s" s="59">
        <v>276</v>
      </c>
      <c r="E390" t="s" s="59">
        <v>588</v>
      </c>
      <c r="F390" t="s" s="59">
        <v>51</v>
      </c>
      <c r="G390" t="s" s="59">
        <v>291</v>
      </c>
      <c r="H390" s="72">
        <v>0</v>
      </c>
      <c r="I390" t="s" s="73">
        <v>292</v>
      </c>
      <c r="J390" s="48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" customHeight="1">
      <c r="A391" t="s" s="68">
        <v>690</v>
      </c>
      <c r="B391" s="55">
        <v>46032</v>
      </c>
      <c r="C391" s="52">
        <v>88</v>
      </c>
      <c r="D391" t="s" s="50">
        <v>276</v>
      </c>
      <c r="E391" t="s" s="50">
        <v>590</v>
      </c>
      <c r="F391" t="s" s="50">
        <v>50</v>
      </c>
      <c r="G391" t="s" s="50">
        <v>291</v>
      </c>
      <c r="H391" s="69">
        <v>0</v>
      </c>
      <c r="I391" t="s" s="70">
        <v>292</v>
      </c>
      <c r="J391" s="48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" customHeight="1">
      <c r="A392" t="s" s="71">
        <v>691</v>
      </c>
      <c r="B392" s="64">
        <v>46066</v>
      </c>
      <c r="C392" s="61">
        <v>88</v>
      </c>
      <c r="D392" t="s" s="59">
        <v>276</v>
      </c>
      <c r="E392" t="s" s="59">
        <v>592</v>
      </c>
      <c r="F392" t="s" s="59">
        <v>50</v>
      </c>
      <c r="G392" t="s" s="59">
        <v>291</v>
      </c>
      <c r="H392" s="72">
        <v>0</v>
      </c>
      <c r="I392" t="s" s="73">
        <v>292</v>
      </c>
      <c r="J392" s="48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" customHeight="1">
      <c r="A393" t="s" s="68">
        <v>692</v>
      </c>
      <c r="B393" s="55">
        <v>45838</v>
      </c>
      <c r="C393" s="52">
        <v>89</v>
      </c>
      <c r="D393" t="s" s="50">
        <v>276</v>
      </c>
      <c r="E393" t="s" s="50">
        <v>290</v>
      </c>
      <c r="F393" t="s" s="50">
        <v>48</v>
      </c>
      <c r="G393" t="s" s="50">
        <v>291</v>
      </c>
      <c r="H393" s="69">
        <v>0</v>
      </c>
      <c r="I393" t="s" s="70">
        <v>292</v>
      </c>
      <c r="J393" s="48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" customHeight="1">
      <c r="A394" t="s" s="71">
        <v>693</v>
      </c>
      <c r="B394" s="64">
        <v>45868</v>
      </c>
      <c r="C394" s="61">
        <v>89</v>
      </c>
      <c r="D394" t="s" s="59">
        <v>276</v>
      </c>
      <c r="E394" t="s" s="59">
        <v>314</v>
      </c>
      <c r="F394" t="s" s="59">
        <v>48</v>
      </c>
      <c r="G394" t="s" s="59">
        <v>291</v>
      </c>
      <c r="H394" s="72">
        <v>0</v>
      </c>
      <c r="I394" t="s" s="73">
        <v>292</v>
      </c>
      <c r="J394" s="48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" customHeight="1">
      <c r="A395" t="s" s="68">
        <v>694</v>
      </c>
      <c r="B395" s="55">
        <v>45896</v>
      </c>
      <c r="C395" s="52">
        <v>89</v>
      </c>
      <c r="D395" t="s" s="50">
        <v>276</v>
      </c>
      <c r="E395" t="s" s="50">
        <v>316</v>
      </c>
      <c r="F395" t="s" s="50">
        <v>48</v>
      </c>
      <c r="G395" t="s" s="50">
        <v>318</v>
      </c>
      <c r="H395" s="69">
        <v>2</v>
      </c>
      <c r="I395" t="s" s="70">
        <v>319</v>
      </c>
      <c r="J395" s="48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" customHeight="1">
      <c r="A396" t="s" s="71">
        <v>695</v>
      </c>
      <c r="B396" s="64">
        <v>45928</v>
      </c>
      <c r="C396" s="61">
        <v>89</v>
      </c>
      <c r="D396" t="s" s="59">
        <v>276</v>
      </c>
      <c r="E396" t="s" s="59">
        <v>374</v>
      </c>
      <c r="F396" t="s" s="59">
        <v>48</v>
      </c>
      <c r="G396" t="s" s="59">
        <v>291</v>
      </c>
      <c r="H396" s="72">
        <v>0</v>
      </c>
      <c r="I396" t="s" s="73">
        <v>292</v>
      </c>
      <c r="J396" s="48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" customHeight="1">
      <c r="A397" t="s" s="68">
        <v>696</v>
      </c>
      <c r="B397" s="55">
        <v>45957</v>
      </c>
      <c r="C397" s="52">
        <v>89</v>
      </c>
      <c r="D397" t="s" s="50">
        <v>276</v>
      </c>
      <c r="E397" t="s" s="50">
        <v>376</v>
      </c>
      <c r="F397" t="s" s="50">
        <v>48</v>
      </c>
      <c r="G397" t="s" s="50">
        <v>291</v>
      </c>
      <c r="H397" s="69">
        <v>0</v>
      </c>
      <c r="I397" t="s" s="70">
        <v>292</v>
      </c>
      <c r="J397" s="48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" customHeight="1">
      <c r="A398" t="s" s="71">
        <v>697</v>
      </c>
      <c r="B398" s="64">
        <v>45979</v>
      </c>
      <c r="C398" s="61">
        <v>89</v>
      </c>
      <c r="D398" t="s" s="59">
        <v>276</v>
      </c>
      <c r="E398" t="s" s="59">
        <v>488</v>
      </c>
      <c r="F398" t="s" s="59">
        <v>49</v>
      </c>
      <c r="G398" t="s" s="59">
        <v>291</v>
      </c>
      <c r="H398" s="72">
        <v>0</v>
      </c>
      <c r="I398" t="s" s="73">
        <v>292</v>
      </c>
      <c r="J398" s="48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" customHeight="1">
      <c r="A399" t="s" s="68">
        <v>698</v>
      </c>
      <c r="B399" s="55">
        <v>46006</v>
      </c>
      <c r="C399" s="52">
        <v>89</v>
      </c>
      <c r="D399" t="s" s="50">
        <v>276</v>
      </c>
      <c r="E399" t="s" s="50">
        <v>588</v>
      </c>
      <c r="F399" t="s" s="50">
        <v>51</v>
      </c>
      <c r="G399" t="s" s="50">
        <v>291</v>
      </c>
      <c r="H399" s="69">
        <v>0</v>
      </c>
      <c r="I399" t="s" s="70">
        <v>292</v>
      </c>
      <c r="J399" s="48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" customHeight="1">
      <c r="A400" t="s" s="71">
        <v>699</v>
      </c>
      <c r="B400" s="64">
        <v>46034</v>
      </c>
      <c r="C400" s="61">
        <v>89</v>
      </c>
      <c r="D400" t="s" s="59">
        <v>276</v>
      </c>
      <c r="E400" t="s" s="59">
        <v>590</v>
      </c>
      <c r="F400" t="s" s="59">
        <v>50</v>
      </c>
      <c r="G400" t="s" s="59">
        <v>291</v>
      </c>
      <c r="H400" s="72">
        <v>0</v>
      </c>
      <c r="I400" t="s" s="73">
        <v>292</v>
      </c>
      <c r="J400" s="48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" customHeight="1">
      <c r="A401" t="s" s="68">
        <v>700</v>
      </c>
      <c r="B401" s="55">
        <v>46062</v>
      </c>
      <c r="C401" s="52">
        <v>89</v>
      </c>
      <c r="D401" t="s" s="50">
        <v>276</v>
      </c>
      <c r="E401" t="s" s="50">
        <v>592</v>
      </c>
      <c r="F401" t="s" s="50">
        <v>50</v>
      </c>
      <c r="G401" t="s" s="50">
        <v>291</v>
      </c>
      <c r="H401" s="69">
        <v>0</v>
      </c>
      <c r="I401" t="s" s="70">
        <v>292</v>
      </c>
      <c r="J401" s="48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" customHeight="1">
      <c r="A402" t="s" s="71">
        <v>701</v>
      </c>
      <c r="B402" s="64">
        <v>45843</v>
      </c>
      <c r="C402" s="61">
        <v>90</v>
      </c>
      <c r="D402" t="s" s="59">
        <v>276</v>
      </c>
      <c r="E402" t="s" s="59">
        <v>290</v>
      </c>
      <c r="F402" t="s" s="59">
        <v>48</v>
      </c>
      <c r="G402" t="s" s="59">
        <v>291</v>
      </c>
      <c r="H402" s="72">
        <v>0</v>
      </c>
      <c r="I402" t="s" s="73">
        <v>292</v>
      </c>
      <c r="J402" s="48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" customHeight="1">
      <c r="A403" t="s" s="68">
        <v>702</v>
      </c>
      <c r="B403" s="55">
        <v>45872</v>
      </c>
      <c r="C403" s="52">
        <v>90</v>
      </c>
      <c r="D403" t="s" s="50">
        <v>276</v>
      </c>
      <c r="E403" t="s" s="50">
        <v>314</v>
      </c>
      <c r="F403" t="s" s="50">
        <v>48</v>
      </c>
      <c r="G403" t="s" s="50">
        <v>291</v>
      </c>
      <c r="H403" s="69">
        <v>0</v>
      </c>
      <c r="I403" t="s" s="70">
        <v>292</v>
      </c>
      <c r="J403" s="48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" customHeight="1">
      <c r="A404" t="s" s="71">
        <v>703</v>
      </c>
      <c r="B404" s="64">
        <v>45898</v>
      </c>
      <c r="C404" s="61">
        <v>90</v>
      </c>
      <c r="D404" t="s" s="59">
        <v>276</v>
      </c>
      <c r="E404" t="s" s="59">
        <v>316</v>
      </c>
      <c r="F404" t="s" s="59">
        <v>48</v>
      </c>
      <c r="G404" t="s" s="59">
        <v>291</v>
      </c>
      <c r="H404" s="72">
        <v>0</v>
      </c>
      <c r="I404" t="s" s="73">
        <v>292</v>
      </c>
      <c r="J404" s="48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" customHeight="1">
      <c r="A405" t="s" s="68">
        <v>704</v>
      </c>
      <c r="B405" s="55">
        <v>45929</v>
      </c>
      <c r="C405" s="52">
        <v>90</v>
      </c>
      <c r="D405" t="s" s="50">
        <v>276</v>
      </c>
      <c r="E405" t="s" s="50">
        <v>374</v>
      </c>
      <c r="F405" t="s" s="50">
        <v>48</v>
      </c>
      <c r="G405" t="s" s="50">
        <v>291</v>
      </c>
      <c r="H405" s="69">
        <v>0</v>
      </c>
      <c r="I405" t="s" s="70">
        <v>292</v>
      </c>
      <c r="J405" s="48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" customHeight="1">
      <c r="A406" t="s" s="71">
        <v>705</v>
      </c>
      <c r="B406" s="64">
        <v>45958</v>
      </c>
      <c r="C406" s="61">
        <v>90</v>
      </c>
      <c r="D406" t="s" s="59">
        <v>276</v>
      </c>
      <c r="E406" t="s" s="59">
        <v>376</v>
      </c>
      <c r="F406" t="s" s="59">
        <v>48</v>
      </c>
      <c r="G406" t="s" s="59">
        <v>291</v>
      </c>
      <c r="H406" s="72">
        <v>0</v>
      </c>
      <c r="I406" t="s" s="73">
        <v>292</v>
      </c>
      <c r="J406" s="48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" customHeight="1">
      <c r="A407" t="s" s="68">
        <v>706</v>
      </c>
      <c r="B407" s="55">
        <v>45987</v>
      </c>
      <c r="C407" s="52">
        <v>90</v>
      </c>
      <c r="D407" t="s" s="50">
        <v>276</v>
      </c>
      <c r="E407" t="s" s="50">
        <v>488</v>
      </c>
      <c r="F407" t="s" s="50">
        <v>49</v>
      </c>
      <c r="G407" t="s" s="50">
        <v>291</v>
      </c>
      <c r="H407" s="69">
        <v>0</v>
      </c>
      <c r="I407" t="s" s="70">
        <v>292</v>
      </c>
      <c r="J407" s="48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" customHeight="1">
      <c r="A408" t="s" s="71">
        <v>707</v>
      </c>
      <c r="B408" s="64">
        <v>46009</v>
      </c>
      <c r="C408" s="61">
        <v>90</v>
      </c>
      <c r="D408" t="s" s="59">
        <v>276</v>
      </c>
      <c r="E408" t="s" s="59">
        <v>588</v>
      </c>
      <c r="F408" t="s" s="59">
        <v>51</v>
      </c>
      <c r="G408" t="s" s="59">
        <v>291</v>
      </c>
      <c r="H408" s="72">
        <v>0</v>
      </c>
      <c r="I408" t="s" s="73">
        <v>292</v>
      </c>
      <c r="J408" s="48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" customHeight="1">
      <c r="A409" t="s" s="68">
        <v>708</v>
      </c>
      <c r="B409" s="55">
        <v>46037</v>
      </c>
      <c r="C409" s="52">
        <v>90</v>
      </c>
      <c r="D409" t="s" s="50">
        <v>276</v>
      </c>
      <c r="E409" t="s" s="50">
        <v>590</v>
      </c>
      <c r="F409" t="s" s="50">
        <v>50</v>
      </c>
      <c r="G409" t="s" s="50">
        <v>291</v>
      </c>
      <c r="H409" s="69">
        <v>0</v>
      </c>
      <c r="I409" t="s" s="70">
        <v>292</v>
      </c>
      <c r="J409" s="48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" customHeight="1">
      <c r="A410" t="s" s="71">
        <v>709</v>
      </c>
      <c r="B410" s="64">
        <v>46067</v>
      </c>
      <c r="C410" s="61">
        <v>90</v>
      </c>
      <c r="D410" t="s" s="59">
        <v>276</v>
      </c>
      <c r="E410" t="s" s="59">
        <v>592</v>
      </c>
      <c r="F410" t="s" s="59">
        <v>50</v>
      </c>
      <c r="G410" t="s" s="59">
        <v>291</v>
      </c>
      <c r="H410" s="72">
        <v>0</v>
      </c>
      <c r="I410" t="s" s="73">
        <v>292</v>
      </c>
      <c r="J410" s="48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" customHeight="1">
      <c r="A411" t="s" s="68">
        <v>710</v>
      </c>
      <c r="B411" s="55">
        <v>45842</v>
      </c>
      <c r="C411" s="52">
        <v>91</v>
      </c>
      <c r="D411" t="s" s="50">
        <v>278</v>
      </c>
      <c r="E411" t="s" s="50">
        <v>290</v>
      </c>
      <c r="F411" t="s" s="50">
        <v>48</v>
      </c>
      <c r="G411" t="s" s="50">
        <v>291</v>
      </c>
      <c r="H411" s="69">
        <v>0</v>
      </c>
      <c r="I411" t="s" s="70">
        <v>292</v>
      </c>
      <c r="J411" s="48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" customHeight="1">
      <c r="A412" t="s" s="71">
        <v>711</v>
      </c>
      <c r="B412" s="64">
        <v>45874</v>
      </c>
      <c r="C412" s="61">
        <v>91</v>
      </c>
      <c r="D412" t="s" s="59">
        <v>278</v>
      </c>
      <c r="E412" t="s" s="59">
        <v>314</v>
      </c>
      <c r="F412" t="s" s="59">
        <v>48</v>
      </c>
      <c r="G412" t="s" s="59">
        <v>291</v>
      </c>
      <c r="H412" s="72">
        <v>0</v>
      </c>
      <c r="I412" t="s" s="73">
        <v>292</v>
      </c>
      <c r="J412" s="48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" customHeight="1">
      <c r="A413" t="s" s="68">
        <v>712</v>
      </c>
      <c r="B413" s="55">
        <v>45905</v>
      </c>
      <c r="C413" s="52">
        <v>91</v>
      </c>
      <c r="D413" t="s" s="50">
        <v>278</v>
      </c>
      <c r="E413" t="s" s="50">
        <v>316</v>
      </c>
      <c r="F413" t="s" s="50">
        <v>48</v>
      </c>
      <c r="G413" t="s" s="50">
        <v>291</v>
      </c>
      <c r="H413" s="69">
        <v>0</v>
      </c>
      <c r="I413" t="s" s="70">
        <v>292</v>
      </c>
      <c r="J413" s="48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" customHeight="1">
      <c r="A414" t="s" s="71">
        <v>713</v>
      </c>
      <c r="B414" s="64">
        <v>45933</v>
      </c>
      <c r="C414" s="61">
        <v>91</v>
      </c>
      <c r="D414" t="s" s="59">
        <v>278</v>
      </c>
      <c r="E414" t="s" s="59">
        <v>374</v>
      </c>
      <c r="F414" t="s" s="59">
        <v>48</v>
      </c>
      <c r="G414" t="s" s="59">
        <v>318</v>
      </c>
      <c r="H414" s="72">
        <v>2</v>
      </c>
      <c r="I414" t="s" s="73">
        <v>319</v>
      </c>
      <c r="J414" s="48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" customHeight="1">
      <c r="A415" t="s" s="68">
        <v>714</v>
      </c>
      <c r="B415" s="55">
        <v>45961</v>
      </c>
      <c r="C415" s="52">
        <v>91</v>
      </c>
      <c r="D415" t="s" s="50">
        <v>278</v>
      </c>
      <c r="E415" t="s" s="50">
        <v>376</v>
      </c>
      <c r="F415" t="s" s="50">
        <v>48</v>
      </c>
      <c r="G415" t="s" s="50">
        <v>291</v>
      </c>
      <c r="H415" s="69">
        <v>0</v>
      </c>
      <c r="I415" t="s" s="70">
        <v>292</v>
      </c>
      <c r="J415" s="48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" customHeight="1">
      <c r="A416" t="s" s="71">
        <v>715</v>
      </c>
      <c r="B416" s="64">
        <v>45987</v>
      </c>
      <c r="C416" s="61">
        <v>91</v>
      </c>
      <c r="D416" t="s" s="59">
        <v>278</v>
      </c>
      <c r="E416" t="s" s="59">
        <v>488</v>
      </c>
      <c r="F416" t="s" s="59">
        <v>49</v>
      </c>
      <c r="G416" t="s" s="59">
        <v>291</v>
      </c>
      <c r="H416" s="72">
        <v>0</v>
      </c>
      <c r="I416" t="s" s="73">
        <v>292</v>
      </c>
      <c r="J416" s="48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" customHeight="1">
      <c r="A417" t="s" s="68">
        <v>716</v>
      </c>
      <c r="B417" s="55">
        <v>46016</v>
      </c>
      <c r="C417" s="52">
        <v>91</v>
      </c>
      <c r="D417" t="s" s="50">
        <v>278</v>
      </c>
      <c r="E417" t="s" s="50">
        <v>588</v>
      </c>
      <c r="F417" t="s" s="50">
        <v>51</v>
      </c>
      <c r="G417" t="s" s="50">
        <v>291</v>
      </c>
      <c r="H417" s="69">
        <v>0</v>
      </c>
      <c r="I417" t="s" s="70">
        <v>292</v>
      </c>
      <c r="J417" s="48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" customHeight="1">
      <c r="A418" t="s" s="71">
        <v>717</v>
      </c>
      <c r="B418" s="64">
        <v>46040</v>
      </c>
      <c r="C418" s="61">
        <v>91</v>
      </c>
      <c r="D418" t="s" s="59">
        <v>278</v>
      </c>
      <c r="E418" t="s" s="59">
        <v>590</v>
      </c>
      <c r="F418" t="s" s="59">
        <v>50</v>
      </c>
      <c r="G418" t="s" s="59">
        <v>291</v>
      </c>
      <c r="H418" s="72">
        <v>0</v>
      </c>
      <c r="I418" t="s" s="73">
        <v>292</v>
      </c>
      <c r="J418" s="48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" customHeight="1">
      <c r="A419" t="s" s="68">
        <v>718</v>
      </c>
      <c r="B419" s="55">
        <v>46072</v>
      </c>
      <c r="C419" s="52">
        <v>91</v>
      </c>
      <c r="D419" t="s" s="50">
        <v>278</v>
      </c>
      <c r="E419" t="s" s="50">
        <v>592</v>
      </c>
      <c r="F419" t="s" s="50">
        <v>50</v>
      </c>
      <c r="G419" t="s" s="50">
        <v>291</v>
      </c>
      <c r="H419" s="69">
        <v>0</v>
      </c>
      <c r="I419" t="s" s="70">
        <v>292</v>
      </c>
      <c r="J419" s="48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" customHeight="1">
      <c r="A420" t="s" s="71">
        <v>719</v>
      </c>
      <c r="B420" s="64">
        <v>45851</v>
      </c>
      <c r="C420" s="61">
        <v>92</v>
      </c>
      <c r="D420" t="s" s="59">
        <v>278</v>
      </c>
      <c r="E420" t="s" s="59">
        <v>290</v>
      </c>
      <c r="F420" t="s" s="59">
        <v>48</v>
      </c>
      <c r="G420" t="s" s="59">
        <v>291</v>
      </c>
      <c r="H420" s="72">
        <v>0</v>
      </c>
      <c r="I420" t="s" s="73">
        <v>292</v>
      </c>
      <c r="J420" s="48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" customHeight="1">
      <c r="A421" t="s" s="68">
        <v>720</v>
      </c>
      <c r="B421" s="55">
        <v>45875</v>
      </c>
      <c r="C421" s="52">
        <v>92</v>
      </c>
      <c r="D421" t="s" s="50">
        <v>278</v>
      </c>
      <c r="E421" t="s" s="50">
        <v>314</v>
      </c>
      <c r="F421" t="s" s="50">
        <v>48</v>
      </c>
      <c r="G421" t="s" s="50">
        <v>291</v>
      </c>
      <c r="H421" s="69">
        <v>0</v>
      </c>
      <c r="I421" t="s" s="70">
        <v>292</v>
      </c>
      <c r="J421" s="48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" customHeight="1">
      <c r="A422" t="s" s="71">
        <v>721</v>
      </c>
      <c r="B422" s="64">
        <v>45904</v>
      </c>
      <c r="C422" s="61">
        <v>92</v>
      </c>
      <c r="D422" t="s" s="59">
        <v>278</v>
      </c>
      <c r="E422" t="s" s="59">
        <v>316</v>
      </c>
      <c r="F422" t="s" s="59">
        <v>48</v>
      </c>
      <c r="G422" t="s" s="59">
        <v>291</v>
      </c>
      <c r="H422" s="72">
        <v>0</v>
      </c>
      <c r="I422" t="s" s="73">
        <v>292</v>
      </c>
      <c r="J422" s="48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" customHeight="1">
      <c r="A423" t="s" s="68">
        <v>722</v>
      </c>
      <c r="B423" s="55">
        <v>45930</v>
      </c>
      <c r="C423" s="52">
        <v>92</v>
      </c>
      <c r="D423" t="s" s="50">
        <v>278</v>
      </c>
      <c r="E423" t="s" s="50">
        <v>374</v>
      </c>
      <c r="F423" t="s" s="50">
        <v>48</v>
      </c>
      <c r="G423" t="s" s="50">
        <v>291</v>
      </c>
      <c r="H423" s="69">
        <v>0</v>
      </c>
      <c r="I423" t="s" s="70">
        <v>292</v>
      </c>
      <c r="J423" s="48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" customHeight="1">
      <c r="A424" t="s" s="71">
        <v>723</v>
      </c>
      <c r="B424" s="64">
        <v>45963</v>
      </c>
      <c r="C424" s="61">
        <v>92</v>
      </c>
      <c r="D424" t="s" s="59">
        <v>278</v>
      </c>
      <c r="E424" t="s" s="59">
        <v>376</v>
      </c>
      <c r="F424" t="s" s="59">
        <v>48</v>
      </c>
      <c r="G424" t="s" s="59">
        <v>291</v>
      </c>
      <c r="H424" s="72">
        <v>0</v>
      </c>
      <c r="I424" t="s" s="73">
        <v>292</v>
      </c>
      <c r="J424" s="48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" customHeight="1">
      <c r="A425" t="s" s="68">
        <v>724</v>
      </c>
      <c r="B425" s="55">
        <v>45985</v>
      </c>
      <c r="C425" s="52">
        <v>92</v>
      </c>
      <c r="D425" t="s" s="50">
        <v>278</v>
      </c>
      <c r="E425" t="s" s="50">
        <v>488</v>
      </c>
      <c r="F425" t="s" s="50">
        <v>49</v>
      </c>
      <c r="G425" t="s" s="50">
        <v>291</v>
      </c>
      <c r="H425" s="69">
        <v>0</v>
      </c>
      <c r="I425" t="s" s="70">
        <v>292</v>
      </c>
      <c r="J425" s="48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" customHeight="1">
      <c r="A426" t="s" s="71">
        <v>725</v>
      </c>
      <c r="B426" s="64">
        <v>46019</v>
      </c>
      <c r="C426" s="61">
        <v>92</v>
      </c>
      <c r="D426" t="s" s="59">
        <v>278</v>
      </c>
      <c r="E426" t="s" s="59">
        <v>588</v>
      </c>
      <c r="F426" t="s" s="59">
        <v>51</v>
      </c>
      <c r="G426" t="s" s="59">
        <v>318</v>
      </c>
      <c r="H426" s="72">
        <v>2</v>
      </c>
      <c r="I426" t="s" s="73">
        <v>319</v>
      </c>
      <c r="J426" s="48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" customHeight="1">
      <c r="A427" t="s" s="68">
        <v>726</v>
      </c>
      <c r="B427" s="55">
        <v>46041</v>
      </c>
      <c r="C427" s="52">
        <v>92</v>
      </c>
      <c r="D427" t="s" s="50">
        <v>278</v>
      </c>
      <c r="E427" t="s" s="50">
        <v>590</v>
      </c>
      <c r="F427" t="s" s="50">
        <v>50</v>
      </c>
      <c r="G427" t="s" s="50">
        <v>291</v>
      </c>
      <c r="H427" s="69">
        <v>0</v>
      </c>
      <c r="I427" t="s" s="70">
        <v>292</v>
      </c>
      <c r="J427" s="48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" customHeight="1">
      <c r="A428" t="s" s="71">
        <v>727</v>
      </c>
      <c r="B428" s="64">
        <v>46068</v>
      </c>
      <c r="C428" s="61">
        <v>92</v>
      </c>
      <c r="D428" t="s" s="59">
        <v>278</v>
      </c>
      <c r="E428" t="s" s="59">
        <v>592</v>
      </c>
      <c r="F428" t="s" s="59">
        <v>50</v>
      </c>
      <c r="G428" t="s" s="59">
        <v>291</v>
      </c>
      <c r="H428" s="72">
        <v>0</v>
      </c>
      <c r="I428" t="s" s="73">
        <v>292</v>
      </c>
      <c r="J428" s="48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" customHeight="1">
      <c r="A429" t="s" s="68">
        <v>728</v>
      </c>
      <c r="B429" s="55">
        <v>45851</v>
      </c>
      <c r="C429" s="52">
        <v>93</v>
      </c>
      <c r="D429" t="s" s="50">
        <v>278</v>
      </c>
      <c r="E429" t="s" s="50">
        <v>290</v>
      </c>
      <c r="F429" t="s" s="50">
        <v>48</v>
      </c>
      <c r="G429" t="s" s="50">
        <v>291</v>
      </c>
      <c r="H429" s="69">
        <v>0</v>
      </c>
      <c r="I429" t="s" s="70">
        <v>292</v>
      </c>
      <c r="J429" s="48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" customHeight="1">
      <c r="A430" t="s" s="71">
        <v>729</v>
      </c>
      <c r="B430" s="64">
        <v>45874</v>
      </c>
      <c r="C430" s="61">
        <v>93</v>
      </c>
      <c r="D430" t="s" s="59">
        <v>278</v>
      </c>
      <c r="E430" t="s" s="59">
        <v>314</v>
      </c>
      <c r="F430" t="s" s="59">
        <v>48</v>
      </c>
      <c r="G430" t="s" s="59">
        <v>291</v>
      </c>
      <c r="H430" s="72">
        <v>0</v>
      </c>
      <c r="I430" t="s" s="73">
        <v>292</v>
      </c>
      <c r="J430" s="48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" customHeight="1">
      <c r="A431" t="s" s="68">
        <v>730</v>
      </c>
      <c r="B431" s="55">
        <v>45907</v>
      </c>
      <c r="C431" s="52">
        <v>93</v>
      </c>
      <c r="D431" t="s" s="50">
        <v>278</v>
      </c>
      <c r="E431" t="s" s="50">
        <v>316</v>
      </c>
      <c r="F431" t="s" s="50">
        <v>48</v>
      </c>
      <c r="G431" t="s" s="50">
        <v>291</v>
      </c>
      <c r="H431" s="69">
        <v>0</v>
      </c>
      <c r="I431" t="s" s="70">
        <v>292</v>
      </c>
      <c r="J431" s="48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" customHeight="1">
      <c r="A432" t="s" s="71">
        <v>731</v>
      </c>
      <c r="B432" s="64">
        <v>45936</v>
      </c>
      <c r="C432" s="61">
        <v>93</v>
      </c>
      <c r="D432" t="s" s="59">
        <v>278</v>
      </c>
      <c r="E432" t="s" s="59">
        <v>374</v>
      </c>
      <c r="F432" t="s" s="59">
        <v>48</v>
      </c>
      <c r="G432" t="s" s="59">
        <v>291</v>
      </c>
      <c r="H432" s="72">
        <v>0</v>
      </c>
      <c r="I432" t="s" s="73">
        <v>292</v>
      </c>
      <c r="J432" s="48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" customHeight="1">
      <c r="A433" t="s" s="68">
        <v>732</v>
      </c>
      <c r="B433" s="55">
        <v>45962</v>
      </c>
      <c r="C433" s="52">
        <v>93</v>
      </c>
      <c r="D433" t="s" s="50">
        <v>278</v>
      </c>
      <c r="E433" t="s" s="50">
        <v>376</v>
      </c>
      <c r="F433" t="s" s="50">
        <v>48</v>
      </c>
      <c r="G433" t="s" s="50">
        <v>291</v>
      </c>
      <c r="H433" s="69">
        <v>0</v>
      </c>
      <c r="I433" t="s" s="70">
        <v>292</v>
      </c>
      <c r="J433" s="48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" customHeight="1">
      <c r="A434" t="s" s="71">
        <v>733</v>
      </c>
      <c r="B434" s="64">
        <v>45986</v>
      </c>
      <c r="C434" s="61">
        <v>93</v>
      </c>
      <c r="D434" t="s" s="59">
        <v>278</v>
      </c>
      <c r="E434" t="s" s="59">
        <v>488</v>
      </c>
      <c r="F434" t="s" s="59">
        <v>49</v>
      </c>
      <c r="G434" t="s" s="59">
        <v>291</v>
      </c>
      <c r="H434" s="72">
        <v>0</v>
      </c>
      <c r="I434" t="s" s="73">
        <v>292</v>
      </c>
      <c r="J434" s="48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" customHeight="1">
      <c r="A435" t="s" s="68">
        <v>734</v>
      </c>
      <c r="B435" s="55">
        <v>46021</v>
      </c>
      <c r="C435" s="52">
        <v>93</v>
      </c>
      <c r="D435" t="s" s="50">
        <v>278</v>
      </c>
      <c r="E435" t="s" s="50">
        <v>588</v>
      </c>
      <c r="F435" t="s" s="50">
        <v>51</v>
      </c>
      <c r="G435" t="s" s="50">
        <v>318</v>
      </c>
      <c r="H435" s="69">
        <v>2</v>
      </c>
      <c r="I435" t="s" s="70">
        <v>319</v>
      </c>
      <c r="J435" s="48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" customHeight="1">
      <c r="A436" t="s" s="71">
        <v>735</v>
      </c>
      <c r="B436" s="64">
        <v>46045</v>
      </c>
      <c r="C436" s="61">
        <v>93</v>
      </c>
      <c r="D436" t="s" s="59">
        <v>278</v>
      </c>
      <c r="E436" t="s" s="59">
        <v>590</v>
      </c>
      <c r="F436" t="s" s="59">
        <v>50</v>
      </c>
      <c r="G436" t="s" s="59">
        <v>291</v>
      </c>
      <c r="H436" s="72">
        <v>0</v>
      </c>
      <c r="I436" t="s" s="73">
        <v>292</v>
      </c>
      <c r="J436" s="48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" customHeight="1">
      <c r="A437" t="s" s="68">
        <v>736</v>
      </c>
      <c r="B437" s="55">
        <v>46073</v>
      </c>
      <c r="C437" s="52">
        <v>93</v>
      </c>
      <c r="D437" t="s" s="50">
        <v>278</v>
      </c>
      <c r="E437" t="s" s="50">
        <v>592</v>
      </c>
      <c r="F437" t="s" s="50">
        <v>50</v>
      </c>
      <c r="G437" t="s" s="50">
        <v>291</v>
      </c>
      <c r="H437" s="69">
        <v>0</v>
      </c>
      <c r="I437" t="s" s="70">
        <v>292</v>
      </c>
      <c r="J437" s="48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" customHeight="1">
      <c r="A438" t="s" s="71">
        <v>737</v>
      </c>
      <c r="B438" s="64">
        <v>45854</v>
      </c>
      <c r="C438" s="61">
        <v>94</v>
      </c>
      <c r="D438" t="s" s="59">
        <v>278</v>
      </c>
      <c r="E438" t="s" s="59">
        <v>290</v>
      </c>
      <c r="F438" t="s" s="59">
        <v>48</v>
      </c>
      <c r="G438" t="s" s="59">
        <v>291</v>
      </c>
      <c r="H438" s="72">
        <v>0</v>
      </c>
      <c r="I438" t="s" s="73">
        <v>292</v>
      </c>
      <c r="J438" s="48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" customHeight="1">
      <c r="A439" t="s" s="68">
        <v>738</v>
      </c>
      <c r="B439" s="55">
        <v>45878</v>
      </c>
      <c r="C439" s="52">
        <v>94</v>
      </c>
      <c r="D439" t="s" s="50">
        <v>278</v>
      </c>
      <c r="E439" t="s" s="50">
        <v>314</v>
      </c>
      <c r="F439" t="s" s="50">
        <v>48</v>
      </c>
      <c r="G439" t="s" s="50">
        <v>318</v>
      </c>
      <c r="H439" s="69">
        <v>2</v>
      </c>
      <c r="I439" t="s" s="70">
        <v>319</v>
      </c>
      <c r="J439" s="48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" customHeight="1">
      <c r="A440" t="s" s="71">
        <v>739</v>
      </c>
      <c r="B440" s="64">
        <v>45911</v>
      </c>
      <c r="C440" s="61">
        <v>94</v>
      </c>
      <c r="D440" t="s" s="59">
        <v>278</v>
      </c>
      <c r="E440" t="s" s="59">
        <v>316</v>
      </c>
      <c r="F440" t="s" s="59">
        <v>48</v>
      </c>
      <c r="G440" t="s" s="59">
        <v>291</v>
      </c>
      <c r="H440" s="72">
        <v>0</v>
      </c>
      <c r="I440" t="s" s="73">
        <v>292</v>
      </c>
      <c r="J440" s="48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" customHeight="1">
      <c r="A441" t="s" s="68">
        <v>740</v>
      </c>
      <c r="B441" s="55">
        <v>45936</v>
      </c>
      <c r="C441" s="52">
        <v>94</v>
      </c>
      <c r="D441" t="s" s="50">
        <v>278</v>
      </c>
      <c r="E441" t="s" s="50">
        <v>374</v>
      </c>
      <c r="F441" t="s" s="50">
        <v>48</v>
      </c>
      <c r="G441" t="s" s="50">
        <v>291</v>
      </c>
      <c r="H441" s="69">
        <v>0</v>
      </c>
      <c r="I441" t="s" s="70">
        <v>292</v>
      </c>
      <c r="J441" s="48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" customHeight="1">
      <c r="A442" t="s" s="71">
        <v>741</v>
      </c>
      <c r="B442" s="64">
        <v>45962</v>
      </c>
      <c r="C442" s="61">
        <v>94</v>
      </c>
      <c r="D442" t="s" s="59">
        <v>278</v>
      </c>
      <c r="E442" t="s" s="59">
        <v>376</v>
      </c>
      <c r="F442" t="s" s="59">
        <v>48</v>
      </c>
      <c r="G442" t="s" s="59">
        <v>318</v>
      </c>
      <c r="H442" s="72">
        <v>2</v>
      </c>
      <c r="I442" t="s" s="73">
        <v>319</v>
      </c>
      <c r="J442" s="48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" customHeight="1">
      <c r="A443" t="s" s="68">
        <v>742</v>
      </c>
      <c r="B443" s="55">
        <v>45995</v>
      </c>
      <c r="C443" s="52">
        <v>94</v>
      </c>
      <c r="D443" t="s" s="50">
        <v>278</v>
      </c>
      <c r="E443" t="s" s="50">
        <v>488</v>
      </c>
      <c r="F443" t="s" s="50">
        <v>49</v>
      </c>
      <c r="G443" t="s" s="50">
        <v>318</v>
      </c>
      <c r="H443" s="69">
        <v>2</v>
      </c>
      <c r="I443" t="s" s="70">
        <v>319</v>
      </c>
      <c r="J443" s="48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" customHeight="1">
      <c r="A444" t="s" s="71">
        <v>743</v>
      </c>
      <c r="B444" s="64">
        <v>46017</v>
      </c>
      <c r="C444" s="61">
        <v>94</v>
      </c>
      <c r="D444" t="s" s="59">
        <v>278</v>
      </c>
      <c r="E444" t="s" s="59">
        <v>588</v>
      </c>
      <c r="F444" t="s" s="59">
        <v>51</v>
      </c>
      <c r="G444" t="s" s="59">
        <v>291</v>
      </c>
      <c r="H444" s="72">
        <v>0</v>
      </c>
      <c r="I444" t="s" s="73">
        <v>292</v>
      </c>
      <c r="J444" s="48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" customHeight="1">
      <c r="A445" t="s" s="68">
        <v>744</v>
      </c>
      <c r="B445" s="55">
        <v>46046</v>
      </c>
      <c r="C445" s="52">
        <v>94</v>
      </c>
      <c r="D445" t="s" s="50">
        <v>278</v>
      </c>
      <c r="E445" t="s" s="50">
        <v>590</v>
      </c>
      <c r="F445" t="s" s="50">
        <v>50</v>
      </c>
      <c r="G445" t="s" s="50">
        <v>291</v>
      </c>
      <c r="H445" s="69">
        <v>0</v>
      </c>
      <c r="I445" t="s" s="70">
        <v>292</v>
      </c>
      <c r="J445" s="48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" customHeight="1">
      <c r="A446" t="s" s="71">
        <v>745</v>
      </c>
      <c r="B446" s="64">
        <v>46079</v>
      </c>
      <c r="C446" s="61">
        <v>94</v>
      </c>
      <c r="D446" t="s" s="59">
        <v>278</v>
      </c>
      <c r="E446" t="s" s="59">
        <v>592</v>
      </c>
      <c r="F446" t="s" s="59">
        <v>50</v>
      </c>
      <c r="G446" t="s" s="59">
        <v>318</v>
      </c>
      <c r="H446" s="72">
        <v>1</v>
      </c>
      <c r="I446" t="s" s="73">
        <v>319</v>
      </c>
      <c r="J446" s="48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" customHeight="1">
      <c r="A447" t="s" s="68">
        <v>746</v>
      </c>
      <c r="B447" s="55">
        <v>45852</v>
      </c>
      <c r="C447" s="52">
        <v>95</v>
      </c>
      <c r="D447" t="s" s="50">
        <v>278</v>
      </c>
      <c r="E447" t="s" s="50">
        <v>290</v>
      </c>
      <c r="F447" t="s" s="50">
        <v>48</v>
      </c>
      <c r="G447" t="s" s="50">
        <v>291</v>
      </c>
      <c r="H447" s="69">
        <v>0</v>
      </c>
      <c r="I447" t="s" s="70">
        <v>292</v>
      </c>
      <c r="J447" s="48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" customHeight="1">
      <c r="A448" t="s" s="71">
        <v>747</v>
      </c>
      <c r="B448" s="64">
        <v>45881</v>
      </c>
      <c r="C448" s="61">
        <v>95</v>
      </c>
      <c r="D448" t="s" s="59">
        <v>278</v>
      </c>
      <c r="E448" t="s" s="59">
        <v>314</v>
      </c>
      <c r="F448" t="s" s="59">
        <v>48</v>
      </c>
      <c r="G448" t="s" s="59">
        <v>291</v>
      </c>
      <c r="H448" s="72">
        <v>0</v>
      </c>
      <c r="I448" t="s" s="73">
        <v>292</v>
      </c>
      <c r="J448" s="48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" customHeight="1">
      <c r="A449" t="s" s="68">
        <v>748</v>
      </c>
      <c r="B449" s="55">
        <v>45912</v>
      </c>
      <c r="C449" s="52">
        <v>95</v>
      </c>
      <c r="D449" t="s" s="50">
        <v>278</v>
      </c>
      <c r="E449" t="s" s="50">
        <v>316</v>
      </c>
      <c r="F449" t="s" s="50">
        <v>48</v>
      </c>
      <c r="G449" t="s" s="50">
        <v>291</v>
      </c>
      <c r="H449" s="69">
        <v>0</v>
      </c>
      <c r="I449" t="s" s="70">
        <v>292</v>
      </c>
      <c r="J449" s="48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" customHeight="1">
      <c r="A450" t="s" s="71">
        <v>749</v>
      </c>
      <c r="B450" s="64">
        <v>45938</v>
      </c>
      <c r="C450" s="61">
        <v>95</v>
      </c>
      <c r="D450" t="s" s="59">
        <v>278</v>
      </c>
      <c r="E450" t="s" s="59">
        <v>374</v>
      </c>
      <c r="F450" t="s" s="59">
        <v>48</v>
      </c>
      <c r="G450" t="s" s="59">
        <v>291</v>
      </c>
      <c r="H450" s="72">
        <v>0</v>
      </c>
      <c r="I450" t="s" s="73">
        <v>292</v>
      </c>
      <c r="J450" s="48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" customHeight="1">
      <c r="A451" t="s" s="68">
        <v>750</v>
      </c>
      <c r="B451" s="55">
        <v>45962</v>
      </c>
      <c r="C451" s="52">
        <v>95</v>
      </c>
      <c r="D451" t="s" s="50">
        <v>278</v>
      </c>
      <c r="E451" t="s" s="50">
        <v>376</v>
      </c>
      <c r="F451" t="s" s="50">
        <v>48</v>
      </c>
      <c r="G451" t="s" s="50">
        <v>291</v>
      </c>
      <c r="H451" s="69">
        <v>0</v>
      </c>
      <c r="I451" t="s" s="70">
        <v>292</v>
      </c>
      <c r="J451" s="48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" customHeight="1">
      <c r="A452" t="s" s="71">
        <v>751</v>
      </c>
      <c r="B452" s="64">
        <v>45996</v>
      </c>
      <c r="C452" s="61">
        <v>95</v>
      </c>
      <c r="D452" t="s" s="59">
        <v>278</v>
      </c>
      <c r="E452" t="s" s="59">
        <v>488</v>
      </c>
      <c r="F452" t="s" s="59">
        <v>49</v>
      </c>
      <c r="G452" t="s" s="59">
        <v>291</v>
      </c>
      <c r="H452" s="72">
        <v>0</v>
      </c>
      <c r="I452" t="s" s="73">
        <v>292</v>
      </c>
      <c r="J452" s="48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" customHeight="1">
      <c r="A453" t="s" s="68">
        <v>752</v>
      </c>
      <c r="B453" s="55">
        <v>46022</v>
      </c>
      <c r="C453" s="52">
        <v>95</v>
      </c>
      <c r="D453" t="s" s="50">
        <v>278</v>
      </c>
      <c r="E453" t="s" s="50">
        <v>588</v>
      </c>
      <c r="F453" t="s" s="50">
        <v>51</v>
      </c>
      <c r="G453" t="s" s="50">
        <v>318</v>
      </c>
      <c r="H453" s="69">
        <v>2</v>
      </c>
      <c r="I453" t="s" s="70">
        <v>319</v>
      </c>
      <c r="J453" s="48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" customHeight="1">
      <c r="A454" t="s" s="71">
        <v>753</v>
      </c>
      <c r="B454" s="64">
        <v>46052</v>
      </c>
      <c r="C454" s="61">
        <v>95</v>
      </c>
      <c r="D454" t="s" s="59">
        <v>278</v>
      </c>
      <c r="E454" t="s" s="59">
        <v>590</v>
      </c>
      <c r="F454" t="s" s="59">
        <v>50</v>
      </c>
      <c r="G454" t="s" s="59">
        <v>291</v>
      </c>
      <c r="H454" s="72">
        <v>0</v>
      </c>
      <c r="I454" t="s" s="73">
        <v>292</v>
      </c>
      <c r="J454" s="48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" customHeight="1">
      <c r="A455" t="s" s="68">
        <v>754</v>
      </c>
      <c r="B455" s="55">
        <v>46075</v>
      </c>
      <c r="C455" s="52">
        <v>95</v>
      </c>
      <c r="D455" t="s" s="50">
        <v>278</v>
      </c>
      <c r="E455" t="s" s="50">
        <v>592</v>
      </c>
      <c r="F455" t="s" s="50">
        <v>50</v>
      </c>
      <c r="G455" t="s" s="50">
        <v>291</v>
      </c>
      <c r="H455" s="69">
        <v>0</v>
      </c>
      <c r="I455" t="s" s="70">
        <v>292</v>
      </c>
      <c r="J455" s="48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" customHeight="1">
      <c r="A456" t="s" s="71">
        <v>755</v>
      </c>
      <c r="B456" s="64">
        <v>45859</v>
      </c>
      <c r="C456" s="61">
        <v>96</v>
      </c>
      <c r="D456" t="s" s="59">
        <v>278</v>
      </c>
      <c r="E456" t="s" s="59">
        <v>290</v>
      </c>
      <c r="F456" t="s" s="59">
        <v>48</v>
      </c>
      <c r="G456" t="s" s="59">
        <v>291</v>
      </c>
      <c r="H456" s="72">
        <v>0</v>
      </c>
      <c r="I456" t="s" s="73">
        <v>292</v>
      </c>
      <c r="J456" s="48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" customHeight="1">
      <c r="A457" t="s" s="68">
        <v>756</v>
      </c>
      <c r="B457" s="55">
        <v>45881</v>
      </c>
      <c r="C457" s="52">
        <v>96</v>
      </c>
      <c r="D457" t="s" s="50">
        <v>278</v>
      </c>
      <c r="E457" t="s" s="50">
        <v>314</v>
      </c>
      <c r="F457" t="s" s="50">
        <v>48</v>
      </c>
      <c r="G457" t="s" s="50">
        <v>291</v>
      </c>
      <c r="H457" s="69">
        <v>0</v>
      </c>
      <c r="I457" t="s" s="70">
        <v>292</v>
      </c>
      <c r="J457" s="48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" customHeight="1">
      <c r="A458" t="s" s="71">
        <v>757</v>
      </c>
      <c r="B458" s="64">
        <v>45912</v>
      </c>
      <c r="C458" s="61">
        <v>96</v>
      </c>
      <c r="D458" t="s" s="59">
        <v>278</v>
      </c>
      <c r="E458" t="s" s="59">
        <v>316</v>
      </c>
      <c r="F458" t="s" s="59">
        <v>48</v>
      </c>
      <c r="G458" t="s" s="59">
        <v>291</v>
      </c>
      <c r="H458" s="72">
        <v>0</v>
      </c>
      <c r="I458" t="s" s="73">
        <v>292</v>
      </c>
      <c r="J458" s="48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" customHeight="1">
      <c r="A459" t="s" s="68">
        <v>758</v>
      </c>
      <c r="B459" s="55">
        <v>45938</v>
      </c>
      <c r="C459" s="52">
        <v>96</v>
      </c>
      <c r="D459" t="s" s="50">
        <v>278</v>
      </c>
      <c r="E459" t="s" s="50">
        <v>374</v>
      </c>
      <c r="F459" t="s" s="50">
        <v>48</v>
      </c>
      <c r="G459" t="s" s="50">
        <v>291</v>
      </c>
      <c r="H459" s="69">
        <v>0</v>
      </c>
      <c r="I459" t="s" s="70">
        <v>292</v>
      </c>
      <c r="J459" s="48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" customHeight="1">
      <c r="A460" t="s" s="71">
        <v>759</v>
      </c>
      <c r="B460" s="64">
        <v>45965</v>
      </c>
      <c r="C460" s="61">
        <v>96</v>
      </c>
      <c r="D460" t="s" s="59">
        <v>278</v>
      </c>
      <c r="E460" t="s" s="59">
        <v>376</v>
      </c>
      <c r="F460" t="s" s="59">
        <v>48</v>
      </c>
      <c r="G460" t="s" s="59">
        <v>318</v>
      </c>
      <c r="H460" s="72">
        <v>1</v>
      </c>
      <c r="I460" t="s" s="73">
        <v>319</v>
      </c>
      <c r="J460" s="48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" customHeight="1">
      <c r="A461" t="s" s="68">
        <v>760</v>
      </c>
      <c r="B461" s="55">
        <v>45994</v>
      </c>
      <c r="C461" s="52">
        <v>96</v>
      </c>
      <c r="D461" t="s" s="50">
        <v>278</v>
      </c>
      <c r="E461" t="s" s="50">
        <v>488</v>
      </c>
      <c r="F461" t="s" s="50">
        <v>49</v>
      </c>
      <c r="G461" t="s" s="50">
        <v>291</v>
      </c>
      <c r="H461" s="69">
        <v>0</v>
      </c>
      <c r="I461" t="s" s="70">
        <v>292</v>
      </c>
      <c r="J461" s="48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" customHeight="1">
      <c r="A462" t="s" s="71">
        <v>761</v>
      </c>
      <c r="B462" s="64">
        <v>46022</v>
      </c>
      <c r="C462" s="61">
        <v>96</v>
      </c>
      <c r="D462" t="s" s="59">
        <v>278</v>
      </c>
      <c r="E462" t="s" s="59">
        <v>588</v>
      </c>
      <c r="F462" t="s" s="59">
        <v>51</v>
      </c>
      <c r="G462" t="s" s="59">
        <v>291</v>
      </c>
      <c r="H462" s="72">
        <v>0</v>
      </c>
      <c r="I462" t="s" s="73">
        <v>292</v>
      </c>
      <c r="J462" s="48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" customHeight="1">
      <c r="A463" t="s" s="68">
        <v>762</v>
      </c>
      <c r="B463" s="55">
        <v>46055</v>
      </c>
      <c r="C463" s="52">
        <v>96</v>
      </c>
      <c r="D463" t="s" s="50">
        <v>278</v>
      </c>
      <c r="E463" t="s" s="50">
        <v>590</v>
      </c>
      <c r="F463" t="s" s="50">
        <v>50</v>
      </c>
      <c r="G463" t="s" s="50">
        <v>291</v>
      </c>
      <c r="H463" s="69">
        <v>0</v>
      </c>
      <c r="I463" t="s" s="70">
        <v>292</v>
      </c>
      <c r="J463" s="48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" customHeight="1">
      <c r="A464" t="s" s="71">
        <v>763</v>
      </c>
      <c r="B464" s="64">
        <v>46080</v>
      </c>
      <c r="C464" s="61">
        <v>96</v>
      </c>
      <c r="D464" t="s" s="59">
        <v>278</v>
      </c>
      <c r="E464" t="s" s="59">
        <v>592</v>
      </c>
      <c r="F464" t="s" s="59">
        <v>50</v>
      </c>
      <c r="G464" t="s" s="59">
        <v>291</v>
      </c>
      <c r="H464" s="72">
        <v>0</v>
      </c>
      <c r="I464" t="s" s="73">
        <v>292</v>
      </c>
      <c r="J464" s="48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" customHeight="1">
      <c r="A465" t="s" s="68">
        <v>764</v>
      </c>
      <c r="B465" s="55">
        <v>45861</v>
      </c>
      <c r="C465" s="52">
        <v>97</v>
      </c>
      <c r="D465" t="s" s="50">
        <v>278</v>
      </c>
      <c r="E465" t="s" s="50">
        <v>290</v>
      </c>
      <c r="F465" t="s" s="50">
        <v>48</v>
      </c>
      <c r="G465" t="s" s="50">
        <v>291</v>
      </c>
      <c r="H465" s="69">
        <v>0</v>
      </c>
      <c r="I465" t="s" s="70">
        <v>292</v>
      </c>
      <c r="J465" s="48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" customHeight="1">
      <c r="A466" t="s" s="71">
        <v>765</v>
      </c>
      <c r="B466" s="64">
        <v>45887</v>
      </c>
      <c r="C466" s="61">
        <v>97</v>
      </c>
      <c r="D466" t="s" s="59">
        <v>278</v>
      </c>
      <c r="E466" t="s" s="59">
        <v>314</v>
      </c>
      <c r="F466" t="s" s="59">
        <v>48</v>
      </c>
      <c r="G466" t="s" s="59">
        <v>291</v>
      </c>
      <c r="H466" s="72">
        <v>0</v>
      </c>
      <c r="I466" t="s" s="73">
        <v>292</v>
      </c>
      <c r="J466" s="48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" customHeight="1">
      <c r="A467" t="s" s="68">
        <v>766</v>
      </c>
      <c r="B467" s="55">
        <v>45915</v>
      </c>
      <c r="C467" s="52">
        <v>97</v>
      </c>
      <c r="D467" t="s" s="50">
        <v>278</v>
      </c>
      <c r="E467" t="s" s="50">
        <v>316</v>
      </c>
      <c r="F467" t="s" s="50">
        <v>48</v>
      </c>
      <c r="G467" t="s" s="50">
        <v>318</v>
      </c>
      <c r="H467" s="69">
        <v>1</v>
      </c>
      <c r="I467" t="s" s="70">
        <v>319</v>
      </c>
      <c r="J467" s="48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" customHeight="1">
      <c r="A468" t="s" s="71">
        <v>767</v>
      </c>
      <c r="B468" s="64">
        <v>45939</v>
      </c>
      <c r="C468" s="61">
        <v>97</v>
      </c>
      <c r="D468" t="s" s="59">
        <v>278</v>
      </c>
      <c r="E468" t="s" s="59">
        <v>374</v>
      </c>
      <c r="F468" t="s" s="59">
        <v>48</v>
      </c>
      <c r="G468" t="s" s="59">
        <v>291</v>
      </c>
      <c r="H468" s="72">
        <v>0</v>
      </c>
      <c r="I468" t="s" s="73">
        <v>292</v>
      </c>
      <c r="J468" s="48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" customHeight="1">
      <c r="A469" t="s" s="68">
        <v>768</v>
      </c>
      <c r="B469" s="55">
        <v>45973</v>
      </c>
      <c r="C469" s="52">
        <v>97</v>
      </c>
      <c r="D469" t="s" s="50">
        <v>278</v>
      </c>
      <c r="E469" t="s" s="50">
        <v>376</v>
      </c>
      <c r="F469" t="s" s="50">
        <v>48</v>
      </c>
      <c r="G469" t="s" s="50">
        <v>291</v>
      </c>
      <c r="H469" s="69">
        <v>0</v>
      </c>
      <c r="I469" t="s" s="70">
        <v>292</v>
      </c>
      <c r="J469" s="48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" customHeight="1">
      <c r="A470" t="s" s="71">
        <v>769</v>
      </c>
      <c r="B470" s="64">
        <v>45998</v>
      </c>
      <c r="C470" s="61">
        <v>97</v>
      </c>
      <c r="D470" t="s" s="59">
        <v>278</v>
      </c>
      <c r="E470" t="s" s="59">
        <v>488</v>
      </c>
      <c r="F470" t="s" s="59">
        <v>49</v>
      </c>
      <c r="G470" t="s" s="59">
        <v>291</v>
      </c>
      <c r="H470" s="72">
        <v>0</v>
      </c>
      <c r="I470" t="s" s="73">
        <v>292</v>
      </c>
      <c r="J470" s="48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" customHeight="1">
      <c r="A471" t="s" s="68">
        <v>770</v>
      </c>
      <c r="B471" s="55">
        <v>46024</v>
      </c>
      <c r="C471" s="52">
        <v>97</v>
      </c>
      <c r="D471" t="s" s="50">
        <v>278</v>
      </c>
      <c r="E471" t="s" s="50">
        <v>588</v>
      </c>
      <c r="F471" t="s" s="50">
        <v>51</v>
      </c>
      <c r="G471" t="s" s="50">
        <v>291</v>
      </c>
      <c r="H471" s="69">
        <v>0</v>
      </c>
      <c r="I471" t="s" s="70">
        <v>292</v>
      </c>
      <c r="J471" s="48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" customHeight="1">
      <c r="A472" t="s" s="71">
        <v>771</v>
      </c>
      <c r="B472" s="64">
        <v>46052</v>
      </c>
      <c r="C472" s="61">
        <v>97</v>
      </c>
      <c r="D472" t="s" s="59">
        <v>278</v>
      </c>
      <c r="E472" t="s" s="59">
        <v>590</v>
      </c>
      <c r="F472" t="s" s="59">
        <v>50</v>
      </c>
      <c r="G472" t="s" s="59">
        <v>291</v>
      </c>
      <c r="H472" s="72">
        <v>0</v>
      </c>
      <c r="I472" t="s" s="73">
        <v>292</v>
      </c>
      <c r="J472" s="48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" customHeight="1">
      <c r="A473" t="s" s="68">
        <v>772</v>
      </c>
      <c r="B473" s="55">
        <v>46085</v>
      </c>
      <c r="C473" s="52">
        <v>97</v>
      </c>
      <c r="D473" t="s" s="50">
        <v>278</v>
      </c>
      <c r="E473" t="s" s="50">
        <v>592</v>
      </c>
      <c r="F473" t="s" s="50">
        <v>50</v>
      </c>
      <c r="G473" t="s" s="50">
        <v>291</v>
      </c>
      <c r="H473" s="69">
        <v>0</v>
      </c>
      <c r="I473" t="s" s="70">
        <v>292</v>
      </c>
      <c r="J473" s="48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" customHeight="1">
      <c r="A474" t="s" s="71">
        <v>773</v>
      </c>
      <c r="B474" s="64">
        <v>46112</v>
      </c>
      <c r="C474" s="61">
        <v>97</v>
      </c>
      <c r="D474" t="s" s="59">
        <v>278</v>
      </c>
      <c r="E474" t="s" s="59">
        <v>774</v>
      </c>
      <c r="F474" t="s" s="59">
        <v>775</v>
      </c>
      <c r="G474" t="s" s="59">
        <v>291</v>
      </c>
      <c r="H474" s="72">
        <v>0</v>
      </c>
      <c r="I474" t="s" s="73">
        <v>292</v>
      </c>
      <c r="J474" s="48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" customHeight="1">
      <c r="A475" t="s" s="68">
        <v>776</v>
      </c>
      <c r="B475" s="55">
        <v>45862</v>
      </c>
      <c r="C475" s="52">
        <v>98</v>
      </c>
      <c r="D475" t="s" s="50">
        <v>278</v>
      </c>
      <c r="E475" t="s" s="50">
        <v>290</v>
      </c>
      <c r="F475" t="s" s="50">
        <v>48</v>
      </c>
      <c r="G475" t="s" s="50">
        <v>291</v>
      </c>
      <c r="H475" s="69">
        <v>0</v>
      </c>
      <c r="I475" t="s" s="70">
        <v>292</v>
      </c>
      <c r="J475" s="48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" customHeight="1">
      <c r="A476" t="s" s="71">
        <v>777</v>
      </c>
      <c r="B476" s="64">
        <v>45886</v>
      </c>
      <c r="C476" s="61">
        <v>98</v>
      </c>
      <c r="D476" t="s" s="59">
        <v>278</v>
      </c>
      <c r="E476" t="s" s="59">
        <v>314</v>
      </c>
      <c r="F476" t="s" s="59">
        <v>48</v>
      </c>
      <c r="G476" t="s" s="59">
        <v>318</v>
      </c>
      <c r="H476" s="72">
        <v>1</v>
      </c>
      <c r="I476" t="s" s="73">
        <v>319</v>
      </c>
      <c r="J476" s="48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" customHeight="1">
      <c r="A477" t="s" s="68">
        <v>778</v>
      </c>
      <c r="B477" s="55">
        <v>45914</v>
      </c>
      <c r="C477" s="52">
        <v>98</v>
      </c>
      <c r="D477" t="s" s="50">
        <v>278</v>
      </c>
      <c r="E477" t="s" s="50">
        <v>316</v>
      </c>
      <c r="F477" t="s" s="50">
        <v>48</v>
      </c>
      <c r="G477" t="s" s="50">
        <v>318</v>
      </c>
      <c r="H477" s="69">
        <v>1</v>
      </c>
      <c r="I477" t="s" s="70">
        <v>319</v>
      </c>
      <c r="J477" s="48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" customHeight="1">
      <c r="A478" t="s" s="71">
        <v>779</v>
      </c>
      <c r="B478" s="64">
        <v>45946</v>
      </c>
      <c r="C478" s="61">
        <v>98</v>
      </c>
      <c r="D478" t="s" s="59">
        <v>278</v>
      </c>
      <c r="E478" t="s" s="59">
        <v>374</v>
      </c>
      <c r="F478" t="s" s="59">
        <v>48</v>
      </c>
      <c r="G478" t="s" s="59">
        <v>291</v>
      </c>
      <c r="H478" s="72">
        <v>0</v>
      </c>
      <c r="I478" t="s" s="73">
        <v>292</v>
      </c>
      <c r="J478" s="48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" customHeight="1">
      <c r="A479" t="s" s="68">
        <v>780</v>
      </c>
      <c r="B479" s="55">
        <v>45968</v>
      </c>
      <c r="C479" s="52">
        <v>98</v>
      </c>
      <c r="D479" t="s" s="50">
        <v>278</v>
      </c>
      <c r="E479" t="s" s="50">
        <v>376</v>
      </c>
      <c r="F479" t="s" s="50">
        <v>48</v>
      </c>
      <c r="G479" t="s" s="50">
        <v>291</v>
      </c>
      <c r="H479" s="69">
        <v>0</v>
      </c>
      <c r="I479" t="s" s="70">
        <v>292</v>
      </c>
      <c r="J479" s="48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" customHeight="1">
      <c r="A480" t="s" s="71">
        <v>781</v>
      </c>
      <c r="B480" s="64">
        <v>46001</v>
      </c>
      <c r="C480" s="61">
        <v>98</v>
      </c>
      <c r="D480" t="s" s="59">
        <v>278</v>
      </c>
      <c r="E480" t="s" s="59">
        <v>488</v>
      </c>
      <c r="F480" t="s" s="59">
        <v>49</v>
      </c>
      <c r="G480" t="s" s="59">
        <v>291</v>
      </c>
      <c r="H480" s="72">
        <v>0</v>
      </c>
      <c r="I480" t="s" s="73">
        <v>292</v>
      </c>
      <c r="J480" s="48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" customHeight="1">
      <c r="A481" t="s" s="68">
        <v>782</v>
      </c>
      <c r="B481" s="55">
        <v>46024</v>
      </c>
      <c r="C481" s="52">
        <v>98</v>
      </c>
      <c r="D481" t="s" s="50">
        <v>278</v>
      </c>
      <c r="E481" t="s" s="50">
        <v>588</v>
      </c>
      <c r="F481" t="s" s="50">
        <v>51</v>
      </c>
      <c r="G481" t="s" s="50">
        <v>291</v>
      </c>
      <c r="H481" s="69">
        <v>0</v>
      </c>
      <c r="I481" t="s" s="70">
        <v>292</v>
      </c>
      <c r="J481" s="48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" customHeight="1">
      <c r="A482" t="s" s="71">
        <v>783</v>
      </c>
      <c r="B482" s="64">
        <v>46059</v>
      </c>
      <c r="C482" s="61">
        <v>98</v>
      </c>
      <c r="D482" t="s" s="59">
        <v>278</v>
      </c>
      <c r="E482" t="s" s="59">
        <v>590</v>
      </c>
      <c r="F482" t="s" s="59">
        <v>50</v>
      </c>
      <c r="G482" t="s" s="59">
        <v>318</v>
      </c>
      <c r="H482" s="72">
        <v>1</v>
      </c>
      <c r="I482" t="s" s="73">
        <v>319</v>
      </c>
      <c r="J482" s="48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" customHeight="1">
      <c r="A483" t="s" s="68">
        <v>784</v>
      </c>
      <c r="B483" s="55">
        <v>46085</v>
      </c>
      <c r="C483" s="52">
        <v>98</v>
      </c>
      <c r="D483" t="s" s="50">
        <v>278</v>
      </c>
      <c r="E483" t="s" s="50">
        <v>592</v>
      </c>
      <c r="F483" t="s" s="50">
        <v>50</v>
      </c>
      <c r="G483" t="s" s="50">
        <v>291</v>
      </c>
      <c r="H483" s="69">
        <v>0</v>
      </c>
      <c r="I483" t="s" s="70">
        <v>292</v>
      </c>
      <c r="J483" s="48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" customHeight="1">
      <c r="A484" t="s" s="71">
        <v>785</v>
      </c>
      <c r="B484" s="64">
        <v>46107</v>
      </c>
      <c r="C484" s="61">
        <v>98</v>
      </c>
      <c r="D484" t="s" s="59">
        <v>278</v>
      </c>
      <c r="E484" t="s" s="59">
        <v>774</v>
      </c>
      <c r="F484" t="s" s="59">
        <v>775</v>
      </c>
      <c r="G484" t="s" s="59">
        <v>291</v>
      </c>
      <c r="H484" s="72">
        <v>0</v>
      </c>
      <c r="I484" t="s" s="73">
        <v>292</v>
      </c>
      <c r="J484" s="48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" customHeight="1">
      <c r="A485" t="s" s="68">
        <v>786</v>
      </c>
      <c r="B485" s="55">
        <v>45861</v>
      </c>
      <c r="C485" s="52">
        <v>99</v>
      </c>
      <c r="D485" t="s" s="50">
        <v>278</v>
      </c>
      <c r="E485" t="s" s="50">
        <v>290</v>
      </c>
      <c r="F485" t="s" s="50">
        <v>48</v>
      </c>
      <c r="G485" t="s" s="50">
        <v>291</v>
      </c>
      <c r="H485" s="69">
        <v>0</v>
      </c>
      <c r="I485" t="s" s="70">
        <v>292</v>
      </c>
      <c r="J485" s="48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" customHeight="1">
      <c r="A486" t="s" s="71">
        <v>787</v>
      </c>
      <c r="B486" s="64">
        <v>45893</v>
      </c>
      <c r="C486" s="61">
        <v>99</v>
      </c>
      <c r="D486" t="s" s="59">
        <v>278</v>
      </c>
      <c r="E486" t="s" s="59">
        <v>314</v>
      </c>
      <c r="F486" t="s" s="59">
        <v>48</v>
      </c>
      <c r="G486" t="s" s="59">
        <v>291</v>
      </c>
      <c r="H486" s="72">
        <v>0</v>
      </c>
      <c r="I486" t="s" s="73">
        <v>292</v>
      </c>
      <c r="J486" s="48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" customHeight="1">
      <c r="A487" t="s" s="68">
        <v>788</v>
      </c>
      <c r="B487" s="55">
        <v>45919</v>
      </c>
      <c r="C487" s="52">
        <v>99</v>
      </c>
      <c r="D487" t="s" s="50">
        <v>278</v>
      </c>
      <c r="E487" t="s" s="50">
        <v>316</v>
      </c>
      <c r="F487" t="s" s="50">
        <v>48</v>
      </c>
      <c r="G487" t="s" s="50">
        <v>291</v>
      </c>
      <c r="H487" s="69">
        <v>0</v>
      </c>
      <c r="I487" t="s" s="70">
        <v>292</v>
      </c>
      <c r="J487" s="48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" customHeight="1">
      <c r="A488" t="s" s="71">
        <v>789</v>
      </c>
      <c r="B488" s="64">
        <v>45944</v>
      </c>
      <c r="C488" s="61">
        <v>99</v>
      </c>
      <c r="D488" t="s" s="59">
        <v>278</v>
      </c>
      <c r="E488" t="s" s="59">
        <v>374</v>
      </c>
      <c r="F488" t="s" s="59">
        <v>48</v>
      </c>
      <c r="G488" t="s" s="59">
        <v>291</v>
      </c>
      <c r="H488" s="72">
        <v>0</v>
      </c>
      <c r="I488" t="s" s="73">
        <v>292</v>
      </c>
      <c r="J488" s="48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" customHeight="1">
      <c r="A489" t="s" s="68">
        <v>790</v>
      </c>
      <c r="B489" s="55">
        <v>45975</v>
      </c>
      <c r="C489" s="52">
        <v>99</v>
      </c>
      <c r="D489" t="s" s="50">
        <v>278</v>
      </c>
      <c r="E489" t="s" s="50">
        <v>376</v>
      </c>
      <c r="F489" t="s" s="50">
        <v>48</v>
      </c>
      <c r="G489" t="s" s="50">
        <v>291</v>
      </c>
      <c r="H489" s="69">
        <v>0</v>
      </c>
      <c r="I489" t="s" s="70">
        <v>292</v>
      </c>
      <c r="J489" s="48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" customHeight="1">
      <c r="A490" t="s" s="71">
        <v>791</v>
      </c>
      <c r="B490" s="64">
        <v>46002</v>
      </c>
      <c r="C490" s="61">
        <v>99</v>
      </c>
      <c r="D490" t="s" s="59">
        <v>278</v>
      </c>
      <c r="E490" t="s" s="59">
        <v>488</v>
      </c>
      <c r="F490" t="s" s="59">
        <v>49</v>
      </c>
      <c r="G490" t="s" s="59">
        <v>291</v>
      </c>
      <c r="H490" s="72">
        <v>0</v>
      </c>
      <c r="I490" t="s" s="73">
        <v>292</v>
      </c>
      <c r="J490" s="48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" customHeight="1">
      <c r="A491" t="s" s="68">
        <v>792</v>
      </c>
      <c r="B491" s="55">
        <v>46027</v>
      </c>
      <c r="C491" s="52">
        <v>99</v>
      </c>
      <c r="D491" t="s" s="50">
        <v>278</v>
      </c>
      <c r="E491" t="s" s="50">
        <v>588</v>
      </c>
      <c r="F491" t="s" s="50">
        <v>51</v>
      </c>
      <c r="G491" t="s" s="50">
        <v>291</v>
      </c>
      <c r="H491" s="69">
        <v>0</v>
      </c>
      <c r="I491" t="s" s="70">
        <v>292</v>
      </c>
      <c r="J491" s="48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" customHeight="1">
      <c r="A492" t="s" s="71">
        <v>793</v>
      </c>
      <c r="B492" s="64">
        <v>46059</v>
      </c>
      <c r="C492" s="61">
        <v>99</v>
      </c>
      <c r="D492" t="s" s="59">
        <v>278</v>
      </c>
      <c r="E492" t="s" s="59">
        <v>590</v>
      </c>
      <c r="F492" t="s" s="59">
        <v>50</v>
      </c>
      <c r="G492" t="s" s="59">
        <v>291</v>
      </c>
      <c r="H492" s="72">
        <v>0</v>
      </c>
      <c r="I492" t="s" s="73">
        <v>292</v>
      </c>
      <c r="J492" s="48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" customHeight="1">
      <c r="A493" t="s" s="68">
        <v>794</v>
      </c>
      <c r="B493" s="55">
        <v>46089</v>
      </c>
      <c r="C493" s="52">
        <v>99</v>
      </c>
      <c r="D493" t="s" s="50">
        <v>278</v>
      </c>
      <c r="E493" t="s" s="50">
        <v>592</v>
      </c>
      <c r="F493" t="s" s="50">
        <v>50</v>
      </c>
      <c r="G493" t="s" s="50">
        <v>291</v>
      </c>
      <c r="H493" s="69">
        <v>0</v>
      </c>
      <c r="I493" t="s" s="70">
        <v>292</v>
      </c>
      <c r="J493" s="48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" customHeight="1">
      <c r="A494" t="s" s="71">
        <v>795</v>
      </c>
      <c r="B494" s="64">
        <v>46110</v>
      </c>
      <c r="C494" s="61">
        <v>99</v>
      </c>
      <c r="D494" t="s" s="59">
        <v>278</v>
      </c>
      <c r="E494" t="s" s="59">
        <v>774</v>
      </c>
      <c r="F494" t="s" s="59">
        <v>775</v>
      </c>
      <c r="G494" t="s" s="59">
        <v>507</v>
      </c>
      <c r="H494" s="72">
        <v>2</v>
      </c>
      <c r="I494" t="s" s="73">
        <v>508</v>
      </c>
      <c r="J494" s="48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" customHeight="1">
      <c r="A495" t="s" s="68">
        <v>796</v>
      </c>
      <c r="B495" s="55">
        <v>45860</v>
      </c>
      <c r="C495" s="52">
        <v>100</v>
      </c>
      <c r="D495" t="s" s="50">
        <v>278</v>
      </c>
      <c r="E495" t="s" s="50">
        <v>290</v>
      </c>
      <c r="F495" t="s" s="50">
        <v>48</v>
      </c>
      <c r="G495" t="s" s="50">
        <v>291</v>
      </c>
      <c r="H495" s="69">
        <v>0</v>
      </c>
      <c r="I495" t="s" s="70">
        <v>292</v>
      </c>
      <c r="J495" s="48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" customHeight="1">
      <c r="A496" t="s" s="71">
        <v>797</v>
      </c>
      <c r="B496" s="64">
        <v>45891</v>
      </c>
      <c r="C496" s="61">
        <v>100</v>
      </c>
      <c r="D496" t="s" s="59">
        <v>278</v>
      </c>
      <c r="E496" t="s" s="59">
        <v>314</v>
      </c>
      <c r="F496" t="s" s="59">
        <v>48</v>
      </c>
      <c r="G496" t="s" s="59">
        <v>291</v>
      </c>
      <c r="H496" s="72">
        <v>0</v>
      </c>
      <c r="I496" t="s" s="73">
        <v>292</v>
      </c>
      <c r="J496" s="48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" customHeight="1">
      <c r="A497" t="s" s="68">
        <v>798</v>
      </c>
      <c r="B497" s="55">
        <v>45919</v>
      </c>
      <c r="C497" s="52">
        <v>100</v>
      </c>
      <c r="D497" t="s" s="50">
        <v>278</v>
      </c>
      <c r="E497" t="s" s="50">
        <v>316</v>
      </c>
      <c r="F497" t="s" s="50">
        <v>48</v>
      </c>
      <c r="G497" t="s" s="50">
        <v>291</v>
      </c>
      <c r="H497" s="69">
        <v>0</v>
      </c>
      <c r="I497" t="s" s="70">
        <v>292</v>
      </c>
      <c r="J497" s="48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" customHeight="1">
      <c r="A498" t="s" s="71">
        <v>799</v>
      </c>
      <c r="B498" s="64">
        <v>45950</v>
      </c>
      <c r="C498" s="61">
        <v>100</v>
      </c>
      <c r="D498" t="s" s="59">
        <v>278</v>
      </c>
      <c r="E498" t="s" s="59">
        <v>374</v>
      </c>
      <c r="F498" t="s" s="59">
        <v>48</v>
      </c>
      <c r="G498" t="s" s="59">
        <v>291</v>
      </c>
      <c r="H498" s="72">
        <v>0</v>
      </c>
      <c r="I498" t="s" s="73">
        <v>292</v>
      </c>
      <c r="J498" s="48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" customHeight="1">
      <c r="A499" t="s" s="68">
        <v>800</v>
      </c>
      <c r="B499" s="55">
        <v>45974</v>
      </c>
      <c r="C499" s="52">
        <v>100</v>
      </c>
      <c r="D499" t="s" s="50">
        <v>278</v>
      </c>
      <c r="E499" t="s" s="50">
        <v>376</v>
      </c>
      <c r="F499" t="s" s="50">
        <v>48</v>
      </c>
      <c r="G499" t="s" s="50">
        <v>291</v>
      </c>
      <c r="H499" s="69">
        <v>0</v>
      </c>
      <c r="I499" t="s" s="70">
        <v>292</v>
      </c>
      <c r="J499" s="48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" customHeight="1">
      <c r="A500" t="s" s="71">
        <v>801</v>
      </c>
      <c r="B500" s="64">
        <v>46002</v>
      </c>
      <c r="C500" s="61">
        <v>100</v>
      </c>
      <c r="D500" t="s" s="59">
        <v>278</v>
      </c>
      <c r="E500" t="s" s="59">
        <v>488</v>
      </c>
      <c r="F500" t="s" s="59">
        <v>49</v>
      </c>
      <c r="G500" t="s" s="59">
        <v>291</v>
      </c>
      <c r="H500" s="72">
        <v>0</v>
      </c>
      <c r="I500" t="s" s="73">
        <v>292</v>
      </c>
      <c r="J500" s="48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" customHeight="1">
      <c r="A501" t="s" s="68">
        <v>802</v>
      </c>
      <c r="B501" s="55">
        <v>46031</v>
      </c>
      <c r="C501" s="52">
        <v>100</v>
      </c>
      <c r="D501" t="s" s="50">
        <v>278</v>
      </c>
      <c r="E501" t="s" s="50">
        <v>588</v>
      </c>
      <c r="F501" t="s" s="50">
        <v>51</v>
      </c>
      <c r="G501" t="s" s="50">
        <v>291</v>
      </c>
      <c r="H501" s="69">
        <v>0</v>
      </c>
      <c r="I501" t="s" s="70">
        <v>292</v>
      </c>
      <c r="J501" s="48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" customHeight="1">
      <c r="A502" t="s" s="71">
        <v>803</v>
      </c>
      <c r="B502" s="64">
        <v>46062</v>
      </c>
      <c r="C502" s="61">
        <v>100</v>
      </c>
      <c r="D502" t="s" s="59">
        <v>278</v>
      </c>
      <c r="E502" t="s" s="59">
        <v>590</v>
      </c>
      <c r="F502" t="s" s="59">
        <v>50</v>
      </c>
      <c r="G502" t="s" s="59">
        <v>291</v>
      </c>
      <c r="H502" s="72">
        <v>0</v>
      </c>
      <c r="I502" t="s" s="73">
        <v>292</v>
      </c>
      <c r="J502" s="48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" customHeight="1">
      <c r="A503" t="s" s="68">
        <v>804</v>
      </c>
      <c r="B503" s="55">
        <v>46084</v>
      </c>
      <c r="C503" s="52">
        <v>100</v>
      </c>
      <c r="D503" t="s" s="50">
        <v>278</v>
      </c>
      <c r="E503" t="s" s="50">
        <v>592</v>
      </c>
      <c r="F503" t="s" s="50">
        <v>50</v>
      </c>
      <c r="G503" t="s" s="50">
        <v>291</v>
      </c>
      <c r="H503" s="69">
        <v>0</v>
      </c>
      <c r="I503" t="s" s="70">
        <v>292</v>
      </c>
      <c r="J503" s="48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" customHeight="1">
      <c r="A504" t="s" s="71">
        <v>805</v>
      </c>
      <c r="B504" s="64">
        <v>46107</v>
      </c>
      <c r="C504" s="61">
        <v>100</v>
      </c>
      <c r="D504" t="s" s="59">
        <v>278</v>
      </c>
      <c r="E504" t="s" s="59">
        <v>774</v>
      </c>
      <c r="F504" t="s" s="59">
        <v>775</v>
      </c>
      <c r="G504" t="s" s="59">
        <v>291</v>
      </c>
      <c r="H504" s="72">
        <v>0</v>
      </c>
      <c r="I504" t="s" s="73">
        <v>292</v>
      </c>
      <c r="J504" s="48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" customHeight="1">
      <c r="A505" t="s" s="68">
        <v>806</v>
      </c>
      <c r="B505" s="55">
        <v>45862</v>
      </c>
      <c r="C505" s="52">
        <v>101</v>
      </c>
      <c r="D505" t="s" s="50">
        <v>278</v>
      </c>
      <c r="E505" t="s" s="50">
        <v>290</v>
      </c>
      <c r="F505" t="s" s="50">
        <v>48</v>
      </c>
      <c r="G505" t="s" s="50">
        <v>318</v>
      </c>
      <c r="H505" s="69">
        <v>2</v>
      </c>
      <c r="I505" t="s" s="70">
        <v>319</v>
      </c>
      <c r="J505" s="48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" customHeight="1">
      <c r="A506" t="s" s="71">
        <v>807</v>
      </c>
      <c r="B506" s="64">
        <v>45890</v>
      </c>
      <c r="C506" s="61">
        <v>101</v>
      </c>
      <c r="D506" t="s" s="59">
        <v>278</v>
      </c>
      <c r="E506" t="s" s="59">
        <v>314</v>
      </c>
      <c r="F506" t="s" s="59">
        <v>48</v>
      </c>
      <c r="G506" t="s" s="59">
        <v>318</v>
      </c>
      <c r="H506" s="72">
        <v>2</v>
      </c>
      <c r="I506" t="s" s="73">
        <v>319</v>
      </c>
      <c r="J506" s="48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" customHeight="1">
      <c r="A507" t="s" s="68">
        <v>808</v>
      </c>
      <c r="B507" s="55">
        <v>45919</v>
      </c>
      <c r="C507" s="52">
        <v>101</v>
      </c>
      <c r="D507" t="s" s="50">
        <v>278</v>
      </c>
      <c r="E507" t="s" s="50">
        <v>316</v>
      </c>
      <c r="F507" t="s" s="50">
        <v>48</v>
      </c>
      <c r="G507" t="s" s="50">
        <v>291</v>
      </c>
      <c r="H507" s="69">
        <v>0</v>
      </c>
      <c r="I507" t="s" s="70">
        <v>292</v>
      </c>
      <c r="J507" s="48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" customHeight="1">
      <c r="A508" t="s" s="71">
        <v>809</v>
      </c>
      <c r="B508" s="64">
        <v>45949</v>
      </c>
      <c r="C508" s="61">
        <v>101</v>
      </c>
      <c r="D508" t="s" s="59">
        <v>278</v>
      </c>
      <c r="E508" t="s" s="59">
        <v>374</v>
      </c>
      <c r="F508" t="s" s="59">
        <v>48</v>
      </c>
      <c r="G508" t="s" s="59">
        <v>291</v>
      </c>
      <c r="H508" s="72">
        <v>0</v>
      </c>
      <c r="I508" t="s" s="73">
        <v>292</v>
      </c>
      <c r="J508" s="48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" customHeight="1">
      <c r="A509" t="s" s="68">
        <v>810</v>
      </c>
      <c r="B509" s="55">
        <v>45977</v>
      </c>
      <c r="C509" s="52">
        <v>101</v>
      </c>
      <c r="D509" t="s" s="50">
        <v>278</v>
      </c>
      <c r="E509" t="s" s="50">
        <v>376</v>
      </c>
      <c r="F509" t="s" s="50">
        <v>48</v>
      </c>
      <c r="G509" t="s" s="50">
        <v>291</v>
      </c>
      <c r="H509" s="69">
        <v>0</v>
      </c>
      <c r="I509" t="s" s="70">
        <v>292</v>
      </c>
      <c r="J509" s="48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" customHeight="1">
      <c r="A510" t="s" s="71">
        <v>811</v>
      </c>
      <c r="B510" s="64">
        <v>46005</v>
      </c>
      <c r="C510" s="61">
        <v>101</v>
      </c>
      <c r="D510" t="s" s="59">
        <v>278</v>
      </c>
      <c r="E510" t="s" s="59">
        <v>488</v>
      </c>
      <c r="F510" t="s" s="59">
        <v>49</v>
      </c>
      <c r="G510" t="s" s="59">
        <v>291</v>
      </c>
      <c r="H510" s="72">
        <v>0</v>
      </c>
      <c r="I510" t="s" s="73">
        <v>292</v>
      </c>
      <c r="J510" s="48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" customHeight="1">
      <c r="A511" t="s" s="68">
        <v>812</v>
      </c>
      <c r="B511" s="55">
        <v>46031</v>
      </c>
      <c r="C511" s="52">
        <v>101</v>
      </c>
      <c r="D511" t="s" s="50">
        <v>278</v>
      </c>
      <c r="E511" t="s" s="50">
        <v>588</v>
      </c>
      <c r="F511" t="s" s="50">
        <v>51</v>
      </c>
      <c r="G511" t="s" s="50">
        <v>291</v>
      </c>
      <c r="H511" s="69">
        <v>0</v>
      </c>
      <c r="I511" t="s" s="70">
        <v>292</v>
      </c>
      <c r="J511" s="48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" customHeight="1">
      <c r="A512" t="s" s="71">
        <v>813</v>
      </c>
      <c r="B512" s="64">
        <v>46061</v>
      </c>
      <c r="C512" s="61">
        <v>101</v>
      </c>
      <c r="D512" t="s" s="59">
        <v>278</v>
      </c>
      <c r="E512" t="s" s="59">
        <v>590</v>
      </c>
      <c r="F512" t="s" s="59">
        <v>50</v>
      </c>
      <c r="G512" t="s" s="59">
        <v>291</v>
      </c>
      <c r="H512" s="72">
        <v>0</v>
      </c>
      <c r="I512" t="s" s="73">
        <v>292</v>
      </c>
      <c r="J512" s="48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" customHeight="1">
      <c r="A513" t="s" s="68">
        <v>814</v>
      </c>
      <c r="B513" s="55">
        <v>46086</v>
      </c>
      <c r="C513" s="52">
        <v>101</v>
      </c>
      <c r="D513" t="s" s="50">
        <v>278</v>
      </c>
      <c r="E513" t="s" s="50">
        <v>592</v>
      </c>
      <c r="F513" t="s" s="50">
        <v>50</v>
      </c>
      <c r="G513" t="s" s="50">
        <v>291</v>
      </c>
      <c r="H513" s="69">
        <v>0</v>
      </c>
      <c r="I513" t="s" s="70">
        <v>292</v>
      </c>
      <c r="J513" s="48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" customHeight="1">
      <c r="A514" t="s" s="71">
        <v>815</v>
      </c>
      <c r="B514" s="64">
        <v>46109</v>
      </c>
      <c r="C514" s="61">
        <v>101</v>
      </c>
      <c r="D514" t="s" s="59">
        <v>278</v>
      </c>
      <c r="E514" t="s" s="59">
        <v>774</v>
      </c>
      <c r="F514" t="s" s="59">
        <v>775</v>
      </c>
      <c r="G514" t="s" s="59">
        <v>291</v>
      </c>
      <c r="H514" s="72">
        <v>0</v>
      </c>
      <c r="I514" t="s" s="73">
        <v>292</v>
      </c>
      <c r="J514" s="48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" customHeight="1">
      <c r="A515" t="s" s="68">
        <v>816</v>
      </c>
      <c r="B515" s="55">
        <v>45871</v>
      </c>
      <c r="C515" s="52">
        <v>102</v>
      </c>
      <c r="D515" t="s" s="50">
        <v>278</v>
      </c>
      <c r="E515" t="s" s="50">
        <v>290</v>
      </c>
      <c r="F515" t="s" s="50">
        <v>48</v>
      </c>
      <c r="G515" t="s" s="50">
        <v>291</v>
      </c>
      <c r="H515" s="69">
        <v>0</v>
      </c>
      <c r="I515" t="s" s="70">
        <v>292</v>
      </c>
      <c r="J515" s="48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" customHeight="1">
      <c r="A516" t="s" s="71">
        <v>817</v>
      </c>
      <c r="B516" s="64">
        <v>45892</v>
      </c>
      <c r="C516" s="61">
        <v>102</v>
      </c>
      <c r="D516" t="s" s="59">
        <v>278</v>
      </c>
      <c r="E516" t="s" s="59">
        <v>314</v>
      </c>
      <c r="F516" t="s" s="59">
        <v>48</v>
      </c>
      <c r="G516" t="s" s="59">
        <v>291</v>
      </c>
      <c r="H516" s="72">
        <v>0</v>
      </c>
      <c r="I516" t="s" s="73">
        <v>292</v>
      </c>
      <c r="J516" s="48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" customHeight="1">
      <c r="A517" t="s" s="68">
        <v>818</v>
      </c>
      <c r="B517" s="55">
        <v>45923</v>
      </c>
      <c r="C517" s="52">
        <v>102</v>
      </c>
      <c r="D517" t="s" s="50">
        <v>278</v>
      </c>
      <c r="E517" t="s" s="50">
        <v>316</v>
      </c>
      <c r="F517" t="s" s="50">
        <v>48</v>
      </c>
      <c r="G517" t="s" s="50">
        <v>291</v>
      </c>
      <c r="H517" s="69">
        <v>0</v>
      </c>
      <c r="I517" t="s" s="70">
        <v>292</v>
      </c>
      <c r="J517" s="48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" customHeight="1">
      <c r="A518" t="s" s="71">
        <v>819</v>
      </c>
      <c r="B518" s="64">
        <v>45949</v>
      </c>
      <c r="C518" s="61">
        <v>102</v>
      </c>
      <c r="D518" t="s" s="59">
        <v>278</v>
      </c>
      <c r="E518" t="s" s="59">
        <v>374</v>
      </c>
      <c r="F518" t="s" s="59">
        <v>48</v>
      </c>
      <c r="G518" t="s" s="59">
        <v>291</v>
      </c>
      <c r="H518" s="72">
        <v>0</v>
      </c>
      <c r="I518" t="s" s="73">
        <v>292</v>
      </c>
      <c r="J518" s="48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" customHeight="1">
      <c r="A519" t="s" s="68">
        <v>820</v>
      </c>
      <c r="B519" s="55">
        <v>45981</v>
      </c>
      <c r="C519" s="52">
        <v>102</v>
      </c>
      <c r="D519" t="s" s="50">
        <v>278</v>
      </c>
      <c r="E519" t="s" s="50">
        <v>376</v>
      </c>
      <c r="F519" t="s" s="50">
        <v>48</v>
      </c>
      <c r="G519" t="s" s="50">
        <v>291</v>
      </c>
      <c r="H519" s="69">
        <v>0</v>
      </c>
      <c r="I519" t="s" s="70">
        <v>292</v>
      </c>
      <c r="J519" s="48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" customHeight="1">
      <c r="A520" t="s" s="71">
        <v>821</v>
      </c>
      <c r="B520" s="64">
        <v>46005</v>
      </c>
      <c r="C520" s="61">
        <v>102</v>
      </c>
      <c r="D520" t="s" s="59">
        <v>278</v>
      </c>
      <c r="E520" t="s" s="59">
        <v>488</v>
      </c>
      <c r="F520" t="s" s="59">
        <v>49</v>
      </c>
      <c r="G520" t="s" s="59">
        <v>291</v>
      </c>
      <c r="H520" s="72">
        <v>0</v>
      </c>
      <c r="I520" t="s" s="73">
        <v>292</v>
      </c>
      <c r="J520" s="48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" customHeight="1">
      <c r="A521" t="s" s="68">
        <v>822</v>
      </c>
      <c r="B521" s="55">
        <v>46034</v>
      </c>
      <c r="C521" s="52">
        <v>102</v>
      </c>
      <c r="D521" t="s" s="50">
        <v>278</v>
      </c>
      <c r="E521" t="s" s="50">
        <v>588</v>
      </c>
      <c r="F521" t="s" s="50">
        <v>51</v>
      </c>
      <c r="G521" t="s" s="50">
        <v>291</v>
      </c>
      <c r="H521" s="69">
        <v>0</v>
      </c>
      <c r="I521" t="s" s="70">
        <v>292</v>
      </c>
      <c r="J521" s="48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" customHeight="1">
      <c r="A522" t="s" s="71">
        <v>823</v>
      </c>
      <c r="B522" s="64">
        <v>46062</v>
      </c>
      <c r="C522" s="61">
        <v>102</v>
      </c>
      <c r="D522" t="s" s="59">
        <v>278</v>
      </c>
      <c r="E522" t="s" s="59">
        <v>590</v>
      </c>
      <c r="F522" t="s" s="59">
        <v>50</v>
      </c>
      <c r="G522" t="s" s="59">
        <v>291</v>
      </c>
      <c r="H522" s="72">
        <v>0</v>
      </c>
      <c r="I522" t="s" s="73">
        <v>292</v>
      </c>
      <c r="J522" s="48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" customHeight="1">
      <c r="A523" t="s" s="68">
        <v>824</v>
      </c>
      <c r="B523" s="55">
        <v>46088</v>
      </c>
      <c r="C523" s="52">
        <v>102</v>
      </c>
      <c r="D523" t="s" s="50">
        <v>278</v>
      </c>
      <c r="E523" t="s" s="50">
        <v>592</v>
      </c>
      <c r="F523" t="s" s="50">
        <v>50</v>
      </c>
      <c r="G523" t="s" s="50">
        <v>291</v>
      </c>
      <c r="H523" s="69">
        <v>0</v>
      </c>
      <c r="I523" t="s" s="70">
        <v>292</v>
      </c>
      <c r="J523" s="48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" customHeight="1">
      <c r="A524" t="s" s="71">
        <v>825</v>
      </c>
      <c r="B524" s="64">
        <v>46109</v>
      </c>
      <c r="C524" s="61">
        <v>102</v>
      </c>
      <c r="D524" t="s" s="59">
        <v>278</v>
      </c>
      <c r="E524" t="s" s="59">
        <v>774</v>
      </c>
      <c r="F524" t="s" s="59">
        <v>775</v>
      </c>
      <c r="G524" t="s" s="59">
        <v>291</v>
      </c>
      <c r="H524" s="72">
        <v>0</v>
      </c>
      <c r="I524" t="s" s="73">
        <v>292</v>
      </c>
      <c r="J524" s="48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" customHeight="1">
      <c r="A525" t="s" s="68">
        <v>826</v>
      </c>
      <c r="B525" s="55">
        <v>45871</v>
      </c>
      <c r="C525" s="52">
        <v>103</v>
      </c>
      <c r="D525" t="s" s="50">
        <v>278</v>
      </c>
      <c r="E525" t="s" s="50">
        <v>290</v>
      </c>
      <c r="F525" t="s" s="50">
        <v>48</v>
      </c>
      <c r="G525" t="s" s="50">
        <v>291</v>
      </c>
      <c r="H525" s="69">
        <v>0</v>
      </c>
      <c r="I525" t="s" s="70">
        <v>292</v>
      </c>
      <c r="J525" s="48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" customHeight="1">
      <c r="A526" t="s" s="71">
        <v>827</v>
      </c>
      <c r="B526" s="64">
        <v>45899</v>
      </c>
      <c r="C526" s="61">
        <v>103</v>
      </c>
      <c r="D526" t="s" s="59">
        <v>278</v>
      </c>
      <c r="E526" t="s" s="59">
        <v>314</v>
      </c>
      <c r="F526" t="s" s="59">
        <v>48</v>
      </c>
      <c r="G526" t="s" s="59">
        <v>291</v>
      </c>
      <c r="H526" s="72">
        <v>0</v>
      </c>
      <c r="I526" t="s" s="73">
        <v>292</v>
      </c>
      <c r="J526" s="48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" customHeight="1">
      <c r="A527" t="s" s="68">
        <v>828</v>
      </c>
      <c r="B527" s="55">
        <v>45923</v>
      </c>
      <c r="C527" s="52">
        <v>103</v>
      </c>
      <c r="D527" t="s" s="50">
        <v>278</v>
      </c>
      <c r="E527" t="s" s="50">
        <v>316</v>
      </c>
      <c r="F527" t="s" s="50">
        <v>48</v>
      </c>
      <c r="G527" t="s" s="50">
        <v>291</v>
      </c>
      <c r="H527" s="69">
        <v>0</v>
      </c>
      <c r="I527" t="s" s="70">
        <v>292</v>
      </c>
      <c r="J527" s="48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" customHeight="1">
      <c r="A528" t="s" s="71">
        <v>829</v>
      </c>
      <c r="B528" s="64">
        <v>45956</v>
      </c>
      <c r="C528" s="61">
        <v>103</v>
      </c>
      <c r="D528" t="s" s="59">
        <v>278</v>
      </c>
      <c r="E528" t="s" s="59">
        <v>374</v>
      </c>
      <c r="F528" t="s" s="59">
        <v>48</v>
      </c>
      <c r="G528" t="s" s="59">
        <v>291</v>
      </c>
      <c r="H528" s="72">
        <v>0</v>
      </c>
      <c r="I528" t="s" s="73">
        <v>292</v>
      </c>
      <c r="J528" s="48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" customHeight="1">
      <c r="A529" t="s" s="68">
        <v>830</v>
      </c>
      <c r="B529" s="55">
        <v>45978</v>
      </c>
      <c r="C529" s="52">
        <v>103</v>
      </c>
      <c r="D529" t="s" s="50">
        <v>278</v>
      </c>
      <c r="E529" t="s" s="50">
        <v>376</v>
      </c>
      <c r="F529" t="s" s="50">
        <v>48</v>
      </c>
      <c r="G529" t="s" s="50">
        <v>291</v>
      </c>
      <c r="H529" s="69">
        <v>0</v>
      </c>
      <c r="I529" t="s" s="70">
        <v>292</v>
      </c>
      <c r="J529" s="48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" customHeight="1">
      <c r="A530" t="s" s="71">
        <v>831</v>
      </c>
      <c r="B530" s="64">
        <v>46012</v>
      </c>
      <c r="C530" s="61">
        <v>103</v>
      </c>
      <c r="D530" t="s" s="59">
        <v>278</v>
      </c>
      <c r="E530" t="s" s="59">
        <v>488</v>
      </c>
      <c r="F530" t="s" s="59">
        <v>49</v>
      </c>
      <c r="G530" t="s" s="59">
        <v>291</v>
      </c>
      <c r="H530" s="72">
        <v>0</v>
      </c>
      <c r="I530" t="s" s="73">
        <v>292</v>
      </c>
      <c r="J530" s="48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" customHeight="1">
      <c r="A531" t="s" s="68">
        <v>832</v>
      </c>
      <c r="B531" s="55">
        <v>46040</v>
      </c>
      <c r="C531" s="52">
        <v>103</v>
      </c>
      <c r="D531" t="s" s="50">
        <v>278</v>
      </c>
      <c r="E531" t="s" s="50">
        <v>588</v>
      </c>
      <c r="F531" t="s" s="50">
        <v>51</v>
      </c>
      <c r="G531" t="s" s="50">
        <v>318</v>
      </c>
      <c r="H531" s="69">
        <v>2</v>
      </c>
      <c r="I531" t="s" s="70">
        <v>319</v>
      </c>
      <c r="J531" s="48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" customHeight="1">
      <c r="A532" t="s" s="71">
        <v>833</v>
      </c>
      <c r="B532" s="64">
        <v>46062</v>
      </c>
      <c r="C532" s="61">
        <v>103</v>
      </c>
      <c r="D532" t="s" s="59">
        <v>278</v>
      </c>
      <c r="E532" t="s" s="59">
        <v>590</v>
      </c>
      <c r="F532" t="s" s="59">
        <v>50</v>
      </c>
      <c r="G532" t="s" s="59">
        <v>291</v>
      </c>
      <c r="H532" s="72">
        <v>0</v>
      </c>
      <c r="I532" t="s" s="73">
        <v>292</v>
      </c>
      <c r="J532" s="48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" customHeight="1">
      <c r="A533" t="s" s="68">
        <v>834</v>
      </c>
      <c r="B533" s="55">
        <v>46092</v>
      </c>
      <c r="C533" s="52">
        <v>103</v>
      </c>
      <c r="D533" t="s" s="50">
        <v>278</v>
      </c>
      <c r="E533" t="s" s="50">
        <v>592</v>
      </c>
      <c r="F533" t="s" s="50">
        <v>50</v>
      </c>
      <c r="G533" t="s" s="50">
        <v>291</v>
      </c>
      <c r="H533" s="69">
        <v>0</v>
      </c>
      <c r="I533" t="s" s="70">
        <v>292</v>
      </c>
      <c r="J533" s="48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" customHeight="1">
      <c r="A534" t="s" s="71">
        <v>835</v>
      </c>
      <c r="B534" s="64">
        <v>46103</v>
      </c>
      <c r="C534" s="61">
        <v>103</v>
      </c>
      <c r="D534" t="s" s="59">
        <v>278</v>
      </c>
      <c r="E534" t="s" s="59">
        <v>774</v>
      </c>
      <c r="F534" t="s" s="59">
        <v>775</v>
      </c>
      <c r="G534" t="s" s="59">
        <v>291</v>
      </c>
      <c r="H534" s="72">
        <v>0</v>
      </c>
      <c r="I534" t="s" s="73">
        <v>292</v>
      </c>
      <c r="J534" s="48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" customHeight="1">
      <c r="A535" t="s" s="68">
        <v>836</v>
      </c>
      <c r="B535" s="55">
        <v>45874</v>
      </c>
      <c r="C535" s="52">
        <v>104</v>
      </c>
      <c r="D535" t="s" s="50">
        <v>278</v>
      </c>
      <c r="E535" t="s" s="50">
        <v>290</v>
      </c>
      <c r="F535" t="s" s="50">
        <v>48</v>
      </c>
      <c r="G535" t="s" s="50">
        <v>291</v>
      </c>
      <c r="H535" s="69">
        <v>0</v>
      </c>
      <c r="I535" t="s" s="70">
        <v>292</v>
      </c>
      <c r="J535" s="48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" customHeight="1">
      <c r="A536" t="s" s="71">
        <v>837</v>
      </c>
      <c r="B536" s="64">
        <v>45903</v>
      </c>
      <c r="C536" s="61">
        <v>104</v>
      </c>
      <c r="D536" t="s" s="59">
        <v>278</v>
      </c>
      <c r="E536" t="s" s="59">
        <v>314</v>
      </c>
      <c r="F536" t="s" s="59">
        <v>48</v>
      </c>
      <c r="G536" t="s" s="59">
        <v>291</v>
      </c>
      <c r="H536" s="72">
        <v>0</v>
      </c>
      <c r="I536" t="s" s="73">
        <v>292</v>
      </c>
      <c r="J536" s="48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" customHeight="1">
      <c r="A537" t="s" s="68">
        <v>838</v>
      </c>
      <c r="B537" s="55">
        <v>45928</v>
      </c>
      <c r="C537" s="52">
        <v>104</v>
      </c>
      <c r="D537" t="s" s="50">
        <v>278</v>
      </c>
      <c r="E537" t="s" s="50">
        <v>316</v>
      </c>
      <c r="F537" t="s" s="50">
        <v>48</v>
      </c>
      <c r="G537" t="s" s="50">
        <v>291</v>
      </c>
      <c r="H537" s="69">
        <v>0</v>
      </c>
      <c r="I537" t="s" s="70">
        <v>292</v>
      </c>
      <c r="J537" s="48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" customHeight="1">
      <c r="A538" t="s" s="71">
        <v>839</v>
      </c>
      <c r="B538" s="64">
        <v>45955</v>
      </c>
      <c r="C538" s="61">
        <v>104</v>
      </c>
      <c r="D538" t="s" s="59">
        <v>278</v>
      </c>
      <c r="E538" t="s" s="59">
        <v>374</v>
      </c>
      <c r="F538" t="s" s="59">
        <v>48</v>
      </c>
      <c r="G538" t="s" s="59">
        <v>318</v>
      </c>
      <c r="H538" s="72">
        <v>1</v>
      </c>
      <c r="I538" t="s" s="73">
        <v>319</v>
      </c>
      <c r="J538" s="48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" customHeight="1">
      <c r="A539" t="s" s="68">
        <v>840</v>
      </c>
      <c r="B539" s="55">
        <v>45987</v>
      </c>
      <c r="C539" s="52">
        <v>104</v>
      </c>
      <c r="D539" t="s" s="50">
        <v>278</v>
      </c>
      <c r="E539" t="s" s="50">
        <v>376</v>
      </c>
      <c r="F539" t="s" s="50">
        <v>48</v>
      </c>
      <c r="G539" t="s" s="50">
        <v>291</v>
      </c>
      <c r="H539" s="69">
        <v>0</v>
      </c>
      <c r="I539" t="s" s="70">
        <v>292</v>
      </c>
      <c r="J539" s="48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" customHeight="1">
      <c r="A540" t="s" s="71">
        <v>841</v>
      </c>
      <c r="B540" s="64">
        <v>46013</v>
      </c>
      <c r="C540" s="61">
        <v>104</v>
      </c>
      <c r="D540" t="s" s="59">
        <v>278</v>
      </c>
      <c r="E540" t="s" s="59">
        <v>488</v>
      </c>
      <c r="F540" t="s" s="59">
        <v>49</v>
      </c>
      <c r="G540" t="s" s="59">
        <v>291</v>
      </c>
      <c r="H540" s="72">
        <v>0</v>
      </c>
      <c r="I540" t="s" s="73">
        <v>292</v>
      </c>
      <c r="J540" s="48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" customHeight="1">
      <c r="A541" t="s" s="68">
        <v>842</v>
      </c>
      <c r="B541" s="55">
        <v>46039</v>
      </c>
      <c r="C541" s="52">
        <v>104</v>
      </c>
      <c r="D541" t="s" s="50">
        <v>278</v>
      </c>
      <c r="E541" t="s" s="50">
        <v>588</v>
      </c>
      <c r="F541" t="s" s="50">
        <v>51</v>
      </c>
      <c r="G541" t="s" s="50">
        <v>291</v>
      </c>
      <c r="H541" s="69">
        <v>0</v>
      </c>
      <c r="I541" t="s" s="70">
        <v>292</v>
      </c>
      <c r="J541" s="48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" customHeight="1">
      <c r="A542" t="s" s="71">
        <v>843</v>
      </c>
      <c r="B542" s="64">
        <v>46065</v>
      </c>
      <c r="C542" s="61">
        <v>104</v>
      </c>
      <c r="D542" t="s" s="59">
        <v>278</v>
      </c>
      <c r="E542" t="s" s="59">
        <v>590</v>
      </c>
      <c r="F542" t="s" s="59">
        <v>50</v>
      </c>
      <c r="G542" t="s" s="59">
        <v>291</v>
      </c>
      <c r="H542" s="72">
        <v>0</v>
      </c>
      <c r="I542" t="s" s="73">
        <v>292</v>
      </c>
      <c r="J542" s="48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" customHeight="1">
      <c r="A543" t="s" s="68">
        <v>844</v>
      </c>
      <c r="B543" s="55">
        <v>46096</v>
      </c>
      <c r="C543" s="52">
        <v>104</v>
      </c>
      <c r="D543" t="s" s="50">
        <v>278</v>
      </c>
      <c r="E543" t="s" s="50">
        <v>592</v>
      </c>
      <c r="F543" t="s" s="50">
        <v>50</v>
      </c>
      <c r="G543" t="s" s="50">
        <v>291</v>
      </c>
      <c r="H543" s="69">
        <v>0</v>
      </c>
      <c r="I543" t="s" s="70">
        <v>292</v>
      </c>
      <c r="J543" s="48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" customHeight="1">
      <c r="A544" t="s" s="71">
        <v>845</v>
      </c>
      <c r="B544" s="64">
        <v>46103</v>
      </c>
      <c r="C544" s="61">
        <v>104</v>
      </c>
      <c r="D544" t="s" s="59">
        <v>278</v>
      </c>
      <c r="E544" t="s" s="59">
        <v>774</v>
      </c>
      <c r="F544" t="s" s="59">
        <v>775</v>
      </c>
      <c r="G544" t="s" s="59">
        <v>507</v>
      </c>
      <c r="H544" s="72">
        <v>3</v>
      </c>
      <c r="I544" t="s" s="73">
        <v>508</v>
      </c>
      <c r="J544" s="48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" customHeight="1">
      <c r="A545" t="s" s="68">
        <v>846</v>
      </c>
      <c r="B545" s="55">
        <v>45872</v>
      </c>
      <c r="C545" s="52">
        <v>105</v>
      </c>
      <c r="D545" t="s" s="50">
        <v>278</v>
      </c>
      <c r="E545" t="s" s="50">
        <v>290</v>
      </c>
      <c r="F545" t="s" s="50">
        <v>48</v>
      </c>
      <c r="G545" t="s" s="50">
        <v>318</v>
      </c>
      <c r="H545" s="69">
        <v>2</v>
      </c>
      <c r="I545" t="s" s="70">
        <v>319</v>
      </c>
      <c r="J545" s="48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" customHeight="1">
      <c r="A546" t="s" s="71">
        <v>847</v>
      </c>
      <c r="B546" s="64">
        <v>45902</v>
      </c>
      <c r="C546" s="61">
        <v>105</v>
      </c>
      <c r="D546" t="s" s="59">
        <v>278</v>
      </c>
      <c r="E546" t="s" s="59">
        <v>314</v>
      </c>
      <c r="F546" t="s" s="59">
        <v>48</v>
      </c>
      <c r="G546" t="s" s="59">
        <v>291</v>
      </c>
      <c r="H546" s="72">
        <v>0</v>
      </c>
      <c r="I546" t="s" s="73">
        <v>292</v>
      </c>
      <c r="J546" s="48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" customHeight="1">
      <c r="A547" t="s" s="68">
        <v>848</v>
      </c>
      <c r="B547" s="55">
        <v>45928</v>
      </c>
      <c r="C547" s="52">
        <v>105</v>
      </c>
      <c r="D547" t="s" s="50">
        <v>278</v>
      </c>
      <c r="E547" t="s" s="50">
        <v>316</v>
      </c>
      <c r="F547" t="s" s="50">
        <v>48</v>
      </c>
      <c r="G547" t="s" s="50">
        <v>291</v>
      </c>
      <c r="H547" s="69">
        <v>0</v>
      </c>
      <c r="I547" t="s" s="70">
        <v>292</v>
      </c>
      <c r="J547" s="48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" customHeight="1">
      <c r="A548" t="s" s="71">
        <v>849</v>
      </c>
      <c r="B548" s="64">
        <v>45958</v>
      </c>
      <c r="C548" s="61">
        <v>105</v>
      </c>
      <c r="D548" t="s" s="59">
        <v>278</v>
      </c>
      <c r="E548" t="s" s="59">
        <v>374</v>
      </c>
      <c r="F548" t="s" s="59">
        <v>48</v>
      </c>
      <c r="G548" t="s" s="59">
        <v>291</v>
      </c>
      <c r="H548" s="72">
        <v>0</v>
      </c>
      <c r="I548" t="s" s="73">
        <v>292</v>
      </c>
      <c r="J548" s="48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" customHeight="1">
      <c r="A549" t="s" s="68">
        <v>850</v>
      </c>
      <c r="B549" s="55">
        <v>45988</v>
      </c>
      <c r="C549" s="52">
        <v>105</v>
      </c>
      <c r="D549" t="s" s="50">
        <v>278</v>
      </c>
      <c r="E549" t="s" s="50">
        <v>376</v>
      </c>
      <c r="F549" t="s" s="50">
        <v>48</v>
      </c>
      <c r="G549" t="s" s="50">
        <v>291</v>
      </c>
      <c r="H549" s="69">
        <v>0</v>
      </c>
      <c r="I549" t="s" s="70">
        <v>292</v>
      </c>
      <c r="J549" s="48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" customHeight="1">
      <c r="A550" t="s" s="71">
        <v>851</v>
      </c>
      <c r="B550" s="64">
        <v>46015</v>
      </c>
      <c r="C550" s="61">
        <v>105</v>
      </c>
      <c r="D550" t="s" s="59">
        <v>278</v>
      </c>
      <c r="E550" t="s" s="59">
        <v>488</v>
      </c>
      <c r="F550" t="s" s="59">
        <v>49</v>
      </c>
      <c r="G550" t="s" s="59">
        <v>318</v>
      </c>
      <c r="H550" s="72">
        <v>2</v>
      </c>
      <c r="I550" t="s" s="73">
        <v>319</v>
      </c>
      <c r="J550" s="48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" customHeight="1">
      <c r="A551" t="s" s="68">
        <v>852</v>
      </c>
      <c r="B551" s="55">
        <v>46038</v>
      </c>
      <c r="C551" s="52">
        <v>105</v>
      </c>
      <c r="D551" t="s" s="50">
        <v>278</v>
      </c>
      <c r="E551" t="s" s="50">
        <v>588</v>
      </c>
      <c r="F551" t="s" s="50">
        <v>51</v>
      </c>
      <c r="G551" t="s" s="50">
        <v>291</v>
      </c>
      <c r="H551" s="69">
        <v>0</v>
      </c>
      <c r="I551" t="s" s="70">
        <v>292</v>
      </c>
      <c r="J551" s="48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" customHeight="1">
      <c r="A552" t="s" s="71">
        <v>853</v>
      </c>
      <c r="B552" s="64">
        <v>46066</v>
      </c>
      <c r="C552" s="61">
        <v>105</v>
      </c>
      <c r="D552" t="s" s="59">
        <v>278</v>
      </c>
      <c r="E552" t="s" s="59">
        <v>590</v>
      </c>
      <c r="F552" t="s" s="59">
        <v>50</v>
      </c>
      <c r="G552" t="s" s="59">
        <v>291</v>
      </c>
      <c r="H552" s="72">
        <v>0</v>
      </c>
      <c r="I552" t="s" s="73">
        <v>292</v>
      </c>
      <c r="J552" s="48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" customHeight="1">
      <c r="A553" t="s" s="68">
        <v>854</v>
      </c>
      <c r="B553" s="55">
        <v>46094</v>
      </c>
      <c r="C553" s="52">
        <v>105</v>
      </c>
      <c r="D553" t="s" s="50">
        <v>278</v>
      </c>
      <c r="E553" t="s" s="50">
        <v>592</v>
      </c>
      <c r="F553" t="s" s="50">
        <v>50</v>
      </c>
      <c r="G553" t="s" s="50">
        <v>291</v>
      </c>
      <c r="H553" s="69">
        <v>0</v>
      </c>
      <c r="I553" t="s" s="70">
        <v>292</v>
      </c>
      <c r="J553" s="48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" customHeight="1">
      <c r="A554" t="s" s="71">
        <v>855</v>
      </c>
      <c r="B554" s="64">
        <v>46105</v>
      </c>
      <c r="C554" s="61">
        <v>105</v>
      </c>
      <c r="D554" t="s" s="59">
        <v>278</v>
      </c>
      <c r="E554" t="s" s="59">
        <v>774</v>
      </c>
      <c r="F554" t="s" s="59">
        <v>775</v>
      </c>
      <c r="G554" t="s" s="59">
        <v>291</v>
      </c>
      <c r="H554" s="72">
        <v>0</v>
      </c>
      <c r="I554" t="s" s="73">
        <v>292</v>
      </c>
      <c r="J554" s="48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" customHeight="1">
      <c r="A555" t="s" s="68">
        <v>856</v>
      </c>
      <c r="B555" s="55">
        <v>45877</v>
      </c>
      <c r="C555" s="52">
        <v>106</v>
      </c>
      <c r="D555" t="s" s="50">
        <v>278</v>
      </c>
      <c r="E555" t="s" s="50">
        <v>290</v>
      </c>
      <c r="F555" t="s" s="50">
        <v>48</v>
      </c>
      <c r="G555" t="s" s="50">
        <v>291</v>
      </c>
      <c r="H555" s="69">
        <v>0</v>
      </c>
      <c r="I555" t="s" s="70">
        <v>292</v>
      </c>
      <c r="J555" s="48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" customHeight="1">
      <c r="A556" t="s" s="71">
        <v>857</v>
      </c>
      <c r="B556" s="64">
        <v>45904</v>
      </c>
      <c r="C556" s="61">
        <v>106</v>
      </c>
      <c r="D556" t="s" s="59">
        <v>278</v>
      </c>
      <c r="E556" t="s" s="59">
        <v>314</v>
      </c>
      <c r="F556" t="s" s="59">
        <v>48</v>
      </c>
      <c r="G556" t="s" s="59">
        <v>318</v>
      </c>
      <c r="H556" s="72">
        <v>2</v>
      </c>
      <c r="I556" t="s" s="73">
        <v>319</v>
      </c>
      <c r="J556" s="48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" customHeight="1">
      <c r="A557" t="s" s="68">
        <v>858</v>
      </c>
      <c r="B557" s="55">
        <v>45933</v>
      </c>
      <c r="C557" s="52">
        <v>106</v>
      </c>
      <c r="D557" t="s" s="50">
        <v>278</v>
      </c>
      <c r="E557" t="s" s="50">
        <v>316</v>
      </c>
      <c r="F557" t="s" s="50">
        <v>48</v>
      </c>
      <c r="G557" t="s" s="50">
        <v>318</v>
      </c>
      <c r="H557" s="69">
        <v>2</v>
      </c>
      <c r="I557" t="s" s="70">
        <v>319</v>
      </c>
      <c r="J557" s="48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" customHeight="1">
      <c r="A558" t="s" s="71">
        <v>859</v>
      </c>
      <c r="B558" s="64">
        <v>45960</v>
      </c>
      <c r="C558" s="61">
        <v>106</v>
      </c>
      <c r="D558" t="s" s="59">
        <v>278</v>
      </c>
      <c r="E558" t="s" s="59">
        <v>374</v>
      </c>
      <c r="F558" t="s" s="59">
        <v>48</v>
      </c>
      <c r="G558" t="s" s="59">
        <v>318</v>
      </c>
      <c r="H558" s="72">
        <v>2</v>
      </c>
      <c r="I558" t="s" s="73">
        <v>319</v>
      </c>
      <c r="J558" s="48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" customHeight="1">
      <c r="A559" t="s" s="68">
        <v>860</v>
      </c>
      <c r="B559" s="55">
        <v>45990</v>
      </c>
      <c r="C559" s="52">
        <v>106</v>
      </c>
      <c r="D559" t="s" s="50">
        <v>278</v>
      </c>
      <c r="E559" t="s" s="50">
        <v>376</v>
      </c>
      <c r="F559" t="s" s="50">
        <v>48</v>
      </c>
      <c r="G559" t="s" s="50">
        <v>291</v>
      </c>
      <c r="H559" s="69">
        <v>0</v>
      </c>
      <c r="I559" t="s" s="70">
        <v>292</v>
      </c>
      <c r="J559" s="48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" customHeight="1">
      <c r="A560" t="s" s="71">
        <v>861</v>
      </c>
      <c r="B560" s="64">
        <v>46013</v>
      </c>
      <c r="C560" s="61">
        <v>106</v>
      </c>
      <c r="D560" t="s" s="59">
        <v>278</v>
      </c>
      <c r="E560" t="s" s="59">
        <v>488</v>
      </c>
      <c r="F560" t="s" s="59">
        <v>49</v>
      </c>
      <c r="G560" t="s" s="59">
        <v>291</v>
      </c>
      <c r="H560" s="72">
        <v>0</v>
      </c>
      <c r="I560" t="s" s="73">
        <v>292</v>
      </c>
      <c r="J560" s="48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" customHeight="1">
      <c r="A561" t="s" s="68">
        <v>862</v>
      </c>
      <c r="B561" s="55">
        <v>46041</v>
      </c>
      <c r="C561" s="52">
        <v>106</v>
      </c>
      <c r="D561" t="s" s="50">
        <v>278</v>
      </c>
      <c r="E561" t="s" s="50">
        <v>588</v>
      </c>
      <c r="F561" t="s" s="50">
        <v>51</v>
      </c>
      <c r="G561" t="s" s="50">
        <v>291</v>
      </c>
      <c r="H561" s="69">
        <v>0</v>
      </c>
      <c r="I561" t="s" s="70">
        <v>292</v>
      </c>
      <c r="J561" s="48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" customHeight="1">
      <c r="A562" t="s" s="71">
        <v>863</v>
      </c>
      <c r="B562" s="64">
        <v>46075</v>
      </c>
      <c r="C562" s="61">
        <v>106</v>
      </c>
      <c r="D562" t="s" s="59">
        <v>278</v>
      </c>
      <c r="E562" t="s" s="59">
        <v>590</v>
      </c>
      <c r="F562" t="s" s="59">
        <v>50</v>
      </c>
      <c r="G562" t="s" s="59">
        <v>291</v>
      </c>
      <c r="H562" s="72">
        <v>0</v>
      </c>
      <c r="I562" t="s" s="73">
        <v>292</v>
      </c>
      <c r="J562" s="48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" customHeight="1">
      <c r="A563" t="s" s="68">
        <v>864</v>
      </c>
      <c r="B563" s="55">
        <v>46100</v>
      </c>
      <c r="C563" s="52">
        <v>106</v>
      </c>
      <c r="D563" t="s" s="50">
        <v>278</v>
      </c>
      <c r="E563" t="s" s="50">
        <v>592</v>
      </c>
      <c r="F563" t="s" s="50">
        <v>50</v>
      </c>
      <c r="G563" t="s" s="50">
        <v>291</v>
      </c>
      <c r="H563" s="69">
        <v>0</v>
      </c>
      <c r="I563" t="s" s="70">
        <v>292</v>
      </c>
      <c r="J563" s="48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" customHeight="1">
      <c r="A564" t="s" s="71">
        <v>865</v>
      </c>
      <c r="B564" s="64">
        <v>46103</v>
      </c>
      <c r="C564" s="61">
        <v>106</v>
      </c>
      <c r="D564" t="s" s="59">
        <v>278</v>
      </c>
      <c r="E564" t="s" s="59">
        <v>774</v>
      </c>
      <c r="F564" t="s" s="59">
        <v>775</v>
      </c>
      <c r="G564" t="s" s="59">
        <v>291</v>
      </c>
      <c r="H564" s="72">
        <v>0</v>
      </c>
      <c r="I564" t="s" s="73">
        <v>292</v>
      </c>
      <c r="J564" s="48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" customHeight="1">
      <c r="A565" t="s" s="68">
        <v>866</v>
      </c>
      <c r="B565" s="55">
        <v>45875</v>
      </c>
      <c r="C565" s="52">
        <v>107</v>
      </c>
      <c r="D565" t="s" s="50">
        <v>278</v>
      </c>
      <c r="E565" t="s" s="50">
        <v>290</v>
      </c>
      <c r="F565" t="s" s="50">
        <v>48</v>
      </c>
      <c r="G565" t="s" s="50">
        <v>291</v>
      </c>
      <c r="H565" s="69">
        <v>0</v>
      </c>
      <c r="I565" t="s" s="70">
        <v>292</v>
      </c>
      <c r="J565" s="48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" customHeight="1">
      <c r="A566" t="s" s="71">
        <v>867</v>
      </c>
      <c r="B566" s="64">
        <v>45907</v>
      </c>
      <c r="C566" s="61">
        <v>107</v>
      </c>
      <c r="D566" t="s" s="59">
        <v>278</v>
      </c>
      <c r="E566" t="s" s="59">
        <v>314</v>
      </c>
      <c r="F566" t="s" s="59">
        <v>48</v>
      </c>
      <c r="G566" t="s" s="59">
        <v>318</v>
      </c>
      <c r="H566" s="72">
        <v>2</v>
      </c>
      <c r="I566" t="s" s="73">
        <v>319</v>
      </c>
      <c r="J566" s="48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" customHeight="1">
      <c r="A567" t="s" s="68">
        <v>868</v>
      </c>
      <c r="B567" s="55">
        <v>45935</v>
      </c>
      <c r="C567" s="52">
        <v>107</v>
      </c>
      <c r="D567" t="s" s="50">
        <v>278</v>
      </c>
      <c r="E567" t="s" s="50">
        <v>316</v>
      </c>
      <c r="F567" t="s" s="50">
        <v>48</v>
      </c>
      <c r="G567" t="s" s="50">
        <v>291</v>
      </c>
      <c r="H567" s="69">
        <v>0</v>
      </c>
      <c r="I567" t="s" s="70">
        <v>292</v>
      </c>
      <c r="J567" s="48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" customHeight="1">
      <c r="A568" t="s" s="71">
        <v>869</v>
      </c>
      <c r="B568" s="64">
        <v>45962</v>
      </c>
      <c r="C568" s="61">
        <v>107</v>
      </c>
      <c r="D568" t="s" s="59">
        <v>278</v>
      </c>
      <c r="E568" t="s" s="59">
        <v>374</v>
      </c>
      <c r="F568" t="s" s="59">
        <v>48</v>
      </c>
      <c r="G568" t="s" s="59">
        <v>291</v>
      </c>
      <c r="H568" s="72">
        <v>0</v>
      </c>
      <c r="I568" t="s" s="73">
        <v>292</v>
      </c>
      <c r="J568" s="48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" customHeight="1">
      <c r="A569" t="s" s="68">
        <v>870</v>
      </c>
      <c r="B569" s="55">
        <v>45993</v>
      </c>
      <c r="C569" s="52">
        <v>107</v>
      </c>
      <c r="D569" t="s" s="50">
        <v>278</v>
      </c>
      <c r="E569" t="s" s="50">
        <v>376</v>
      </c>
      <c r="F569" t="s" s="50">
        <v>48</v>
      </c>
      <c r="G569" t="s" s="50">
        <v>291</v>
      </c>
      <c r="H569" s="69">
        <v>0</v>
      </c>
      <c r="I569" t="s" s="70">
        <v>292</v>
      </c>
      <c r="J569" s="48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" customHeight="1">
      <c r="A570" t="s" s="71">
        <v>871</v>
      </c>
      <c r="B570" s="64">
        <v>46020</v>
      </c>
      <c r="C570" s="61">
        <v>107</v>
      </c>
      <c r="D570" t="s" s="59">
        <v>278</v>
      </c>
      <c r="E570" t="s" s="59">
        <v>488</v>
      </c>
      <c r="F570" t="s" s="59">
        <v>49</v>
      </c>
      <c r="G570" t="s" s="59">
        <v>291</v>
      </c>
      <c r="H570" s="72">
        <v>0</v>
      </c>
      <c r="I570" t="s" s="73">
        <v>292</v>
      </c>
      <c r="J570" s="48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" customHeight="1">
      <c r="A571" t="s" s="68">
        <v>872</v>
      </c>
      <c r="B571" s="55">
        <v>46045</v>
      </c>
      <c r="C571" s="52">
        <v>107</v>
      </c>
      <c r="D571" t="s" s="50">
        <v>278</v>
      </c>
      <c r="E571" t="s" s="50">
        <v>588</v>
      </c>
      <c r="F571" t="s" s="50">
        <v>51</v>
      </c>
      <c r="G571" t="s" s="50">
        <v>318</v>
      </c>
      <c r="H571" s="69">
        <v>2</v>
      </c>
      <c r="I571" t="s" s="70">
        <v>319</v>
      </c>
      <c r="J571" s="48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" customHeight="1">
      <c r="A572" t="s" s="71">
        <v>873</v>
      </c>
      <c r="B572" s="64">
        <v>46074</v>
      </c>
      <c r="C572" s="61">
        <v>107</v>
      </c>
      <c r="D572" t="s" s="59">
        <v>278</v>
      </c>
      <c r="E572" t="s" s="59">
        <v>590</v>
      </c>
      <c r="F572" t="s" s="59">
        <v>50</v>
      </c>
      <c r="G572" t="s" s="59">
        <v>318</v>
      </c>
      <c r="H572" s="72">
        <v>2</v>
      </c>
      <c r="I572" t="s" s="73">
        <v>319</v>
      </c>
      <c r="J572" s="48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" customHeight="1">
      <c r="A573" t="s" s="68">
        <v>874</v>
      </c>
      <c r="B573" s="55">
        <v>46100</v>
      </c>
      <c r="C573" s="52">
        <v>107</v>
      </c>
      <c r="D573" t="s" s="50">
        <v>278</v>
      </c>
      <c r="E573" t="s" s="50">
        <v>592</v>
      </c>
      <c r="F573" t="s" s="50">
        <v>50</v>
      </c>
      <c r="G573" t="s" s="50">
        <v>291</v>
      </c>
      <c r="H573" s="69">
        <v>0</v>
      </c>
      <c r="I573" t="s" s="70">
        <v>292</v>
      </c>
      <c r="J573" s="48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" customHeight="1">
      <c r="A574" t="s" s="71">
        <v>875</v>
      </c>
      <c r="B574" s="64">
        <v>46111</v>
      </c>
      <c r="C574" s="61">
        <v>107</v>
      </c>
      <c r="D574" t="s" s="59">
        <v>278</v>
      </c>
      <c r="E574" t="s" s="59">
        <v>774</v>
      </c>
      <c r="F574" t="s" s="59">
        <v>775</v>
      </c>
      <c r="G574" t="s" s="59">
        <v>291</v>
      </c>
      <c r="H574" s="72">
        <v>0</v>
      </c>
      <c r="I574" t="s" s="73">
        <v>292</v>
      </c>
      <c r="J574" s="48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" customHeight="1">
      <c r="A575" t="s" s="68">
        <v>876</v>
      </c>
      <c r="B575" s="55">
        <v>45880</v>
      </c>
      <c r="C575" s="52">
        <v>108</v>
      </c>
      <c r="D575" t="s" s="50">
        <v>278</v>
      </c>
      <c r="E575" t="s" s="50">
        <v>290</v>
      </c>
      <c r="F575" t="s" s="50">
        <v>48</v>
      </c>
      <c r="G575" t="s" s="50">
        <v>291</v>
      </c>
      <c r="H575" s="69">
        <v>0</v>
      </c>
      <c r="I575" t="s" s="70">
        <v>292</v>
      </c>
      <c r="J575" s="48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" customHeight="1">
      <c r="A576" t="s" s="71">
        <v>877</v>
      </c>
      <c r="B576" s="64">
        <v>45910</v>
      </c>
      <c r="C576" s="61">
        <v>108</v>
      </c>
      <c r="D576" t="s" s="59">
        <v>278</v>
      </c>
      <c r="E576" t="s" s="59">
        <v>314</v>
      </c>
      <c r="F576" t="s" s="59">
        <v>48</v>
      </c>
      <c r="G576" t="s" s="59">
        <v>318</v>
      </c>
      <c r="H576" s="72">
        <v>1</v>
      </c>
      <c r="I576" t="s" s="73">
        <v>319</v>
      </c>
      <c r="J576" s="48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" customHeight="1">
      <c r="A577" t="s" s="68">
        <v>878</v>
      </c>
      <c r="B577" s="55">
        <v>45936</v>
      </c>
      <c r="C577" s="52">
        <v>108</v>
      </c>
      <c r="D577" t="s" s="50">
        <v>278</v>
      </c>
      <c r="E577" t="s" s="50">
        <v>316</v>
      </c>
      <c r="F577" t="s" s="50">
        <v>48</v>
      </c>
      <c r="G577" t="s" s="50">
        <v>291</v>
      </c>
      <c r="H577" s="69">
        <v>0</v>
      </c>
      <c r="I577" t="s" s="70">
        <v>292</v>
      </c>
      <c r="J577" s="48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" customHeight="1">
      <c r="A578" t="s" s="71">
        <v>879</v>
      </c>
      <c r="B578" s="64">
        <v>45961</v>
      </c>
      <c r="C578" s="61">
        <v>108</v>
      </c>
      <c r="D578" t="s" s="59">
        <v>278</v>
      </c>
      <c r="E578" t="s" s="59">
        <v>374</v>
      </c>
      <c r="F578" t="s" s="59">
        <v>48</v>
      </c>
      <c r="G578" t="s" s="59">
        <v>291</v>
      </c>
      <c r="H578" s="72">
        <v>0</v>
      </c>
      <c r="I578" t="s" s="73">
        <v>292</v>
      </c>
      <c r="J578" s="48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" customHeight="1">
      <c r="A579" t="s" s="68">
        <v>880</v>
      </c>
      <c r="B579" s="55">
        <v>45989</v>
      </c>
      <c r="C579" s="52">
        <v>108</v>
      </c>
      <c r="D579" t="s" s="50">
        <v>278</v>
      </c>
      <c r="E579" t="s" s="50">
        <v>376</v>
      </c>
      <c r="F579" t="s" s="50">
        <v>48</v>
      </c>
      <c r="G579" t="s" s="50">
        <v>318</v>
      </c>
      <c r="H579" s="69">
        <v>2</v>
      </c>
      <c r="I579" t="s" s="70">
        <v>319</v>
      </c>
      <c r="J579" s="48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" customHeight="1">
      <c r="A580" t="s" s="71">
        <v>881</v>
      </c>
      <c r="B580" s="64">
        <v>46022</v>
      </c>
      <c r="C580" s="61">
        <v>108</v>
      </c>
      <c r="D580" t="s" s="59">
        <v>278</v>
      </c>
      <c r="E580" t="s" s="59">
        <v>488</v>
      </c>
      <c r="F580" t="s" s="59">
        <v>49</v>
      </c>
      <c r="G580" t="s" s="59">
        <v>291</v>
      </c>
      <c r="H580" s="72">
        <v>0</v>
      </c>
      <c r="I580" t="s" s="73">
        <v>292</v>
      </c>
      <c r="J580" s="48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" customHeight="1">
      <c r="A581" t="s" s="68">
        <v>882</v>
      </c>
      <c r="B581" s="55">
        <v>46046</v>
      </c>
      <c r="C581" s="52">
        <v>108</v>
      </c>
      <c r="D581" t="s" s="50">
        <v>278</v>
      </c>
      <c r="E581" t="s" s="50">
        <v>588</v>
      </c>
      <c r="F581" t="s" s="50">
        <v>51</v>
      </c>
      <c r="G581" t="s" s="50">
        <v>291</v>
      </c>
      <c r="H581" s="69">
        <v>0</v>
      </c>
      <c r="I581" t="s" s="70">
        <v>292</v>
      </c>
      <c r="J581" s="48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" customHeight="1">
      <c r="A582" t="s" s="71">
        <v>883</v>
      </c>
      <c r="B582" s="64">
        <v>46072</v>
      </c>
      <c r="C582" s="61">
        <v>108</v>
      </c>
      <c r="D582" t="s" s="59">
        <v>278</v>
      </c>
      <c r="E582" t="s" s="59">
        <v>590</v>
      </c>
      <c r="F582" t="s" s="59">
        <v>50</v>
      </c>
      <c r="G582" t="s" s="59">
        <v>291</v>
      </c>
      <c r="H582" s="72">
        <v>0</v>
      </c>
      <c r="I582" t="s" s="73">
        <v>292</v>
      </c>
      <c r="J582" s="48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" customHeight="1">
      <c r="A583" t="s" s="68">
        <v>884</v>
      </c>
      <c r="B583" s="55">
        <v>46104</v>
      </c>
      <c r="C583" s="52">
        <v>108</v>
      </c>
      <c r="D583" t="s" s="50">
        <v>278</v>
      </c>
      <c r="E583" t="s" s="50">
        <v>592</v>
      </c>
      <c r="F583" t="s" s="50">
        <v>50</v>
      </c>
      <c r="G583" t="s" s="50">
        <v>291</v>
      </c>
      <c r="H583" s="69">
        <v>0</v>
      </c>
      <c r="I583" t="s" s="70">
        <v>292</v>
      </c>
      <c r="J583" s="48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" customHeight="1">
      <c r="A584" t="s" s="71">
        <v>885</v>
      </c>
      <c r="B584" s="64">
        <v>46104</v>
      </c>
      <c r="C584" s="61">
        <v>108</v>
      </c>
      <c r="D584" t="s" s="59">
        <v>278</v>
      </c>
      <c r="E584" t="s" s="59">
        <v>774</v>
      </c>
      <c r="F584" t="s" s="59">
        <v>775</v>
      </c>
      <c r="G584" t="s" s="59">
        <v>291</v>
      </c>
      <c r="H584" s="72">
        <v>0</v>
      </c>
      <c r="I584" t="s" s="73">
        <v>292</v>
      </c>
      <c r="J584" s="48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" customHeight="1">
      <c r="A585" t="s" s="68">
        <v>886</v>
      </c>
      <c r="B585" s="55">
        <v>45879</v>
      </c>
      <c r="C585" s="52">
        <v>109</v>
      </c>
      <c r="D585" t="s" s="50">
        <v>278</v>
      </c>
      <c r="E585" t="s" s="50">
        <v>290</v>
      </c>
      <c r="F585" t="s" s="50">
        <v>48</v>
      </c>
      <c r="G585" t="s" s="50">
        <v>291</v>
      </c>
      <c r="H585" s="69">
        <v>0</v>
      </c>
      <c r="I585" t="s" s="70">
        <v>292</v>
      </c>
      <c r="J585" s="48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" customHeight="1">
      <c r="A586" t="s" s="71">
        <v>887</v>
      </c>
      <c r="B586" s="64">
        <v>45913</v>
      </c>
      <c r="C586" s="61">
        <v>109</v>
      </c>
      <c r="D586" t="s" s="59">
        <v>278</v>
      </c>
      <c r="E586" t="s" s="59">
        <v>314</v>
      </c>
      <c r="F586" t="s" s="59">
        <v>48</v>
      </c>
      <c r="G586" t="s" s="59">
        <v>291</v>
      </c>
      <c r="H586" s="72">
        <v>0</v>
      </c>
      <c r="I586" t="s" s="73">
        <v>292</v>
      </c>
      <c r="J586" s="48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" customHeight="1">
      <c r="A587" t="s" s="68">
        <v>888</v>
      </c>
      <c r="B587" s="55">
        <v>45936</v>
      </c>
      <c r="C587" s="52">
        <v>109</v>
      </c>
      <c r="D587" t="s" s="50">
        <v>278</v>
      </c>
      <c r="E587" t="s" s="50">
        <v>316</v>
      </c>
      <c r="F587" t="s" s="50">
        <v>48</v>
      </c>
      <c r="G587" t="s" s="50">
        <v>291</v>
      </c>
      <c r="H587" s="69">
        <v>0</v>
      </c>
      <c r="I587" t="s" s="70">
        <v>292</v>
      </c>
      <c r="J587" s="48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" customHeight="1">
      <c r="A588" t="s" s="71">
        <v>889</v>
      </c>
      <c r="B588" s="64">
        <v>45963</v>
      </c>
      <c r="C588" s="61">
        <v>109</v>
      </c>
      <c r="D588" t="s" s="59">
        <v>278</v>
      </c>
      <c r="E588" t="s" s="59">
        <v>374</v>
      </c>
      <c r="F588" t="s" s="59">
        <v>48</v>
      </c>
      <c r="G588" t="s" s="59">
        <v>291</v>
      </c>
      <c r="H588" s="72">
        <v>0</v>
      </c>
      <c r="I588" t="s" s="73">
        <v>292</v>
      </c>
      <c r="J588" s="48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" customHeight="1">
      <c r="A589" t="s" s="68">
        <v>890</v>
      </c>
      <c r="B589" s="55">
        <v>45990</v>
      </c>
      <c r="C589" s="52">
        <v>109</v>
      </c>
      <c r="D589" t="s" s="50">
        <v>278</v>
      </c>
      <c r="E589" t="s" s="50">
        <v>376</v>
      </c>
      <c r="F589" t="s" s="50">
        <v>48</v>
      </c>
      <c r="G589" t="s" s="50">
        <v>291</v>
      </c>
      <c r="H589" s="69">
        <v>0</v>
      </c>
      <c r="I589" t="s" s="70">
        <v>292</v>
      </c>
      <c r="J589" s="48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" customHeight="1">
      <c r="A590" t="s" s="71">
        <v>891</v>
      </c>
      <c r="B590" s="64">
        <v>46020</v>
      </c>
      <c r="C590" s="61">
        <v>109</v>
      </c>
      <c r="D590" t="s" s="59">
        <v>278</v>
      </c>
      <c r="E590" t="s" s="59">
        <v>488</v>
      </c>
      <c r="F590" t="s" s="59">
        <v>49</v>
      </c>
      <c r="G590" t="s" s="59">
        <v>318</v>
      </c>
      <c r="H590" s="72">
        <v>1</v>
      </c>
      <c r="I590" t="s" s="73">
        <v>319</v>
      </c>
      <c r="J590" s="48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" customHeight="1">
      <c r="A591" t="s" s="68">
        <v>892</v>
      </c>
      <c r="B591" s="55">
        <v>46052</v>
      </c>
      <c r="C591" s="52">
        <v>109</v>
      </c>
      <c r="D591" t="s" s="50">
        <v>278</v>
      </c>
      <c r="E591" t="s" s="50">
        <v>588</v>
      </c>
      <c r="F591" t="s" s="50">
        <v>51</v>
      </c>
      <c r="G591" t="s" s="50">
        <v>291</v>
      </c>
      <c r="H591" s="69">
        <v>0</v>
      </c>
      <c r="I591" t="s" s="70">
        <v>292</v>
      </c>
      <c r="J591" s="48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" customHeight="1">
      <c r="A592" t="s" s="71">
        <v>893</v>
      </c>
      <c r="B592" s="64">
        <v>46076</v>
      </c>
      <c r="C592" s="61">
        <v>109</v>
      </c>
      <c r="D592" t="s" s="59">
        <v>278</v>
      </c>
      <c r="E592" t="s" s="59">
        <v>590</v>
      </c>
      <c r="F592" t="s" s="59">
        <v>50</v>
      </c>
      <c r="G592" t="s" s="59">
        <v>291</v>
      </c>
      <c r="H592" s="72">
        <v>0</v>
      </c>
      <c r="I592" t="s" s="73">
        <v>292</v>
      </c>
      <c r="J592" s="48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" customHeight="1">
      <c r="A593" t="s" s="68">
        <v>894</v>
      </c>
      <c r="B593" s="55">
        <v>46104</v>
      </c>
      <c r="C593" s="52">
        <v>109</v>
      </c>
      <c r="D593" t="s" s="50">
        <v>278</v>
      </c>
      <c r="E593" t="s" s="50">
        <v>592</v>
      </c>
      <c r="F593" t="s" s="50">
        <v>50</v>
      </c>
      <c r="G593" t="s" s="50">
        <v>318</v>
      </c>
      <c r="H593" s="69">
        <v>1</v>
      </c>
      <c r="I593" t="s" s="70">
        <v>319</v>
      </c>
      <c r="J593" s="48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" customHeight="1">
      <c r="A594" t="s" s="71">
        <v>895</v>
      </c>
      <c r="B594" s="64">
        <v>46111</v>
      </c>
      <c r="C594" s="61">
        <v>109</v>
      </c>
      <c r="D594" t="s" s="59">
        <v>278</v>
      </c>
      <c r="E594" t="s" s="59">
        <v>774</v>
      </c>
      <c r="F594" t="s" s="59">
        <v>775</v>
      </c>
      <c r="G594" t="s" s="59">
        <v>291</v>
      </c>
      <c r="H594" s="72">
        <v>0</v>
      </c>
      <c r="I594" t="s" s="73">
        <v>292</v>
      </c>
      <c r="J594" s="48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" customHeight="1">
      <c r="A595" t="s" s="68">
        <v>896</v>
      </c>
      <c r="B595" s="55">
        <v>45887</v>
      </c>
      <c r="C595" s="52">
        <v>110</v>
      </c>
      <c r="D595" t="s" s="50">
        <v>278</v>
      </c>
      <c r="E595" t="s" s="50">
        <v>290</v>
      </c>
      <c r="F595" t="s" s="50">
        <v>48</v>
      </c>
      <c r="G595" t="s" s="50">
        <v>291</v>
      </c>
      <c r="H595" s="69">
        <v>0</v>
      </c>
      <c r="I595" t="s" s="70">
        <v>292</v>
      </c>
      <c r="J595" s="48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" customHeight="1">
      <c r="A596" t="s" s="71">
        <v>897</v>
      </c>
      <c r="B596" s="64">
        <v>45908</v>
      </c>
      <c r="C596" s="61">
        <v>110</v>
      </c>
      <c r="D596" t="s" s="59">
        <v>278</v>
      </c>
      <c r="E596" t="s" s="59">
        <v>314</v>
      </c>
      <c r="F596" t="s" s="59">
        <v>48</v>
      </c>
      <c r="G596" t="s" s="59">
        <v>291</v>
      </c>
      <c r="H596" s="72">
        <v>0</v>
      </c>
      <c r="I596" t="s" s="73">
        <v>292</v>
      </c>
      <c r="J596" s="48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" customHeight="1">
      <c r="A597" t="s" s="68">
        <v>898</v>
      </c>
      <c r="B597" s="55">
        <v>45938</v>
      </c>
      <c r="C597" s="52">
        <v>110</v>
      </c>
      <c r="D597" t="s" s="50">
        <v>278</v>
      </c>
      <c r="E597" t="s" s="50">
        <v>316</v>
      </c>
      <c r="F597" t="s" s="50">
        <v>48</v>
      </c>
      <c r="G597" t="s" s="50">
        <v>291</v>
      </c>
      <c r="H597" s="69">
        <v>0</v>
      </c>
      <c r="I597" t="s" s="70">
        <v>292</v>
      </c>
      <c r="J597" s="48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" customHeight="1">
      <c r="A598" t="s" s="71">
        <v>899</v>
      </c>
      <c r="B598" s="64">
        <v>45970</v>
      </c>
      <c r="C598" s="61">
        <v>110</v>
      </c>
      <c r="D598" t="s" s="59">
        <v>278</v>
      </c>
      <c r="E598" t="s" s="59">
        <v>374</v>
      </c>
      <c r="F598" t="s" s="59">
        <v>48</v>
      </c>
      <c r="G598" t="s" s="59">
        <v>291</v>
      </c>
      <c r="H598" s="72">
        <v>0</v>
      </c>
      <c r="I598" t="s" s="73">
        <v>292</v>
      </c>
      <c r="J598" s="48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" customHeight="1">
      <c r="A599" t="s" s="68">
        <v>900</v>
      </c>
      <c r="B599" s="55">
        <v>45995</v>
      </c>
      <c r="C599" s="52">
        <v>110</v>
      </c>
      <c r="D599" t="s" s="50">
        <v>278</v>
      </c>
      <c r="E599" t="s" s="50">
        <v>376</v>
      </c>
      <c r="F599" t="s" s="50">
        <v>48</v>
      </c>
      <c r="G599" t="s" s="50">
        <v>291</v>
      </c>
      <c r="H599" s="69">
        <v>0</v>
      </c>
      <c r="I599" t="s" s="70">
        <v>292</v>
      </c>
      <c r="J599" s="48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" customHeight="1">
      <c r="A600" t="s" s="71">
        <v>901</v>
      </c>
      <c r="B600" s="64">
        <v>46023</v>
      </c>
      <c r="C600" s="61">
        <v>110</v>
      </c>
      <c r="D600" t="s" s="59">
        <v>278</v>
      </c>
      <c r="E600" t="s" s="59">
        <v>488</v>
      </c>
      <c r="F600" t="s" s="59">
        <v>49</v>
      </c>
      <c r="G600" t="s" s="59">
        <v>318</v>
      </c>
      <c r="H600" s="72">
        <v>1</v>
      </c>
      <c r="I600" t="s" s="73">
        <v>319</v>
      </c>
      <c r="J600" s="48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" customHeight="1">
      <c r="A601" t="s" s="68">
        <v>902</v>
      </c>
      <c r="B601" s="55">
        <v>46054</v>
      </c>
      <c r="C601" s="52">
        <v>110</v>
      </c>
      <c r="D601" t="s" s="50">
        <v>278</v>
      </c>
      <c r="E601" t="s" s="50">
        <v>588</v>
      </c>
      <c r="F601" t="s" s="50">
        <v>51</v>
      </c>
      <c r="G601" t="s" s="50">
        <v>291</v>
      </c>
      <c r="H601" s="69">
        <v>0</v>
      </c>
      <c r="I601" t="s" s="70">
        <v>292</v>
      </c>
      <c r="J601" s="48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" customHeight="1">
      <c r="A602" t="s" s="71">
        <v>903</v>
      </c>
      <c r="B602" s="64">
        <v>46082</v>
      </c>
      <c r="C602" s="61">
        <v>110</v>
      </c>
      <c r="D602" t="s" s="59">
        <v>278</v>
      </c>
      <c r="E602" t="s" s="59">
        <v>590</v>
      </c>
      <c r="F602" t="s" s="59">
        <v>50</v>
      </c>
      <c r="G602" t="s" s="59">
        <v>291</v>
      </c>
      <c r="H602" s="72">
        <v>0</v>
      </c>
      <c r="I602" t="s" s="73">
        <v>292</v>
      </c>
      <c r="J602" s="48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" customHeight="1">
      <c r="A603" t="s" s="68">
        <v>904</v>
      </c>
      <c r="B603" s="55">
        <v>46108</v>
      </c>
      <c r="C603" s="52">
        <v>110</v>
      </c>
      <c r="D603" t="s" s="50">
        <v>278</v>
      </c>
      <c r="E603" t="s" s="50">
        <v>592</v>
      </c>
      <c r="F603" t="s" s="50">
        <v>50</v>
      </c>
      <c r="G603" t="s" s="50">
        <v>291</v>
      </c>
      <c r="H603" s="69">
        <v>0</v>
      </c>
      <c r="I603" t="s" s="70">
        <v>292</v>
      </c>
      <c r="J603" s="48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" customHeight="1">
      <c r="A604" t="s" s="71">
        <v>905</v>
      </c>
      <c r="B604" s="64">
        <v>46107</v>
      </c>
      <c r="C604" s="61">
        <v>110</v>
      </c>
      <c r="D604" t="s" s="59">
        <v>278</v>
      </c>
      <c r="E604" t="s" s="59">
        <v>774</v>
      </c>
      <c r="F604" t="s" s="59">
        <v>775</v>
      </c>
      <c r="G604" t="s" s="59">
        <v>291</v>
      </c>
      <c r="H604" s="72">
        <v>0</v>
      </c>
      <c r="I604" t="s" s="73">
        <v>292</v>
      </c>
      <c r="J604" s="48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" customHeight="1">
      <c r="A605" t="s" s="68">
        <v>906</v>
      </c>
      <c r="B605" s="55">
        <v>45888</v>
      </c>
      <c r="C605" s="52">
        <v>111</v>
      </c>
      <c r="D605" t="s" s="50">
        <v>278</v>
      </c>
      <c r="E605" t="s" s="50">
        <v>290</v>
      </c>
      <c r="F605" t="s" s="50">
        <v>48</v>
      </c>
      <c r="G605" t="s" s="50">
        <v>291</v>
      </c>
      <c r="H605" s="69">
        <v>0</v>
      </c>
      <c r="I605" t="s" s="70">
        <v>292</v>
      </c>
      <c r="J605" s="48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" customHeight="1">
      <c r="A606" t="s" s="71">
        <v>907</v>
      </c>
      <c r="B606" s="64">
        <v>45913</v>
      </c>
      <c r="C606" s="61">
        <v>111</v>
      </c>
      <c r="D606" t="s" s="59">
        <v>278</v>
      </c>
      <c r="E606" t="s" s="59">
        <v>314</v>
      </c>
      <c r="F606" t="s" s="59">
        <v>48</v>
      </c>
      <c r="G606" t="s" s="59">
        <v>291</v>
      </c>
      <c r="H606" s="72">
        <v>0</v>
      </c>
      <c r="I606" t="s" s="73">
        <v>292</v>
      </c>
      <c r="J606" s="48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" customHeight="1">
      <c r="A607" t="s" s="68">
        <v>908</v>
      </c>
      <c r="B607" s="55">
        <v>45944</v>
      </c>
      <c r="C607" s="52">
        <v>111</v>
      </c>
      <c r="D607" t="s" s="50">
        <v>278</v>
      </c>
      <c r="E607" t="s" s="50">
        <v>316</v>
      </c>
      <c r="F607" t="s" s="50">
        <v>48</v>
      </c>
      <c r="G607" t="s" s="50">
        <v>291</v>
      </c>
      <c r="H607" s="69">
        <v>0</v>
      </c>
      <c r="I607" t="s" s="70">
        <v>292</v>
      </c>
      <c r="J607" s="48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" customHeight="1">
      <c r="A608" t="s" s="71">
        <v>909</v>
      </c>
      <c r="B608" s="64">
        <v>45973</v>
      </c>
      <c r="C608" s="61">
        <v>111</v>
      </c>
      <c r="D608" t="s" s="59">
        <v>278</v>
      </c>
      <c r="E608" t="s" s="59">
        <v>374</v>
      </c>
      <c r="F608" t="s" s="59">
        <v>48</v>
      </c>
      <c r="G608" t="s" s="59">
        <v>291</v>
      </c>
      <c r="H608" s="72">
        <v>0</v>
      </c>
      <c r="I608" t="s" s="73">
        <v>292</v>
      </c>
      <c r="J608" s="48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" customHeight="1">
      <c r="A609" t="s" s="68">
        <v>910</v>
      </c>
      <c r="B609" s="55">
        <v>46000</v>
      </c>
      <c r="C609" s="52">
        <v>111</v>
      </c>
      <c r="D609" t="s" s="50">
        <v>278</v>
      </c>
      <c r="E609" t="s" s="50">
        <v>376</v>
      </c>
      <c r="F609" t="s" s="50">
        <v>48</v>
      </c>
      <c r="G609" t="s" s="50">
        <v>291</v>
      </c>
      <c r="H609" s="69">
        <v>0</v>
      </c>
      <c r="I609" t="s" s="70">
        <v>292</v>
      </c>
      <c r="J609" s="48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" customHeight="1">
      <c r="A610" t="s" s="71">
        <v>911</v>
      </c>
      <c r="B610" s="64">
        <v>46027</v>
      </c>
      <c r="C610" s="61">
        <v>111</v>
      </c>
      <c r="D610" t="s" s="59">
        <v>278</v>
      </c>
      <c r="E610" t="s" s="59">
        <v>488</v>
      </c>
      <c r="F610" t="s" s="59">
        <v>49</v>
      </c>
      <c r="G610" t="s" s="59">
        <v>318</v>
      </c>
      <c r="H610" s="72">
        <v>2</v>
      </c>
      <c r="I610" t="s" s="73">
        <v>319</v>
      </c>
      <c r="J610" s="48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" customHeight="1">
      <c r="A611" t="s" s="68">
        <v>912</v>
      </c>
      <c r="B611" s="55">
        <v>46053</v>
      </c>
      <c r="C611" s="52">
        <v>111</v>
      </c>
      <c r="D611" t="s" s="50">
        <v>278</v>
      </c>
      <c r="E611" t="s" s="50">
        <v>588</v>
      </c>
      <c r="F611" t="s" s="50">
        <v>51</v>
      </c>
      <c r="G611" t="s" s="50">
        <v>291</v>
      </c>
      <c r="H611" s="69">
        <v>0</v>
      </c>
      <c r="I611" t="s" s="70">
        <v>292</v>
      </c>
      <c r="J611" s="48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" customHeight="1">
      <c r="A612" t="s" s="71">
        <v>913</v>
      </c>
      <c r="B612" s="64">
        <v>46081</v>
      </c>
      <c r="C612" s="61">
        <v>111</v>
      </c>
      <c r="D612" t="s" s="59">
        <v>278</v>
      </c>
      <c r="E612" t="s" s="59">
        <v>590</v>
      </c>
      <c r="F612" t="s" s="59">
        <v>50</v>
      </c>
      <c r="G612" t="s" s="59">
        <v>291</v>
      </c>
      <c r="H612" s="72">
        <v>0</v>
      </c>
      <c r="I612" t="s" s="73">
        <v>292</v>
      </c>
      <c r="J612" s="48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" customHeight="1">
      <c r="A613" t="s" s="68">
        <v>914</v>
      </c>
      <c r="B613" s="55">
        <v>46111</v>
      </c>
      <c r="C613" s="52">
        <v>111</v>
      </c>
      <c r="D613" t="s" s="50">
        <v>278</v>
      </c>
      <c r="E613" t="s" s="50">
        <v>592</v>
      </c>
      <c r="F613" t="s" s="50">
        <v>50</v>
      </c>
      <c r="G613" t="s" s="50">
        <v>291</v>
      </c>
      <c r="H613" s="69">
        <v>0</v>
      </c>
      <c r="I613" t="s" s="70">
        <v>292</v>
      </c>
      <c r="J613" s="48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" customHeight="1">
      <c r="A614" t="s" s="71">
        <v>915</v>
      </c>
      <c r="B614" s="64">
        <v>46104</v>
      </c>
      <c r="C614" s="61">
        <v>111</v>
      </c>
      <c r="D614" t="s" s="59">
        <v>278</v>
      </c>
      <c r="E614" t="s" s="59">
        <v>774</v>
      </c>
      <c r="F614" t="s" s="59">
        <v>775</v>
      </c>
      <c r="G614" t="s" s="59">
        <v>318</v>
      </c>
      <c r="H614" s="72">
        <v>2</v>
      </c>
      <c r="I614" t="s" s="73">
        <v>319</v>
      </c>
      <c r="J614" s="48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" customHeight="1">
      <c r="A615" t="s" s="68">
        <v>916</v>
      </c>
      <c r="B615" s="55">
        <v>45885</v>
      </c>
      <c r="C615" s="52">
        <v>112</v>
      </c>
      <c r="D615" t="s" s="50">
        <v>278</v>
      </c>
      <c r="E615" t="s" s="50">
        <v>290</v>
      </c>
      <c r="F615" t="s" s="50">
        <v>48</v>
      </c>
      <c r="G615" t="s" s="50">
        <v>291</v>
      </c>
      <c r="H615" s="69">
        <v>0</v>
      </c>
      <c r="I615" t="s" s="70">
        <v>292</v>
      </c>
      <c r="J615" s="48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" customHeight="1">
      <c r="A616" t="s" s="71">
        <v>917</v>
      </c>
      <c r="B616" s="64">
        <v>45916</v>
      </c>
      <c r="C616" s="61">
        <v>112</v>
      </c>
      <c r="D616" t="s" s="59">
        <v>278</v>
      </c>
      <c r="E616" t="s" s="59">
        <v>314</v>
      </c>
      <c r="F616" t="s" s="59">
        <v>48</v>
      </c>
      <c r="G616" t="s" s="59">
        <v>291</v>
      </c>
      <c r="H616" s="72">
        <v>0</v>
      </c>
      <c r="I616" t="s" s="73">
        <v>292</v>
      </c>
      <c r="J616" s="48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" customHeight="1">
      <c r="A617" t="s" s="68">
        <v>918</v>
      </c>
      <c r="B617" s="55">
        <v>45942</v>
      </c>
      <c r="C617" s="52">
        <v>112</v>
      </c>
      <c r="D617" t="s" s="50">
        <v>278</v>
      </c>
      <c r="E617" t="s" s="50">
        <v>316</v>
      </c>
      <c r="F617" t="s" s="50">
        <v>48</v>
      </c>
      <c r="G617" t="s" s="50">
        <v>291</v>
      </c>
      <c r="H617" s="69">
        <v>0</v>
      </c>
      <c r="I617" t="s" s="70">
        <v>292</v>
      </c>
      <c r="J617" s="48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" customHeight="1">
      <c r="A618" t="s" s="71">
        <v>919</v>
      </c>
      <c r="B618" s="64">
        <v>45971</v>
      </c>
      <c r="C618" s="61">
        <v>112</v>
      </c>
      <c r="D618" t="s" s="59">
        <v>278</v>
      </c>
      <c r="E618" t="s" s="59">
        <v>374</v>
      </c>
      <c r="F618" t="s" s="59">
        <v>48</v>
      </c>
      <c r="G618" t="s" s="59">
        <v>291</v>
      </c>
      <c r="H618" s="72">
        <v>0</v>
      </c>
      <c r="I618" t="s" s="73">
        <v>292</v>
      </c>
      <c r="J618" s="48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" customHeight="1">
      <c r="A619" t="s" s="68">
        <v>920</v>
      </c>
      <c r="B619" s="55">
        <v>45997</v>
      </c>
      <c r="C619" s="52">
        <v>112</v>
      </c>
      <c r="D619" t="s" s="50">
        <v>278</v>
      </c>
      <c r="E619" t="s" s="50">
        <v>376</v>
      </c>
      <c r="F619" t="s" s="50">
        <v>48</v>
      </c>
      <c r="G619" t="s" s="50">
        <v>291</v>
      </c>
      <c r="H619" s="69">
        <v>0</v>
      </c>
      <c r="I619" t="s" s="70">
        <v>292</v>
      </c>
      <c r="J619" s="48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" customHeight="1">
      <c r="A620" t="s" s="71">
        <v>921</v>
      </c>
      <c r="B620" s="64">
        <v>46028</v>
      </c>
      <c r="C620" s="61">
        <v>112</v>
      </c>
      <c r="D620" t="s" s="59">
        <v>278</v>
      </c>
      <c r="E620" t="s" s="59">
        <v>488</v>
      </c>
      <c r="F620" t="s" s="59">
        <v>49</v>
      </c>
      <c r="G620" t="s" s="59">
        <v>291</v>
      </c>
      <c r="H620" s="72">
        <v>0</v>
      </c>
      <c r="I620" t="s" s="73">
        <v>292</v>
      </c>
      <c r="J620" s="48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" customHeight="1">
      <c r="A621" t="s" s="68">
        <v>922</v>
      </c>
      <c r="B621" s="55">
        <v>46052</v>
      </c>
      <c r="C621" s="52">
        <v>112</v>
      </c>
      <c r="D621" t="s" s="50">
        <v>278</v>
      </c>
      <c r="E621" t="s" s="50">
        <v>588</v>
      </c>
      <c r="F621" t="s" s="50">
        <v>51</v>
      </c>
      <c r="G621" t="s" s="50">
        <v>291</v>
      </c>
      <c r="H621" s="69">
        <v>0</v>
      </c>
      <c r="I621" t="s" s="70">
        <v>292</v>
      </c>
      <c r="J621" s="48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" customHeight="1">
      <c r="A622" t="s" s="71">
        <v>923</v>
      </c>
      <c r="B622" s="64">
        <v>46086</v>
      </c>
      <c r="C622" s="61">
        <v>112</v>
      </c>
      <c r="D622" t="s" s="59">
        <v>278</v>
      </c>
      <c r="E622" t="s" s="59">
        <v>590</v>
      </c>
      <c r="F622" t="s" s="59">
        <v>50</v>
      </c>
      <c r="G622" t="s" s="59">
        <v>291</v>
      </c>
      <c r="H622" s="72">
        <v>0</v>
      </c>
      <c r="I622" t="s" s="73">
        <v>292</v>
      </c>
      <c r="J622" s="48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" customHeight="1">
      <c r="A623" t="s" s="68">
        <v>924</v>
      </c>
      <c r="B623" s="55">
        <v>46112</v>
      </c>
      <c r="C623" s="52">
        <v>112</v>
      </c>
      <c r="D623" t="s" s="50">
        <v>278</v>
      </c>
      <c r="E623" t="s" s="50">
        <v>592</v>
      </c>
      <c r="F623" t="s" s="50">
        <v>50</v>
      </c>
      <c r="G623" t="s" s="50">
        <v>291</v>
      </c>
      <c r="H623" s="69">
        <v>0</v>
      </c>
      <c r="I623" t="s" s="70">
        <v>292</v>
      </c>
      <c r="J623" s="48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" customHeight="1">
      <c r="A624" t="s" s="71">
        <v>925</v>
      </c>
      <c r="B624" s="64">
        <v>46110</v>
      </c>
      <c r="C624" s="61">
        <v>112</v>
      </c>
      <c r="D624" t="s" s="59">
        <v>278</v>
      </c>
      <c r="E624" t="s" s="59">
        <v>774</v>
      </c>
      <c r="F624" t="s" s="59">
        <v>775</v>
      </c>
      <c r="G624" t="s" s="59">
        <v>291</v>
      </c>
      <c r="H624" s="72">
        <v>0</v>
      </c>
      <c r="I624" t="s" s="73">
        <v>292</v>
      </c>
      <c r="J624" s="48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" customHeight="1">
      <c r="A625" t="s" s="68">
        <v>926</v>
      </c>
      <c r="B625" s="55">
        <v>45893</v>
      </c>
      <c r="C625" s="52">
        <v>113</v>
      </c>
      <c r="D625" t="s" s="50">
        <v>278</v>
      </c>
      <c r="E625" t="s" s="50">
        <v>290</v>
      </c>
      <c r="F625" t="s" s="50">
        <v>48</v>
      </c>
      <c r="G625" t="s" s="50">
        <v>318</v>
      </c>
      <c r="H625" s="69">
        <v>1</v>
      </c>
      <c r="I625" t="s" s="70">
        <v>319</v>
      </c>
      <c r="J625" s="48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" customHeight="1">
      <c r="A626" t="s" s="71">
        <v>927</v>
      </c>
      <c r="B626" s="64">
        <v>45919</v>
      </c>
      <c r="C626" s="61">
        <v>113</v>
      </c>
      <c r="D626" t="s" s="59">
        <v>278</v>
      </c>
      <c r="E626" t="s" s="59">
        <v>314</v>
      </c>
      <c r="F626" t="s" s="59">
        <v>48</v>
      </c>
      <c r="G626" t="s" s="59">
        <v>291</v>
      </c>
      <c r="H626" s="72">
        <v>0</v>
      </c>
      <c r="I626" t="s" s="73">
        <v>292</v>
      </c>
      <c r="J626" s="48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" customHeight="1">
      <c r="A627" t="s" s="68">
        <v>928</v>
      </c>
      <c r="B627" s="55">
        <v>45949</v>
      </c>
      <c r="C627" s="52">
        <v>113</v>
      </c>
      <c r="D627" t="s" s="50">
        <v>278</v>
      </c>
      <c r="E627" t="s" s="50">
        <v>316</v>
      </c>
      <c r="F627" t="s" s="50">
        <v>48</v>
      </c>
      <c r="G627" t="s" s="50">
        <v>318</v>
      </c>
      <c r="H627" s="69">
        <v>1</v>
      </c>
      <c r="I627" t="s" s="70">
        <v>319</v>
      </c>
      <c r="J627" s="48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" customHeight="1">
      <c r="A628" t="s" s="71">
        <v>929</v>
      </c>
      <c r="B628" s="64">
        <v>45972</v>
      </c>
      <c r="C628" s="61">
        <v>113</v>
      </c>
      <c r="D628" t="s" s="59">
        <v>278</v>
      </c>
      <c r="E628" t="s" s="59">
        <v>374</v>
      </c>
      <c r="F628" t="s" s="59">
        <v>48</v>
      </c>
      <c r="G628" t="s" s="59">
        <v>291</v>
      </c>
      <c r="H628" s="72">
        <v>0</v>
      </c>
      <c r="I628" t="s" s="73">
        <v>292</v>
      </c>
      <c r="J628" s="48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" customHeight="1">
      <c r="A629" t="s" s="68">
        <v>930</v>
      </c>
      <c r="B629" s="55">
        <v>45998</v>
      </c>
      <c r="C629" s="52">
        <v>113</v>
      </c>
      <c r="D629" t="s" s="50">
        <v>278</v>
      </c>
      <c r="E629" t="s" s="50">
        <v>376</v>
      </c>
      <c r="F629" t="s" s="50">
        <v>48</v>
      </c>
      <c r="G629" t="s" s="50">
        <v>291</v>
      </c>
      <c r="H629" s="69">
        <v>0</v>
      </c>
      <c r="I629" t="s" s="70">
        <v>292</v>
      </c>
      <c r="J629" s="48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" customHeight="1">
      <c r="A630" t="s" s="71">
        <v>931</v>
      </c>
      <c r="B630" s="64">
        <v>46031</v>
      </c>
      <c r="C630" s="61">
        <v>113</v>
      </c>
      <c r="D630" t="s" s="59">
        <v>278</v>
      </c>
      <c r="E630" t="s" s="59">
        <v>488</v>
      </c>
      <c r="F630" t="s" s="59">
        <v>49</v>
      </c>
      <c r="G630" t="s" s="59">
        <v>291</v>
      </c>
      <c r="H630" s="72">
        <v>0</v>
      </c>
      <c r="I630" t="s" s="73">
        <v>292</v>
      </c>
      <c r="J630" s="48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" customHeight="1">
      <c r="A631" t="s" s="68">
        <v>932</v>
      </c>
      <c r="B631" s="55">
        <v>46059</v>
      </c>
      <c r="C631" s="52">
        <v>113</v>
      </c>
      <c r="D631" t="s" s="50">
        <v>278</v>
      </c>
      <c r="E631" t="s" s="50">
        <v>588</v>
      </c>
      <c r="F631" t="s" s="50">
        <v>51</v>
      </c>
      <c r="G631" t="s" s="50">
        <v>291</v>
      </c>
      <c r="H631" s="69">
        <v>0</v>
      </c>
      <c r="I631" t="s" s="70">
        <v>292</v>
      </c>
      <c r="J631" s="48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" customHeight="1">
      <c r="A632" t="s" s="71">
        <v>933</v>
      </c>
      <c r="B632" s="64">
        <v>46088</v>
      </c>
      <c r="C632" s="61">
        <v>113</v>
      </c>
      <c r="D632" t="s" s="59">
        <v>278</v>
      </c>
      <c r="E632" t="s" s="59">
        <v>590</v>
      </c>
      <c r="F632" t="s" s="59">
        <v>50</v>
      </c>
      <c r="G632" t="s" s="59">
        <v>291</v>
      </c>
      <c r="H632" s="72">
        <v>0</v>
      </c>
      <c r="I632" t="s" s="73">
        <v>292</v>
      </c>
      <c r="J632" s="48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" customHeight="1">
      <c r="A633" t="s" s="68">
        <v>934</v>
      </c>
      <c r="B633" s="55">
        <v>46103</v>
      </c>
      <c r="C633" s="52">
        <v>113</v>
      </c>
      <c r="D633" t="s" s="50">
        <v>278</v>
      </c>
      <c r="E633" t="s" s="50">
        <v>592</v>
      </c>
      <c r="F633" t="s" s="50">
        <v>50</v>
      </c>
      <c r="G633" t="s" s="50">
        <v>507</v>
      </c>
      <c r="H633" s="69">
        <v>3</v>
      </c>
      <c r="I633" t="s" s="70">
        <v>508</v>
      </c>
      <c r="J633" s="48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" customHeight="1">
      <c r="A634" t="s" s="71">
        <v>935</v>
      </c>
      <c r="B634" s="64">
        <v>46106</v>
      </c>
      <c r="C634" s="61">
        <v>113</v>
      </c>
      <c r="D634" t="s" s="59">
        <v>278</v>
      </c>
      <c r="E634" t="s" s="59">
        <v>774</v>
      </c>
      <c r="F634" t="s" s="59">
        <v>775</v>
      </c>
      <c r="G634" t="s" s="59">
        <v>291</v>
      </c>
      <c r="H634" s="72">
        <v>0</v>
      </c>
      <c r="I634" t="s" s="73">
        <v>292</v>
      </c>
      <c r="J634" s="48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" customHeight="1">
      <c r="A635" t="s" s="68">
        <v>936</v>
      </c>
      <c r="B635" s="55">
        <v>45889</v>
      </c>
      <c r="C635" s="52">
        <v>114</v>
      </c>
      <c r="D635" t="s" s="50">
        <v>278</v>
      </c>
      <c r="E635" t="s" s="50">
        <v>290</v>
      </c>
      <c r="F635" t="s" s="50">
        <v>48</v>
      </c>
      <c r="G635" t="s" s="50">
        <v>291</v>
      </c>
      <c r="H635" s="69">
        <v>0</v>
      </c>
      <c r="I635" t="s" s="70">
        <v>292</v>
      </c>
      <c r="J635" s="48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" customHeight="1">
      <c r="A636" t="s" s="71">
        <v>937</v>
      </c>
      <c r="B636" s="64">
        <v>45916</v>
      </c>
      <c r="C636" s="61">
        <v>114</v>
      </c>
      <c r="D636" t="s" s="59">
        <v>278</v>
      </c>
      <c r="E636" t="s" s="59">
        <v>314</v>
      </c>
      <c r="F636" t="s" s="59">
        <v>48</v>
      </c>
      <c r="G636" t="s" s="59">
        <v>291</v>
      </c>
      <c r="H636" s="72">
        <v>0</v>
      </c>
      <c r="I636" t="s" s="73">
        <v>292</v>
      </c>
      <c r="J636" s="48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" customHeight="1">
      <c r="A637" t="s" s="68">
        <v>938</v>
      </c>
      <c r="B637" s="55">
        <v>45950</v>
      </c>
      <c r="C637" s="52">
        <v>114</v>
      </c>
      <c r="D637" t="s" s="50">
        <v>278</v>
      </c>
      <c r="E637" t="s" s="50">
        <v>316</v>
      </c>
      <c r="F637" t="s" s="50">
        <v>48</v>
      </c>
      <c r="G637" t="s" s="50">
        <v>291</v>
      </c>
      <c r="H637" s="69">
        <v>0</v>
      </c>
      <c r="I637" t="s" s="70">
        <v>292</v>
      </c>
      <c r="J637" s="48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" customHeight="1">
      <c r="A638" t="s" s="71">
        <v>939</v>
      </c>
      <c r="B638" s="64">
        <v>45974</v>
      </c>
      <c r="C638" s="61">
        <v>114</v>
      </c>
      <c r="D638" t="s" s="59">
        <v>278</v>
      </c>
      <c r="E638" t="s" s="59">
        <v>374</v>
      </c>
      <c r="F638" t="s" s="59">
        <v>48</v>
      </c>
      <c r="G638" t="s" s="59">
        <v>291</v>
      </c>
      <c r="H638" s="72">
        <v>0</v>
      </c>
      <c r="I638" t="s" s="73">
        <v>292</v>
      </c>
      <c r="J638" s="48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" customHeight="1">
      <c r="A639" t="s" s="68">
        <v>940</v>
      </c>
      <c r="B639" s="55">
        <v>46007</v>
      </c>
      <c r="C639" s="52">
        <v>114</v>
      </c>
      <c r="D639" t="s" s="50">
        <v>278</v>
      </c>
      <c r="E639" t="s" s="50">
        <v>376</v>
      </c>
      <c r="F639" t="s" s="50">
        <v>48</v>
      </c>
      <c r="G639" t="s" s="50">
        <v>291</v>
      </c>
      <c r="H639" s="69">
        <v>0</v>
      </c>
      <c r="I639" t="s" s="70">
        <v>292</v>
      </c>
      <c r="J639" s="48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" customHeight="1">
      <c r="A640" t="s" s="71">
        <v>941</v>
      </c>
      <c r="B640" s="64">
        <v>46030</v>
      </c>
      <c r="C640" s="61">
        <v>114</v>
      </c>
      <c r="D640" t="s" s="59">
        <v>278</v>
      </c>
      <c r="E640" t="s" s="59">
        <v>488</v>
      </c>
      <c r="F640" t="s" s="59">
        <v>49</v>
      </c>
      <c r="G640" t="s" s="59">
        <v>291</v>
      </c>
      <c r="H640" s="72">
        <v>0</v>
      </c>
      <c r="I640" t="s" s="73">
        <v>292</v>
      </c>
      <c r="J640" s="48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" customHeight="1">
      <c r="A641" t="s" s="68">
        <v>942</v>
      </c>
      <c r="B641" s="55">
        <v>46061</v>
      </c>
      <c r="C641" s="52">
        <v>114</v>
      </c>
      <c r="D641" t="s" s="50">
        <v>278</v>
      </c>
      <c r="E641" t="s" s="50">
        <v>588</v>
      </c>
      <c r="F641" t="s" s="50">
        <v>51</v>
      </c>
      <c r="G641" t="s" s="50">
        <v>291</v>
      </c>
      <c r="H641" s="69">
        <v>0</v>
      </c>
      <c r="I641" t="s" s="70">
        <v>292</v>
      </c>
      <c r="J641" s="48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" customHeight="1">
      <c r="A642" t="s" s="71">
        <v>943</v>
      </c>
      <c r="B642" s="64">
        <v>46087</v>
      </c>
      <c r="C642" s="61">
        <v>114</v>
      </c>
      <c r="D642" t="s" s="59">
        <v>278</v>
      </c>
      <c r="E642" t="s" s="59">
        <v>590</v>
      </c>
      <c r="F642" t="s" s="59">
        <v>50</v>
      </c>
      <c r="G642" t="s" s="59">
        <v>291</v>
      </c>
      <c r="H642" s="72">
        <v>0</v>
      </c>
      <c r="I642" t="s" s="73">
        <v>292</v>
      </c>
      <c r="J642" s="48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" customHeight="1">
      <c r="A643" t="s" s="68">
        <v>944</v>
      </c>
      <c r="B643" s="55">
        <v>46104</v>
      </c>
      <c r="C643" s="52">
        <v>114</v>
      </c>
      <c r="D643" t="s" s="50">
        <v>278</v>
      </c>
      <c r="E643" t="s" s="50">
        <v>592</v>
      </c>
      <c r="F643" t="s" s="50">
        <v>50</v>
      </c>
      <c r="G643" t="s" s="50">
        <v>318</v>
      </c>
      <c r="H643" s="69">
        <v>1</v>
      </c>
      <c r="I643" t="s" s="70">
        <v>319</v>
      </c>
      <c r="J643" s="48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" customHeight="1">
      <c r="A644" t="s" s="71">
        <v>945</v>
      </c>
      <c r="B644" s="64">
        <v>46110</v>
      </c>
      <c r="C644" s="61">
        <v>114</v>
      </c>
      <c r="D644" t="s" s="59">
        <v>278</v>
      </c>
      <c r="E644" t="s" s="59">
        <v>774</v>
      </c>
      <c r="F644" t="s" s="59">
        <v>775</v>
      </c>
      <c r="G644" t="s" s="59">
        <v>318</v>
      </c>
      <c r="H644" s="72">
        <v>2</v>
      </c>
      <c r="I644" t="s" s="73">
        <v>319</v>
      </c>
      <c r="J644" s="48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" customHeight="1">
      <c r="A645" t="s" s="68">
        <v>946</v>
      </c>
      <c r="B645" s="55">
        <v>45894</v>
      </c>
      <c r="C645" s="52">
        <v>115</v>
      </c>
      <c r="D645" t="s" s="50">
        <v>278</v>
      </c>
      <c r="E645" t="s" s="50">
        <v>290</v>
      </c>
      <c r="F645" t="s" s="50">
        <v>48</v>
      </c>
      <c r="G645" t="s" s="50">
        <v>291</v>
      </c>
      <c r="H645" s="69">
        <v>0</v>
      </c>
      <c r="I645" t="s" s="70">
        <v>292</v>
      </c>
      <c r="J645" s="48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" customHeight="1">
      <c r="A646" t="s" s="71">
        <v>947</v>
      </c>
      <c r="B646" s="64">
        <v>45918</v>
      </c>
      <c r="C646" s="61">
        <v>115</v>
      </c>
      <c r="D646" t="s" s="59">
        <v>278</v>
      </c>
      <c r="E646" t="s" s="59">
        <v>314</v>
      </c>
      <c r="F646" t="s" s="59">
        <v>48</v>
      </c>
      <c r="G646" t="s" s="59">
        <v>291</v>
      </c>
      <c r="H646" s="72">
        <v>0</v>
      </c>
      <c r="I646" t="s" s="73">
        <v>292</v>
      </c>
      <c r="J646" s="48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" customHeight="1">
      <c r="A647" t="s" s="68">
        <v>948</v>
      </c>
      <c r="B647" s="55">
        <v>45952</v>
      </c>
      <c r="C647" s="52">
        <v>115</v>
      </c>
      <c r="D647" t="s" s="50">
        <v>278</v>
      </c>
      <c r="E647" t="s" s="50">
        <v>316</v>
      </c>
      <c r="F647" t="s" s="50">
        <v>48</v>
      </c>
      <c r="G647" t="s" s="50">
        <v>318</v>
      </c>
      <c r="H647" s="69">
        <v>2</v>
      </c>
      <c r="I647" t="s" s="70">
        <v>319</v>
      </c>
      <c r="J647" s="48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" customHeight="1">
      <c r="A648" t="s" s="71">
        <v>949</v>
      </c>
      <c r="B648" s="64">
        <v>45980</v>
      </c>
      <c r="C648" s="61">
        <v>115</v>
      </c>
      <c r="D648" t="s" s="59">
        <v>278</v>
      </c>
      <c r="E648" t="s" s="59">
        <v>374</v>
      </c>
      <c r="F648" t="s" s="59">
        <v>48</v>
      </c>
      <c r="G648" t="s" s="59">
        <v>291</v>
      </c>
      <c r="H648" s="72">
        <v>0</v>
      </c>
      <c r="I648" t="s" s="73">
        <v>292</v>
      </c>
      <c r="J648" s="48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" customHeight="1">
      <c r="A649" t="s" s="68">
        <v>950</v>
      </c>
      <c r="B649" s="55">
        <v>46005</v>
      </c>
      <c r="C649" s="52">
        <v>115</v>
      </c>
      <c r="D649" t="s" s="50">
        <v>278</v>
      </c>
      <c r="E649" t="s" s="50">
        <v>376</v>
      </c>
      <c r="F649" t="s" s="50">
        <v>48</v>
      </c>
      <c r="G649" t="s" s="50">
        <v>291</v>
      </c>
      <c r="H649" s="69">
        <v>0</v>
      </c>
      <c r="I649" t="s" s="70">
        <v>292</v>
      </c>
      <c r="J649" s="48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" customHeight="1">
      <c r="A650" t="s" s="71">
        <v>951</v>
      </c>
      <c r="B650" s="64">
        <v>46033</v>
      </c>
      <c r="C650" s="61">
        <v>115</v>
      </c>
      <c r="D650" t="s" s="59">
        <v>278</v>
      </c>
      <c r="E650" t="s" s="59">
        <v>488</v>
      </c>
      <c r="F650" t="s" s="59">
        <v>49</v>
      </c>
      <c r="G650" t="s" s="59">
        <v>291</v>
      </c>
      <c r="H650" s="72">
        <v>0</v>
      </c>
      <c r="I650" t="s" s="73">
        <v>292</v>
      </c>
      <c r="J650" s="48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" customHeight="1">
      <c r="A651" t="s" s="68">
        <v>952</v>
      </c>
      <c r="B651" s="55">
        <v>46059</v>
      </c>
      <c r="C651" s="52">
        <v>115</v>
      </c>
      <c r="D651" t="s" s="50">
        <v>278</v>
      </c>
      <c r="E651" t="s" s="50">
        <v>588</v>
      </c>
      <c r="F651" t="s" s="50">
        <v>51</v>
      </c>
      <c r="G651" t="s" s="50">
        <v>318</v>
      </c>
      <c r="H651" s="69">
        <v>1</v>
      </c>
      <c r="I651" t="s" s="70">
        <v>319</v>
      </c>
      <c r="J651" s="48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" customHeight="1">
      <c r="A652" t="s" s="71">
        <v>953</v>
      </c>
      <c r="B652" s="64">
        <v>46087</v>
      </c>
      <c r="C652" s="61">
        <v>115</v>
      </c>
      <c r="D652" t="s" s="59">
        <v>278</v>
      </c>
      <c r="E652" t="s" s="59">
        <v>590</v>
      </c>
      <c r="F652" t="s" s="59">
        <v>50</v>
      </c>
      <c r="G652" t="s" s="59">
        <v>291</v>
      </c>
      <c r="H652" s="72">
        <v>0</v>
      </c>
      <c r="I652" t="s" s="73">
        <v>292</v>
      </c>
      <c r="J652" s="48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" customHeight="1">
      <c r="A653" t="s" s="68">
        <v>954</v>
      </c>
      <c r="B653" s="55">
        <v>46112</v>
      </c>
      <c r="C653" s="52">
        <v>115</v>
      </c>
      <c r="D653" t="s" s="50">
        <v>278</v>
      </c>
      <c r="E653" t="s" s="50">
        <v>592</v>
      </c>
      <c r="F653" t="s" s="50">
        <v>50</v>
      </c>
      <c r="G653" t="s" s="50">
        <v>291</v>
      </c>
      <c r="H653" s="69">
        <v>0</v>
      </c>
      <c r="I653" t="s" s="70">
        <v>292</v>
      </c>
      <c r="J653" s="48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" customHeight="1">
      <c r="A654" t="s" s="71">
        <v>955</v>
      </c>
      <c r="B654" s="64">
        <v>46103</v>
      </c>
      <c r="C654" s="61">
        <v>115</v>
      </c>
      <c r="D654" t="s" s="59">
        <v>278</v>
      </c>
      <c r="E654" t="s" s="59">
        <v>774</v>
      </c>
      <c r="F654" t="s" s="59">
        <v>775</v>
      </c>
      <c r="G654" t="s" s="59">
        <v>318</v>
      </c>
      <c r="H654" s="72">
        <v>1</v>
      </c>
      <c r="I654" t="s" s="73">
        <v>319</v>
      </c>
      <c r="J654" s="48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" customHeight="1">
      <c r="A655" t="s" s="68">
        <v>956</v>
      </c>
      <c r="B655" s="55">
        <v>45896</v>
      </c>
      <c r="C655" s="52">
        <v>116</v>
      </c>
      <c r="D655" t="s" s="50">
        <v>278</v>
      </c>
      <c r="E655" t="s" s="50">
        <v>290</v>
      </c>
      <c r="F655" t="s" s="50">
        <v>48</v>
      </c>
      <c r="G655" t="s" s="50">
        <v>291</v>
      </c>
      <c r="H655" s="69">
        <v>0</v>
      </c>
      <c r="I655" t="s" s="70">
        <v>292</v>
      </c>
      <c r="J655" s="48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" customHeight="1">
      <c r="A656" t="s" s="71">
        <v>957</v>
      </c>
      <c r="B656" s="64">
        <v>45922</v>
      </c>
      <c r="C656" s="61">
        <v>116</v>
      </c>
      <c r="D656" t="s" s="59">
        <v>278</v>
      </c>
      <c r="E656" t="s" s="59">
        <v>314</v>
      </c>
      <c r="F656" t="s" s="59">
        <v>48</v>
      </c>
      <c r="G656" t="s" s="59">
        <v>291</v>
      </c>
      <c r="H656" s="72">
        <v>0</v>
      </c>
      <c r="I656" t="s" s="73">
        <v>292</v>
      </c>
      <c r="J656" s="48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" customHeight="1">
      <c r="A657" t="s" s="68">
        <v>958</v>
      </c>
      <c r="B657" s="55">
        <v>45953</v>
      </c>
      <c r="C657" s="52">
        <v>116</v>
      </c>
      <c r="D657" t="s" s="50">
        <v>278</v>
      </c>
      <c r="E657" t="s" s="50">
        <v>316</v>
      </c>
      <c r="F657" t="s" s="50">
        <v>48</v>
      </c>
      <c r="G657" t="s" s="50">
        <v>291</v>
      </c>
      <c r="H657" s="69">
        <v>0</v>
      </c>
      <c r="I657" t="s" s="70">
        <v>292</v>
      </c>
      <c r="J657" s="48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" customHeight="1">
      <c r="A658" t="s" s="71">
        <v>959</v>
      </c>
      <c r="B658" s="64">
        <v>45979</v>
      </c>
      <c r="C658" s="61">
        <v>116</v>
      </c>
      <c r="D658" t="s" s="59">
        <v>278</v>
      </c>
      <c r="E658" t="s" s="59">
        <v>374</v>
      </c>
      <c r="F658" t="s" s="59">
        <v>48</v>
      </c>
      <c r="G658" t="s" s="59">
        <v>291</v>
      </c>
      <c r="H658" s="72">
        <v>0</v>
      </c>
      <c r="I658" t="s" s="73">
        <v>292</v>
      </c>
      <c r="J658" s="48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" customHeight="1">
      <c r="A659" t="s" s="68">
        <v>960</v>
      </c>
      <c r="B659" s="55">
        <v>46004</v>
      </c>
      <c r="C659" s="52">
        <v>116</v>
      </c>
      <c r="D659" t="s" s="50">
        <v>278</v>
      </c>
      <c r="E659" t="s" s="50">
        <v>376</v>
      </c>
      <c r="F659" t="s" s="50">
        <v>48</v>
      </c>
      <c r="G659" t="s" s="50">
        <v>291</v>
      </c>
      <c r="H659" s="69">
        <v>0</v>
      </c>
      <c r="I659" t="s" s="70">
        <v>292</v>
      </c>
      <c r="J659" s="48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" customHeight="1">
      <c r="A660" t="s" s="71">
        <v>961</v>
      </c>
      <c r="B660" s="64">
        <v>46035</v>
      </c>
      <c r="C660" s="61">
        <v>116</v>
      </c>
      <c r="D660" t="s" s="59">
        <v>278</v>
      </c>
      <c r="E660" t="s" s="59">
        <v>488</v>
      </c>
      <c r="F660" t="s" s="59">
        <v>49</v>
      </c>
      <c r="G660" t="s" s="59">
        <v>291</v>
      </c>
      <c r="H660" s="72">
        <v>0</v>
      </c>
      <c r="I660" t="s" s="73">
        <v>292</v>
      </c>
      <c r="J660" s="48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" customHeight="1">
      <c r="A661" t="s" s="68">
        <v>962</v>
      </c>
      <c r="B661" s="55">
        <v>46065</v>
      </c>
      <c r="C661" s="52">
        <v>116</v>
      </c>
      <c r="D661" t="s" s="50">
        <v>278</v>
      </c>
      <c r="E661" t="s" s="50">
        <v>588</v>
      </c>
      <c r="F661" t="s" s="50">
        <v>51</v>
      </c>
      <c r="G661" t="s" s="50">
        <v>291</v>
      </c>
      <c r="H661" s="69">
        <v>0</v>
      </c>
      <c r="I661" t="s" s="70">
        <v>292</v>
      </c>
      <c r="J661" s="48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" customHeight="1">
      <c r="A662" t="s" s="71">
        <v>963</v>
      </c>
      <c r="B662" s="64">
        <v>46090</v>
      </c>
      <c r="C662" s="61">
        <v>116</v>
      </c>
      <c r="D662" t="s" s="59">
        <v>278</v>
      </c>
      <c r="E662" t="s" s="59">
        <v>590</v>
      </c>
      <c r="F662" t="s" s="59">
        <v>50</v>
      </c>
      <c r="G662" t="s" s="59">
        <v>291</v>
      </c>
      <c r="H662" s="72">
        <v>0</v>
      </c>
      <c r="I662" t="s" s="73">
        <v>292</v>
      </c>
      <c r="J662" s="48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" customHeight="1">
      <c r="A663" t="s" s="68">
        <v>964</v>
      </c>
      <c r="B663" s="55">
        <v>46108</v>
      </c>
      <c r="C663" s="52">
        <v>116</v>
      </c>
      <c r="D663" t="s" s="50">
        <v>278</v>
      </c>
      <c r="E663" t="s" s="50">
        <v>592</v>
      </c>
      <c r="F663" t="s" s="50">
        <v>50</v>
      </c>
      <c r="G663" t="s" s="50">
        <v>291</v>
      </c>
      <c r="H663" s="69">
        <v>0</v>
      </c>
      <c r="I663" t="s" s="70">
        <v>292</v>
      </c>
      <c r="J663" s="48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" customHeight="1">
      <c r="A664" t="s" s="71">
        <v>965</v>
      </c>
      <c r="B664" s="64">
        <v>46111</v>
      </c>
      <c r="C664" s="61">
        <v>116</v>
      </c>
      <c r="D664" t="s" s="59">
        <v>278</v>
      </c>
      <c r="E664" t="s" s="59">
        <v>774</v>
      </c>
      <c r="F664" t="s" s="59">
        <v>775</v>
      </c>
      <c r="G664" t="s" s="59">
        <v>291</v>
      </c>
      <c r="H664" s="72">
        <v>0</v>
      </c>
      <c r="I664" t="s" s="73">
        <v>292</v>
      </c>
      <c r="J664" s="48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" customHeight="1">
      <c r="A665" t="s" s="68">
        <v>966</v>
      </c>
      <c r="B665" s="55">
        <v>45898</v>
      </c>
      <c r="C665" s="52">
        <v>117</v>
      </c>
      <c r="D665" t="s" s="50">
        <v>278</v>
      </c>
      <c r="E665" t="s" s="50">
        <v>290</v>
      </c>
      <c r="F665" t="s" s="50">
        <v>48</v>
      </c>
      <c r="G665" t="s" s="50">
        <v>291</v>
      </c>
      <c r="H665" s="69">
        <v>0</v>
      </c>
      <c r="I665" t="s" s="70">
        <v>292</v>
      </c>
      <c r="J665" s="48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" customHeight="1">
      <c r="A666" t="s" s="71">
        <v>967</v>
      </c>
      <c r="B666" s="64">
        <v>45929</v>
      </c>
      <c r="C666" s="61">
        <v>117</v>
      </c>
      <c r="D666" t="s" s="59">
        <v>278</v>
      </c>
      <c r="E666" t="s" s="59">
        <v>314</v>
      </c>
      <c r="F666" t="s" s="59">
        <v>48</v>
      </c>
      <c r="G666" t="s" s="59">
        <v>291</v>
      </c>
      <c r="H666" s="72">
        <v>0</v>
      </c>
      <c r="I666" t="s" s="73">
        <v>292</v>
      </c>
      <c r="J666" s="48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" customHeight="1">
      <c r="A667" t="s" s="68">
        <v>968</v>
      </c>
      <c r="B667" s="55">
        <v>45957</v>
      </c>
      <c r="C667" s="52">
        <v>117</v>
      </c>
      <c r="D667" t="s" s="50">
        <v>278</v>
      </c>
      <c r="E667" t="s" s="50">
        <v>316</v>
      </c>
      <c r="F667" t="s" s="50">
        <v>48</v>
      </c>
      <c r="G667" t="s" s="50">
        <v>291</v>
      </c>
      <c r="H667" s="69">
        <v>0</v>
      </c>
      <c r="I667" t="s" s="70">
        <v>292</v>
      </c>
      <c r="J667" s="48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" customHeight="1">
      <c r="A668" t="s" s="71">
        <v>969</v>
      </c>
      <c r="B668" s="64">
        <v>45985</v>
      </c>
      <c r="C668" s="61">
        <v>117</v>
      </c>
      <c r="D668" t="s" s="59">
        <v>278</v>
      </c>
      <c r="E668" t="s" s="59">
        <v>374</v>
      </c>
      <c r="F668" t="s" s="59">
        <v>48</v>
      </c>
      <c r="G668" t="s" s="59">
        <v>291</v>
      </c>
      <c r="H668" s="72">
        <v>0</v>
      </c>
      <c r="I668" t="s" s="73">
        <v>292</v>
      </c>
      <c r="J668" s="48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" customHeight="1">
      <c r="A669" t="s" s="68">
        <v>970</v>
      </c>
      <c r="B669" s="55">
        <v>46009</v>
      </c>
      <c r="C669" s="52">
        <v>117</v>
      </c>
      <c r="D669" t="s" s="50">
        <v>278</v>
      </c>
      <c r="E669" t="s" s="50">
        <v>376</v>
      </c>
      <c r="F669" t="s" s="50">
        <v>48</v>
      </c>
      <c r="G669" t="s" s="50">
        <v>291</v>
      </c>
      <c r="H669" s="69">
        <v>0</v>
      </c>
      <c r="I669" t="s" s="70">
        <v>292</v>
      </c>
      <c r="J669" s="48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" customHeight="1">
      <c r="A670" t="s" s="71">
        <v>971</v>
      </c>
      <c r="B670" s="64">
        <v>46040</v>
      </c>
      <c r="C670" s="61">
        <v>117</v>
      </c>
      <c r="D670" t="s" s="59">
        <v>278</v>
      </c>
      <c r="E670" t="s" s="59">
        <v>488</v>
      </c>
      <c r="F670" t="s" s="59">
        <v>49</v>
      </c>
      <c r="G670" t="s" s="59">
        <v>318</v>
      </c>
      <c r="H670" s="72">
        <v>2</v>
      </c>
      <c r="I670" t="s" s="73">
        <v>319</v>
      </c>
      <c r="J670" s="48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" customHeight="1">
      <c r="A671" t="s" s="68">
        <v>972</v>
      </c>
      <c r="B671" s="55">
        <v>46065</v>
      </c>
      <c r="C671" s="52">
        <v>117</v>
      </c>
      <c r="D671" t="s" s="50">
        <v>278</v>
      </c>
      <c r="E671" t="s" s="50">
        <v>588</v>
      </c>
      <c r="F671" t="s" s="50">
        <v>51</v>
      </c>
      <c r="G671" t="s" s="50">
        <v>291</v>
      </c>
      <c r="H671" s="69">
        <v>0</v>
      </c>
      <c r="I671" t="s" s="70">
        <v>292</v>
      </c>
      <c r="J671" s="48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" customHeight="1">
      <c r="A672" t="s" s="71">
        <v>973</v>
      </c>
      <c r="B672" s="64">
        <v>46096</v>
      </c>
      <c r="C672" s="61">
        <v>117</v>
      </c>
      <c r="D672" t="s" s="59">
        <v>278</v>
      </c>
      <c r="E672" t="s" s="59">
        <v>590</v>
      </c>
      <c r="F672" t="s" s="59">
        <v>50</v>
      </c>
      <c r="G672" t="s" s="59">
        <v>291</v>
      </c>
      <c r="H672" s="72">
        <v>0</v>
      </c>
      <c r="I672" t="s" s="73">
        <v>292</v>
      </c>
      <c r="J672" s="48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" customHeight="1">
      <c r="A673" t="s" s="68">
        <v>974</v>
      </c>
      <c r="B673" s="55">
        <v>46109</v>
      </c>
      <c r="C673" s="52">
        <v>117</v>
      </c>
      <c r="D673" t="s" s="50">
        <v>278</v>
      </c>
      <c r="E673" t="s" s="50">
        <v>592</v>
      </c>
      <c r="F673" t="s" s="50">
        <v>50</v>
      </c>
      <c r="G673" t="s" s="50">
        <v>291</v>
      </c>
      <c r="H673" s="69">
        <v>0</v>
      </c>
      <c r="I673" t="s" s="70">
        <v>292</v>
      </c>
      <c r="J673" s="48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" customHeight="1">
      <c r="A674" t="s" s="71">
        <v>975</v>
      </c>
      <c r="B674" s="64">
        <v>46102</v>
      </c>
      <c r="C674" s="61">
        <v>117</v>
      </c>
      <c r="D674" t="s" s="59">
        <v>278</v>
      </c>
      <c r="E674" t="s" s="59">
        <v>774</v>
      </c>
      <c r="F674" t="s" s="59">
        <v>775</v>
      </c>
      <c r="G674" t="s" s="59">
        <v>507</v>
      </c>
      <c r="H674" s="72">
        <v>2</v>
      </c>
      <c r="I674" t="s" s="73">
        <v>508</v>
      </c>
      <c r="J674" s="48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" customHeight="1">
      <c r="A675" t="s" s="68">
        <v>976</v>
      </c>
      <c r="B675" s="55">
        <v>45902</v>
      </c>
      <c r="C675" s="52">
        <v>118</v>
      </c>
      <c r="D675" t="s" s="50">
        <v>278</v>
      </c>
      <c r="E675" t="s" s="50">
        <v>290</v>
      </c>
      <c r="F675" t="s" s="50">
        <v>48</v>
      </c>
      <c r="G675" t="s" s="50">
        <v>291</v>
      </c>
      <c r="H675" s="69">
        <v>0</v>
      </c>
      <c r="I675" t="s" s="70">
        <v>292</v>
      </c>
      <c r="J675" s="48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" customHeight="1">
      <c r="A676" t="s" s="71">
        <v>977</v>
      </c>
      <c r="B676" s="64">
        <v>45928</v>
      </c>
      <c r="C676" s="61">
        <v>118</v>
      </c>
      <c r="D676" t="s" s="59">
        <v>278</v>
      </c>
      <c r="E676" t="s" s="59">
        <v>314</v>
      </c>
      <c r="F676" t="s" s="59">
        <v>48</v>
      </c>
      <c r="G676" t="s" s="59">
        <v>318</v>
      </c>
      <c r="H676" s="72">
        <v>1</v>
      </c>
      <c r="I676" t="s" s="73">
        <v>319</v>
      </c>
      <c r="J676" s="48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" customHeight="1">
      <c r="A677" t="s" s="68">
        <v>978</v>
      </c>
      <c r="B677" s="55">
        <v>45955</v>
      </c>
      <c r="C677" s="52">
        <v>118</v>
      </c>
      <c r="D677" t="s" s="50">
        <v>278</v>
      </c>
      <c r="E677" t="s" s="50">
        <v>316</v>
      </c>
      <c r="F677" t="s" s="50">
        <v>48</v>
      </c>
      <c r="G677" t="s" s="50">
        <v>291</v>
      </c>
      <c r="H677" s="69">
        <v>0</v>
      </c>
      <c r="I677" t="s" s="70">
        <v>292</v>
      </c>
      <c r="J677" s="48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" customHeight="1">
      <c r="A678" t="s" s="71">
        <v>979</v>
      </c>
      <c r="B678" s="64">
        <v>45986</v>
      </c>
      <c r="C678" s="61">
        <v>118</v>
      </c>
      <c r="D678" t="s" s="59">
        <v>278</v>
      </c>
      <c r="E678" t="s" s="59">
        <v>374</v>
      </c>
      <c r="F678" t="s" s="59">
        <v>48</v>
      </c>
      <c r="G678" t="s" s="59">
        <v>291</v>
      </c>
      <c r="H678" s="72">
        <v>0</v>
      </c>
      <c r="I678" t="s" s="73">
        <v>292</v>
      </c>
      <c r="J678" s="48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" customHeight="1">
      <c r="A679" t="s" s="68">
        <v>980</v>
      </c>
      <c r="B679" s="55">
        <v>46009</v>
      </c>
      <c r="C679" s="52">
        <v>118</v>
      </c>
      <c r="D679" t="s" s="50">
        <v>278</v>
      </c>
      <c r="E679" t="s" s="50">
        <v>376</v>
      </c>
      <c r="F679" t="s" s="50">
        <v>48</v>
      </c>
      <c r="G679" t="s" s="50">
        <v>291</v>
      </c>
      <c r="H679" s="69">
        <v>0</v>
      </c>
      <c r="I679" t="s" s="70">
        <v>292</v>
      </c>
      <c r="J679" s="48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" customHeight="1">
      <c r="A680" t="s" s="71">
        <v>981</v>
      </c>
      <c r="B680" s="64">
        <v>46038</v>
      </c>
      <c r="C680" s="61">
        <v>118</v>
      </c>
      <c r="D680" t="s" s="59">
        <v>278</v>
      </c>
      <c r="E680" t="s" s="59">
        <v>488</v>
      </c>
      <c r="F680" t="s" s="59">
        <v>49</v>
      </c>
      <c r="G680" t="s" s="59">
        <v>291</v>
      </c>
      <c r="H680" s="72">
        <v>0</v>
      </c>
      <c r="I680" t="s" s="73">
        <v>292</v>
      </c>
      <c r="J680" s="48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" customHeight="1">
      <c r="A681" t="s" s="68">
        <v>982</v>
      </c>
      <c r="B681" s="55">
        <v>46064</v>
      </c>
      <c r="C681" s="52">
        <v>118</v>
      </c>
      <c r="D681" t="s" s="50">
        <v>278</v>
      </c>
      <c r="E681" t="s" s="50">
        <v>588</v>
      </c>
      <c r="F681" t="s" s="50">
        <v>51</v>
      </c>
      <c r="G681" t="s" s="50">
        <v>291</v>
      </c>
      <c r="H681" s="69">
        <v>0</v>
      </c>
      <c r="I681" t="s" s="70">
        <v>292</v>
      </c>
      <c r="J681" s="48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" customHeight="1">
      <c r="A682" t="s" s="71">
        <v>983</v>
      </c>
      <c r="B682" s="64">
        <v>46097</v>
      </c>
      <c r="C682" s="61">
        <v>118</v>
      </c>
      <c r="D682" t="s" s="59">
        <v>278</v>
      </c>
      <c r="E682" t="s" s="59">
        <v>590</v>
      </c>
      <c r="F682" t="s" s="59">
        <v>50</v>
      </c>
      <c r="G682" t="s" s="59">
        <v>291</v>
      </c>
      <c r="H682" s="72">
        <v>0</v>
      </c>
      <c r="I682" t="s" s="73">
        <v>292</v>
      </c>
      <c r="J682" s="48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" customHeight="1">
      <c r="A683" t="s" s="68">
        <v>984</v>
      </c>
      <c r="B683" s="55">
        <v>46104</v>
      </c>
      <c r="C683" s="52">
        <v>118</v>
      </c>
      <c r="D683" t="s" s="50">
        <v>278</v>
      </c>
      <c r="E683" t="s" s="50">
        <v>592</v>
      </c>
      <c r="F683" t="s" s="50">
        <v>50</v>
      </c>
      <c r="G683" t="s" s="50">
        <v>291</v>
      </c>
      <c r="H683" s="69">
        <v>0</v>
      </c>
      <c r="I683" t="s" s="70">
        <v>292</v>
      </c>
      <c r="J683" s="48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" customHeight="1">
      <c r="A684" t="s" s="71">
        <v>985</v>
      </c>
      <c r="B684" s="64">
        <v>46104</v>
      </c>
      <c r="C684" s="61">
        <v>118</v>
      </c>
      <c r="D684" t="s" s="59">
        <v>278</v>
      </c>
      <c r="E684" t="s" s="59">
        <v>774</v>
      </c>
      <c r="F684" t="s" s="59">
        <v>775</v>
      </c>
      <c r="G684" t="s" s="59">
        <v>318</v>
      </c>
      <c r="H684" s="72">
        <v>1</v>
      </c>
      <c r="I684" t="s" s="73">
        <v>319</v>
      </c>
      <c r="J684" s="48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" customHeight="1">
      <c r="A685" t="s" s="68">
        <v>986</v>
      </c>
      <c r="B685" s="55">
        <v>45905</v>
      </c>
      <c r="C685" s="52">
        <v>119</v>
      </c>
      <c r="D685" t="s" s="50">
        <v>278</v>
      </c>
      <c r="E685" t="s" s="50">
        <v>290</v>
      </c>
      <c r="F685" t="s" s="50">
        <v>48</v>
      </c>
      <c r="G685" t="s" s="50">
        <v>291</v>
      </c>
      <c r="H685" s="69">
        <v>0</v>
      </c>
      <c r="I685" t="s" s="70">
        <v>292</v>
      </c>
      <c r="J685" s="48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" customHeight="1">
      <c r="A686" t="s" s="71">
        <v>987</v>
      </c>
      <c r="B686" s="64">
        <v>45926</v>
      </c>
      <c r="C686" s="61">
        <v>119</v>
      </c>
      <c r="D686" t="s" s="59">
        <v>278</v>
      </c>
      <c r="E686" t="s" s="59">
        <v>314</v>
      </c>
      <c r="F686" t="s" s="59">
        <v>48</v>
      </c>
      <c r="G686" t="s" s="59">
        <v>291</v>
      </c>
      <c r="H686" s="72">
        <v>0</v>
      </c>
      <c r="I686" t="s" s="73">
        <v>292</v>
      </c>
      <c r="J686" s="48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" customHeight="1">
      <c r="A687" t="s" s="68">
        <v>988</v>
      </c>
      <c r="B687" s="55">
        <v>45958</v>
      </c>
      <c r="C687" s="52">
        <v>119</v>
      </c>
      <c r="D687" t="s" s="50">
        <v>278</v>
      </c>
      <c r="E687" t="s" s="50">
        <v>316</v>
      </c>
      <c r="F687" t="s" s="50">
        <v>48</v>
      </c>
      <c r="G687" t="s" s="50">
        <v>291</v>
      </c>
      <c r="H687" s="69">
        <v>0</v>
      </c>
      <c r="I687" t="s" s="70">
        <v>292</v>
      </c>
      <c r="J687" s="48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" customHeight="1">
      <c r="A688" t="s" s="71">
        <v>989</v>
      </c>
      <c r="B688" s="64">
        <v>45984</v>
      </c>
      <c r="C688" s="61">
        <v>119</v>
      </c>
      <c r="D688" t="s" s="59">
        <v>278</v>
      </c>
      <c r="E688" t="s" s="59">
        <v>374</v>
      </c>
      <c r="F688" t="s" s="59">
        <v>48</v>
      </c>
      <c r="G688" t="s" s="59">
        <v>291</v>
      </c>
      <c r="H688" s="72">
        <v>0</v>
      </c>
      <c r="I688" t="s" s="73">
        <v>292</v>
      </c>
      <c r="J688" s="48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" customHeight="1">
      <c r="A689" t="s" s="68">
        <v>990</v>
      </c>
      <c r="B689" s="55">
        <v>46010</v>
      </c>
      <c r="C689" s="52">
        <v>119</v>
      </c>
      <c r="D689" t="s" s="50">
        <v>278</v>
      </c>
      <c r="E689" t="s" s="50">
        <v>376</v>
      </c>
      <c r="F689" t="s" s="50">
        <v>48</v>
      </c>
      <c r="G689" t="s" s="50">
        <v>291</v>
      </c>
      <c r="H689" s="69">
        <v>0</v>
      </c>
      <c r="I689" t="s" s="70">
        <v>292</v>
      </c>
      <c r="J689" s="48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" customHeight="1">
      <c r="A690" t="s" s="71">
        <v>991</v>
      </c>
      <c r="B690" s="64">
        <v>46041</v>
      </c>
      <c r="C690" s="61">
        <v>119</v>
      </c>
      <c r="D690" t="s" s="59">
        <v>278</v>
      </c>
      <c r="E690" t="s" s="59">
        <v>488</v>
      </c>
      <c r="F690" t="s" s="59">
        <v>49</v>
      </c>
      <c r="G690" t="s" s="59">
        <v>291</v>
      </c>
      <c r="H690" s="72">
        <v>0</v>
      </c>
      <c r="I690" t="s" s="73">
        <v>292</v>
      </c>
      <c r="J690" s="48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" customHeight="1">
      <c r="A691" t="s" s="68">
        <v>992</v>
      </c>
      <c r="B691" s="55">
        <v>46067</v>
      </c>
      <c r="C691" s="52">
        <v>119</v>
      </c>
      <c r="D691" t="s" s="50">
        <v>278</v>
      </c>
      <c r="E691" t="s" s="50">
        <v>588</v>
      </c>
      <c r="F691" t="s" s="50">
        <v>51</v>
      </c>
      <c r="G691" t="s" s="50">
        <v>291</v>
      </c>
      <c r="H691" s="69">
        <v>0</v>
      </c>
      <c r="I691" t="s" s="70">
        <v>292</v>
      </c>
      <c r="J691" s="48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" customHeight="1">
      <c r="A692" t="s" s="71">
        <v>993</v>
      </c>
      <c r="B692" s="64">
        <v>46096</v>
      </c>
      <c r="C692" s="61">
        <v>119</v>
      </c>
      <c r="D692" t="s" s="59">
        <v>278</v>
      </c>
      <c r="E692" t="s" s="59">
        <v>590</v>
      </c>
      <c r="F692" t="s" s="59">
        <v>50</v>
      </c>
      <c r="G692" t="s" s="59">
        <v>318</v>
      </c>
      <c r="H692" s="72">
        <v>1</v>
      </c>
      <c r="I692" t="s" s="73">
        <v>319</v>
      </c>
      <c r="J692" s="48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" customHeight="1">
      <c r="A693" t="s" s="68">
        <v>994</v>
      </c>
      <c r="B693" s="55">
        <v>46102</v>
      </c>
      <c r="C693" s="52">
        <v>119</v>
      </c>
      <c r="D693" t="s" s="50">
        <v>278</v>
      </c>
      <c r="E693" t="s" s="50">
        <v>592</v>
      </c>
      <c r="F693" t="s" s="50">
        <v>50</v>
      </c>
      <c r="G693" t="s" s="50">
        <v>291</v>
      </c>
      <c r="H693" s="69">
        <v>0</v>
      </c>
      <c r="I693" t="s" s="70">
        <v>292</v>
      </c>
      <c r="J693" s="48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" customHeight="1">
      <c r="A694" t="s" s="71">
        <v>995</v>
      </c>
      <c r="B694" s="64">
        <v>46104</v>
      </c>
      <c r="C694" s="61">
        <v>119</v>
      </c>
      <c r="D694" t="s" s="59">
        <v>278</v>
      </c>
      <c r="E694" t="s" s="59">
        <v>774</v>
      </c>
      <c r="F694" t="s" s="59">
        <v>775</v>
      </c>
      <c r="G694" t="s" s="59">
        <v>291</v>
      </c>
      <c r="H694" s="72">
        <v>0</v>
      </c>
      <c r="I694" t="s" s="73">
        <v>292</v>
      </c>
      <c r="J694" s="48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" customHeight="1">
      <c r="A695" t="s" s="68">
        <v>996</v>
      </c>
      <c r="B695" s="55">
        <v>45905</v>
      </c>
      <c r="C695" s="52">
        <v>120</v>
      </c>
      <c r="D695" t="s" s="50">
        <v>278</v>
      </c>
      <c r="E695" t="s" s="50">
        <v>290</v>
      </c>
      <c r="F695" t="s" s="50">
        <v>48</v>
      </c>
      <c r="G695" t="s" s="50">
        <v>291</v>
      </c>
      <c r="H695" s="69">
        <v>0</v>
      </c>
      <c r="I695" t="s" s="70">
        <v>292</v>
      </c>
      <c r="J695" s="48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" customHeight="1">
      <c r="A696" t="s" s="71">
        <v>997</v>
      </c>
      <c r="B696" s="64">
        <v>45933</v>
      </c>
      <c r="C696" s="61">
        <v>120</v>
      </c>
      <c r="D696" t="s" s="59">
        <v>278</v>
      </c>
      <c r="E696" t="s" s="59">
        <v>314</v>
      </c>
      <c r="F696" t="s" s="59">
        <v>48</v>
      </c>
      <c r="G696" t="s" s="59">
        <v>291</v>
      </c>
      <c r="H696" s="72">
        <v>0</v>
      </c>
      <c r="I696" t="s" s="73">
        <v>292</v>
      </c>
      <c r="J696" s="48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" customHeight="1">
      <c r="A697" t="s" s="68">
        <v>998</v>
      </c>
      <c r="B697" s="55">
        <v>45957</v>
      </c>
      <c r="C697" s="52">
        <v>120</v>
      </c>
      <c r="D697" t="s" s="50">
        <v>278</v>
      </c>
      <c r="E697" t="s" s="50">
        <v>316</v>
      </c>
      <c r="F697" t="s" s="50">
        <v>48</v>
      </c>
      <c r="G697" t="s" s="50">
        <v>291</v>
      </c>
      <c r="H697" s="69">
        <v>0</v>
      </c>
      <c r="I697" t="s" s="70">
        <v>292</v>
      </c>
      <c r="J697" s="48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" customHeight="1">
      <c r="A698" t="s" s="71">
        <v>999</v>
      </c>
      <c r="B698" s="64">
        <v>45989</v>
      </c>
      <c r="C698" s="61">
        <v>120</v>
      </c>
      <c r="D698" t="s" s="59">
        <v>278</v>
      </c>
      <c r="E698" t="s" s="59">
        <v>374</v>
      </c>
      <c r="F698" t="s" s="59">
        <v>48</v>
      </c>
      <c r="G698" t="s" s="59">
        <v>291</v>
      </c>
      <c r="H698" s="72">
        <v>0</v>
      </c>
      <c r="I698" t="s" s="73">
        <v>292</v>
      </c>
      <c r="J698" s="48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" customHeight="1">
      <c r="A699" t="s" s="68">
        <v>1000</v>
      </c>
      <c r="B699" s="55">
        <v>46015</v>
      </c>
      <c r="C699" s="52">
        <v>120</v>
      </c>
      <c r="D699" t="s" s="50">
        <v>278</v>
      </c>
      <c r="E699" t="s" s="50">
        <v>376</v>
      </c>
      <c r="F699" t="s" s="50">
        <v>48</v>
      </c>
      <c r="G699" t="s" s="50">
        <v>318</v>
      </c>
      <c r="H699" s="69">
        <v>1</v>
      </c>
      <c r="I699" t="s" s="70">
        <v>319</v>
      </c>
      <c r="J699" s="48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" customHeight="1">
      <c r="A700" t="s" s="71">
        <v>1001</v>
      </c>
      <c r="B700" s="64">
        <v>46040</v>
      </c>
      <c r="C700" s="61">
        <v>120</v>
      </c>
      <c r="D700" t="s" s="59">
        <v>278</v>
      </c>
      <c r="E700" t="s" s="59">
        <v>488</v>
      </c>
      <c r="F700" t="s" s="59">
        <v>49</v>
      </c>
      <c r="G700" t="s" s="59">
        <v>291</v>
      </c>
      <c r="H700" s="72">
        <v>0</v>
      </c>
      <c r="I700" t="s" s="73">
        <v>292</v>
      </c>
      <c r="J700" s="48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" customHeight="1">
      <c r="A701" t="s" s="68">
        <v>1002</v>
      </c>
      <c r="B701" s="55">
        <v>46073</v>
      </c>
      <c r="C701" s="52">
        <v>120</v>
      </c>
      <c r="D701" t="s" s="50">
        <v>278</v>
      </c>
      <c r="E701" t="s" s="50">
        <v>588</v>
      </c>
      <c r="F701" t="s" s="50">
        <v>51</v>
      </c>
      <c r="G701" t="s" s="50">
        <v>291</v>
      </c>
      <c r="H701" s="69">
        <v>0</v>
      </c>
      <c r="I701" t="s" s="70">
        <v>292</v>
      </c>
      <c r="J701" s="48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" customHeight="1">
      <c r="A702" t="s" s="71">
        <v>1003</v>
      </c>
      <c r="B702" s="64">
        <v>46100</v>
      </c>
      <c r="C702" s="61">
        <v>120</v>
      </c>
      <c r="D702" t="s" s="59">
        <v>278</v>
      </c>
      <c r="E702" t="s" s="59">
        <v>590</v>
      </c>
      <c r="F702" t="s" s="59">
        <v>50</v>
      </c>
      <c r="G702" t="s" s="59">
        <v>291</v>
      </c>
      <c r="H702" s="72">
        <v>0</v>
      </c>
      <c r="I702" t="s" s="73">
        <v>292</v>
      </c>
      <c r="J702" s="48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" customHeight="1">
      <c r="A703" t="s" s="68">
        <v>1004</v>
      </c>
      <c r="B703" s="55">
        <v>46107</v>
      </c>
      <c r="C703" s="52">
        <v>120</v>
      </c>
      <c r="D703" t="s" s="50">
        <v>278</v>
      </c>
      <c r="E703" t="s" s="50">
        <v>592</v>
      </c>
      <c r="F703" t="s" s="50">
        <v>50</v>
      </c>
      <c r="G703" t="s" s="50">
        <v>318</v>
      </c>
      <c r="H703" s="69">
        <v>1</v>
      </c>
      <c r="I703" t="s" s="70">
        <v>319</v>
      </c>
      <c r="J703" s="48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" customHeight="1">
      <c r="A704" t="s" s="71">
        <v>1005</v>
      </c>
      <c r="B704" s="64">
        <v>46109</v>
      </c>
      <c r="C704" s="61">
        <v>120</v>
      </c>
      <c r="D704" t="s" s="59">
        <v>278</v>
      </c>
      <c r="E704" t="s" s="59">
        <v>774</v>
      </c>
      <c r="F704" t="s" s="59">
        <v>775</v>
      </c>
      <c r="G704" t="s" s="59">
        <v>291</v>
      </c>
      <c r="H704" s="72">
        <v>0</v>
      </c>
      <c r="I704" t="s" s="73">
        <v>292</v>
      </c>
      <c r="J704" s="48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</sheetData>
  <mergeCells count="2">
    <mergeCell ref="A1:I1"/>
    <mergeCell ref="A2:I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Z404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74" customWidth="1"/>
    <col min="2" max="2" width="12" style="74" customWidth="1"/>
    <col min="3" max="3" width="10" style="74" customWidth="1"/>
    <col min="4" max="4" width="12" style="74" customWidth="1"/>
    <col min="5" max="5" width="14" style="74" customWidth="1"/>
    <col min="6" max="6" width="38" style="74" customWidth="1"/>
    <col min="7" max="7" width="14" style="74" customWidth="1"/>
    <col min="8" max="8" width="12" style="74" customWidth="1"/>
    <col min="9" max="9" width="24" style="74" customWidth="1"/>
    <col min="10" max="10" width="12" style="74" customWidth="1"/>
    <col min="11" max="11" width="14" style="74" customWidth="1"/>
    <col min="12" max="12" width="21.1562" style="74" customWidth="1"/>
    <col min="13" max="13" width="32.0469" style="74" customWidth="1"/>
    <col min="14" max="26" width="8.85156" style="74" customWidth="1"/>
    <col min="27" max="16384" width="8.85156" style="74" customWidth="1"/>
  </cols>
  <sheetData>
    <row r="1" ht="24" customHeight="1">
      <c r="A1" t="s" s="2">
        <v>1006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" customHeight="1">
      <c r="A2" t="s" s="5">
        <v>1007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" customHeight="1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0" customHeight="1">
      <c r="A4" t="s" s="45">
        <v>1008</v>
      </c>
      <c r="B4" t="s" s="46">
        <v>1009</v>
      </c>
      <c r="C4" t="s" s="46">
        <v>251</v>
      </c>
      <c r="D4" t="s" s="46">
        <v>252</v>
      </c>
      <c r="E4" t="s" s="46">
        <v>1010</v>
      </c>
      <c r="F4" t="s" s="46">
        <v>1011</v>
      </c>
      <c r="G4" t="s" s="46">
        <v>1012</v>
      </c>
      <c r="H4" t="s" s="46">
        <v>8</v>
      </c>
      <c r="I4" t="s" s="46">
        <v>1013</v>
      </c>
      <c r="J4" t="s" s="46">
        <v>1014</v>
      </c>
      <c r="K4" t="s" s="46">
        <v>1015</v>
      </c>
      <c r="L4" t="s" s="46">
        <v>1016</v>
      </c>
      <c r="M4" t="s" s="47">
        <v>1017</v>
      </c>
      <c r="N4" s="4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" customHeight="1">
      <c r="A5" t="s" s="68">
        <v>1018</v>
      </c>
      <c r="B5" s="55">
        <v>46022</v>
      </c>
      <c r="C5" s="52">
        <v>2</v>
      </c>
      <c r="D5" t="s" s="50">
        <v>267</v>
      </c>
      <c r="E5" t="s" s="50">
        <v>1019</v>
      </c>
      <c r="F5" t="s" s="50">
        <v>1020</v>
      </c>
      <c r="G5" t="s" s="50">
        <v>1021</v>
      </c>
      <c r="H5" t="s" s="50">
        <v>1022</v>
      </c>
      <c r="I5" t="s" s="50">
        <v>48</v>
      </c>
      <c r="J5" s="55">
        <v>46037</v>
      </c>
      <c r="K5" s="69">
        <v>15</v>
      </c>
      <c r="L5" s="75">
        <v>961</v>
      </c>
      <c r="M5" s="76" cm="1">
        <f t="array" ref="M5">L5*3.7</f>
        <v>3555.7</v>
      </c>
      <c r="N5" s="48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" customHeight="1">
      <c r="A6" t="s" s="71">
        <v>1023</v>
      </c>
      <c r="B6" s="64">
        <v>45811</v>
      </c>
      <c r="C6" s="61">
        <v>2</v>
      </c>
      <c r="D6" t="s" s="59">
        <v>267</v>
      </c>
      <c r="E6" t="s" s="59">
        <v>1024</v>
      </c>
      <c r="F6" t="s" s="59">
        <v>1025</v>
      </c>
      <c r="G6" t="s" s="59">
        <v>1021</v>
      </c>
      <c r="H6" t="s" s="59">
        <v>1022</v>
      </c>
      <c r="I6" t="s" s="59">
        <v>1026</v>
      </c>
      <c r="J6" s="64">
        <v>45830</v>
      </c>
      <c r="K6" s="72">
        <v>19</v>
      </c>
      <c r="L6" s="77">
        <v>508</v>
      </c>
      <c r="M6" s="78" cm="1">
        <f t="array" ref="M6">L6*3.7</f>
        <v>1879.6</v>
      </c>
      <c r="N6" s="4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" customHeight="1">
      <c r="A7" t="s" s="68">
        <v>1027</v>
      </c>
      <c r="B7" s="55">
        <v>45932</v>
      </c>
      <c r="C7" s="52">
        <v>3</v>
      </c>
      <c r="D7" t="s" s="50">
        <v>267</v>
      </c>
      <c r="E7" t="s" s="50">
        <v>1019</v>
      </c>
      <c r="F7" t="s" s="50">
        <v>1020</v>
      </c>
      <c r="G7" t="s" s="50">
        <v>1021</v>
      </c>
      <c r="H7" t="s" s="50">
        <v>1028</v>
      </c>
      <c r="I7" t="s" s="50">
        <v>48</v>
      </c>
      <c r="J7" s="55"/>
      <c r="K7" s="69"/>
      <c r="L7" s="75">
        <v>942</v>
      </c>
      <c r="M7" s="76" cm="1">
        <f t="array" ref="M7">L7*3.7</f>
        <v>3485.4</v>
      </c>
      <c r="N7" s="4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" customHeight="1">
      <c r="A8" t="s" s="71">
        <v>1029</v>
      </c>
      <c r="B8" s="64">
        <v>45921</v>
      </c>
      <c r="C8" s="61">
        <v>4</v>
      </c>
      <c r="D8" t="s" s="59">
        <v>267</v>
      </c>
      <c r="E8" t="s" s="59">
        <v>1024</v>
      </c>
      <c r="F8" t="s" s="59">
        <v>1025</v>
      </c>
      <c r="G8" t="s" s="59">
        <v>1030</v>
      </c>
      <c r="H8" t="s" s="59">
        <v>1028</v>
      </c>
      <c r="I8" t="s" s="59">
        <v>1026</v>
      </c>
      <c r="J8" s="64"/>
      <c r="K8" s="72"/>
      <c r="L8" s="77">
        <v>4354</v>
      </c>
      <c r="M8" s="78" cm="1">
        <f t="array" ref="M8">L8*3.7</f>
        <v>16109.8</v>
      </c>
      <c r="N8" s="4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" customHeight="1">
      <c r="A9" t="s" s="68">
        <v>1031</v>
      </c>
      <c r="B9" s="55">
        <v>45731</v>
      </c>
      <c r="C9" s="52">
        <v>4</v>
      </c>
      <c r="D9" t="s" s="50">
        <v>267</v>
      </c>
      <c r="E9" t="s" s="50">
        <v>1019</v>
      </c>
      <c r="F9" t="s" s="50">
        <v>1020</v>
      </c>
      <c r="G9" t="s" s="50">
        <v>1021</v>
      </c>
      <c r="H9" t="s" s="50">
        <v>1022</v>
      </c>
      <c r="I9" t="s" s="50">
        <v>48</v>
      </c>
      <c r="J9" s="55">
        <v>45750</v>
      </c>
      <c r="K9" s="69">
        <v>19</v>
      </c>
      <c r="L9" s="75">
        <v>784</v>
      </c>
      <c r="M9" s="76" cm="1">
        <f t="array" ref="M9">L9*3.7</f>
        <v>2900.8</v>
      </c>
      <c r="N9" s="48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" customHeight="1">
      <c r="A10" t="s" s="71">
        <v>1032</v>
      </c>
      <c r="B10" s="64">
        <v>45963</v>
      </c>
      <c r="C10" s="61">
        <v>5</v>
      </c>
      <c r="D10" t="s" s="59">
        <v>267</v>
      </c>
      <c r="E10" t="s" s="59">
        <v>1024</v>
      </c>
      <c r="F10" t="s" s="59">
        <v>1025</v>
      </c>
      <c r="G10" t="s" s="59">
        <v>1033</v>
      </c>
      <c r="H10" t="s" s="59">
        <v>1028</v>
      </c>
      <c r="I10" t="s" s="59">
        <v>1026</v>
      </c>
      <c r="J10" s="64"/>
      <c r="K10" s="72"/>
      <c r="L10" s="77">
        <v>1479</v>
      </c>
      <c r="M10" s="78" cm="1">
        <f t="array" ref="M10">L10*3.7</f>
        <v>5472.3</v>
      </c>
      <c r="N10" s="48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" customHeight="1">
      <c r="A11" t="s" s="68">
        <v>1034</v>
      </c>
      <c r="B11" s="55">
        <v>46010</v>
      </c>
      <c r="C11" s="52">
        <v>5</v>
      </c>
      <c r="D11" t="s" s="50">
        <v>267</v>
      </c>
      <c r="E11" t="s" s="50">
        <v>1024</v>
      </c>
      <c r="F11" t="s" s="50">
        <v>1025</v>
      </c>
      <c r="G11" t="s" s="50">
        <v>1033</v>
      </c>
      <c r="H11" t="s" s="50">
        <v>1022</v>
      </c>
      <c r="I11" t="s" s="50">
        <v>1026</v>
      </c>
      <c r="J11" s="55">
        <v>46031</v>
      </c>
      <c r="K11" s="69">
        <v>21</v>
      </c>
      <c r="L11" s="75">
        <v>1735</v>
      </c>
      <c r="M11" s="76" cm="1">
        <f t="array" ref="M11">L11*3.7</f>
        <v>6419.5</v>
      </c>
      <c r="N11" s="48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" customHeight="1">
      <c r="A12" t="s" s="71">
        <v>1035</v>
      </c>
      <c r="B12" s="64">
        <v>45996</v>
      </c>
      <c r="C12" s="61">
        <v>6</v>
      </c>
      <c r="D12" t="s" s="59">
        <v>267</v>
      </c>
      <c r="E12" t="s" s="59">
        <v>1019</v>
      </c>
      <c r="F12" t="s" s="59">
        <v>1020</v>
      </c>
      <c r="G12" t="s" s="59">
        <v>1033</v>
      </c>
      <c r="H12" t="s" s="59">
        <v>1022</v>
      </c>
      <c r="I12" t="s" s="59">
        <v>48</v>
      </c>
      <c r="J12" s="64">
        <v>46009</v>
      </c>
      <c r="K12" s="72">
        <v>13</v>
      </c>
      <c r="L12" s="77">
        <v>2469</v>
      </c>
      <c r="M12" s="78" cm="1">
        <f t="array" ref="M12">L12*3.7</f>
        <v>9135.299999999999</v>
      </c>
      <c r="N12" s="48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" customHeight="1">
      <c r="A13" t="s" s="68">
        <v>1036</v>
      </c>
      <c r="B13" s="55">
        <v>45761</v>
      </c>
      <c r="C13" s="52">
        <v>6</v>
      </c>
      <c r="D13" t="s" s="50">
        <v>267</v>
      </c>
      <c r="E13" t="s" s="50">
        <v>1019</v>
      </c>
      <c r="F13" t="s" s="50">
        <v>1020</v>
      </c>
      <c r="G13" t="s" s="50">
        <v>1033</v>
      </c>
      <c r="H13" t="s" s="50">
        <v>1022</v>
      </c>
      <c r="I13" t="s" s="50">
        <v>48</v>
      </c>
      <c r="J13" s="55">
        <v>45773</v>
      </c>
      <c r="K13" s="69">
        <v>12</v>
      </c>
      <c r="L13" s="75">
        <v>3087</v>
      </c>
      <c r="M13" s="76" cm="1">
        <f t="array" ref="M13">L13*3.7</f>
        <v>11421.9</v>
      </c>
      <c r="N13" s="48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" customHeight="1">
      <c r="A14" t="s" s="71">
        <v>1037</v>
      </c>
      <c r="B14" s="64">
        <v>45996</v>
      </c>
      <c r="C14" s="61">
        <v>7</v>
      </c>
      <c r="D14" t="s" s="59">
        <v>267</v>
      </c>
      <c r="E14" t="s" s="59">
        <v>1019</v>
      </c>
      <c r="F14" t="s" s="59">
        <v>1020</v>
      </c>
      <c r="G14" t="s" s="59">
        <v>1030</v>
      </c>
      <c r="H14" t="s" s="59">
        <v>1022</v>
      </c>
      <c r="I14" t="s" s="59">
        <v>48</v>
      </c>
      <c r="J14" s="64">
        <v>46026</v>
      </c>
      <c r="K14" s="72">
        <v>30</v>
      </c>
      <c r="L14" s="77">
        <v>6961</v>
      </c>
      <c r="M14" s="78" cm="1">
        <f t="array" ref="M14">L14*3.7</f>
        <v>25755.7</v>
      </c>
      <c r="N14" s="48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" customHeight="1">
      <c r="A15" t="s" s="68">
        <v>1038</v>
      </c>
      <c r="B15" s="55">
        <v>45799</v>
      </c>
      <c r="C15" s="52">
        <v>7</v>
      </c>
      <c r="D15" t="s" s="50">
        <v>267</v>
      </c>
      <c r="E15" t="s" s="50">
        <v>1019</v>
      </c>
      <c r="F15" t="s" s="50">
        <v>1020</v>
      </c>
      <c r="G15" t="s" s="50">
        <v>1033</v>
      </c>
      <c r="H15" t="s" s="50">
        <v>1022</v>
      </c>
      <c r="I15" t="s" s="50">
        <v>48</v>
      </c>
      <c r="J15" s="55">
        <v>45805</v>
      </c>
      <c r="K15" s="69">
        <v>6</v>
      </c>
      <c r="L15" s="75">
        <v>2821</v>
      </c>
      <c r="M15" s="76" cm="1">
        <f t="array" ref="M15">L15*3.7</f>
        <v>10437.7</v>
      </c>
      <c r="N15" s="48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" customHeight="1">
      <c r="A16" t="s" s="71">
        <v>1039</v>
      </c>
      <c r="B16" s="64">
        <v>45698</v>
      </c>
      <c r="C16" s="61">
        <v>8</v>
      </c>
      <c r="D16" t="s" s="59">
        <v>267</v>
      </c>
      <c r="E16" t="s" s="59">
        <v>1019</v>
      </c>
      <c r="F16" t="s" s="59">
        <v>1020</v>
      </c>
      <c r="G16" t="s" s="59">
        <v>1030</v>
      </c>
      <c r="H16" t="s" s="59">
        <v>1028</v>
      </c>
      <c r="I16" t="s" s="59">
        <v>48</v>
      </c>
      <c r="J16" s="64"/>
      <c r="K16" s="72"/>
      <c r="L16" s="77">
        <v>8644</v>
      </c>
      <c r="M16" s="78" cm="1">
        <f t="array" ref="M16">L16*3.7</f>
        <v>31982.8</v>
      </c>
      <c r="N16" s="48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" customHeight="1">
      <c r="A17" t="s" s="68">
        <v>1040</v>
      </c>
      <c r="B17" s="55">
        <v>45843</v>
      </c>
      <c r="C17" s="52">
        <v>8</v>
      </c>
      <c r="D17" t="s" s="50">
        <v>267</v>
      </c>
      <c r="E17" t="s" s="50">
        <v>1019</v>
      </c>
      <c r="F17" t="s" s="50">
        <v>1020</v>
      </c>
      <c r="G17" t="s" s="50">
        <v>1033</v>
      </c>
      <c r="H17" t="s" s="50">
        <v>1028</v>
      </c>
      <c r="I17" t="s" s="50">
        <v>48</v>
      </c>
      <c r="J17" s="55"/>
      <c r="K17" s="69"/>
      <c r="L17" s="75">
        <v>2220</v>
      </c>
      <c r="M17" s="76" cm="1">
        <f t="array" ref="M17">L17*3.7</f>
        <v>8214</v>
      </c>
      <c r="N17" s="48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" customHeight="1">
      <c r="A18" t="s" s="71">
        <v>1041</v>
      </c>
      <c r="B18" s="64">
        <v>45862</v>
      </c>
      <c r="C18" s="61">
        <v>9</v>
      </c>
      <c r="D18" t="s" s="59">
        <v>267</v>
      </c>
      <c r="E18" t="s" s="59">
        <v>1024</v>
      </c>
      <c r="F18" t="s" s="59">
        <v>1025</v>
      </c>
      <c r="G18" t="s" s="59">
        <v>1021</v>
      </c>
      <c r="H18" t="s" s="59">
        <v>1022</v>
      </c>
      <c r="I18" t="s" s="59">
        <v>1026</v>
      </c>
      <c r="J18" s="64">
        <v>45870</v>
      </c>
      <c r="K18" s="72">
        <v>8</v>
      </c>
      <c r="L18" s="77">
        <v>411</v>
      </c>
      <c r="M18" s="78" cm="1">
        <f t="array" ref="M18">L18*3.7</f>
        <v>1520.7</v>
      </c>
      <c r="N18" s="48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" customHeight="1">
      <c r="A19" t="s" s="68">
        <v>1042</v>
      </c>
      <c r="B19" s="55">
        <v>45950</v>
      </c>
      <c r="C19" s="52">
        <v>9</v>
      </c>
      <c r="D19" t="s" s="50">
        <v>267</v>
      </c>
      <c r="E19" t="s" s="50">
        <v>1024</v>
      </c>
      <c r="F19" t="s" s="50">
        <v>1025</v>
      </c>
      <c r="G19" t="s" s="50">
        <v>1033</v>
      </c>
      <c r="H19" t="s" s="50">
        <v>1028</v>
      </c>
      <c r="I19" t="s" s="50">
        <v>1026</v>
      </c>
      <c r="J19" s="55"/>
      <c r="K19" s="69"/>
      <c r="L19" s="75">
        <v>1186</v>
      </c>
      <c r="M19" s="76" cm="1">
        <f t="array" ref="M19">L19*3.7</f>
        <v>4388.2</v>
      </c>
      <c r="N19" s="48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" customHeight="1">
      <c r="A20" t="s" s="71">
        <v>1043</v>
      </c>
      <c r="B20" s="64">
        <v>45852</v>
      </c>
      <c r="C20" s="61">
        <v>10</v>
      </c>
      <c r="D20" t="s" s="59">
        <v>267</v>
      </c>
      <c r="E20" t="s" s="59">
        <v>1024</v>
      </c>
      <c r="F20" t="s" s="59">
        <v>1025</v>
      </c>
      <c r="G20" t="s" s="59">
        <v>1021</v>
      </c>
      <c r="H20" t="s" s="59">
        <v>1022</v>
      </c>
      <c r="I20" t="s" s="59">
        <v>1026</v>
      </c>
      <c r="J20" s="64">
        <v>45859</v>
      </c>
      <c r="K20" s="72">
        <v>7</v>
      </c>
      <c r="L20" s="77">
        <v>582</v>
      </c>
      <c r="M20" s="78" cm="1">
        <f t="array" ref="M20">L20*3.7</f>
        <v>2153.4</v>
      </c>
      <c r="N20" s="48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" customHeight="1">
      <c r="A21" t="s" s="68">
        <v>1044</v>
      </c>
      <c r="B21" s="55">
        <v>45726</v>
      </c>
      <c r="C21" s="52">
        <v>10</v>
      </c>
      <c r="D21" t="s" s="50">
        <v>267</v>
      </c>
      <c r="E21" t="s" s="50">
        <v>1019</v>
      </c>
      <c r="F21" t="s" s="50">
        <v>1020</v>
      </c>
      <c r="G21" t="s" s="50">
        <v>1021</v>
      </c>
      <c r="H21" t="s" s="50">
        <v>1022</v>
      </c>
      <c r="I21" t="s" s="50">
        <v>48</v>
      </c>
      <c r="J21" s="55">
        <v>45745</v>
      </c>
      <c r="K21" s="69">
        <v>19</v>
      </c>
      <c r="L21" s="75">
        <v>915</v>
      </c>
      <c r="M21" s="76" cm="1">
        <f t="array" ref="M21">L21*3.7</f>
        <v>3385.5</v>
      </c>
      <c r="N21" s="48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" customHeight="1">
      <c r="A22" t="s" s="71">
        <v>1045</v>
      </c>
      <c r="B22" s="64">
        <v>45978</v>
      </c>
      <c r="C22" s="61">
        <v>11</v>
      </c>
      <c r="D22" t="s" s="59">
        <v>267</v>
      </c>
      <c r="E22" t="s" s="59">
        <v>1019</v>
      </c>
      <c r="F22" t="s" s="59">
        <v>1020</v>
      </c>
      <c r="G22" t="s" s="59">
        <v>1021</v>
      </c>
      <c r="H22" t="s" s="59">
        <v>1022</v>
      </c>
      <c r="I22" t="s" s="59">
        <v>48</v>
      </c>
      <c r="J22" s="64">
        <v>45982</v>
      </c>
      <c r="K22" s="72">
        <v>4</v>
      </c>
      <c r="L22" s="77">
        <v>790</v>
      </c>
      <c r="M22" s="78" cm="1">
        <f t="array" ref="M22">L22*3.7</f>
        <v>2923</v>
      </c>
      <c r="N22" s="48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" customHeight="1">
      <c r="A23" t="s" s="68">
        <v>1046</v>
      </c>
      <c r="B23" s="55">
        <v>45769</v>
      </c>
      <c r="C23" s="52">
        <v>11</v>
      </c>
      <c r="D23" t="s" s="50">
        <v>267</v>
      </c>
      <c r="E23" t="s" s="50">
        <v>1024</v>
      </c>
      <c r="F23" t="s" s="50">
        <v>1025</v>
      </c>
      <c r="G23" t="s" s="50">
        <v>1021</v>
      </c>
      <c r="H23" t="s" s="50">
        <v>1022</v>
      </c>
      <c r="I23" t="s" s="50">
        <v>1026</v>
      </c>
      <c r="J23" s="55">
        <v>45787</v>
      </c>
      <c r="K23" s="69">
        <v>18</v>
      </c>
      <c r="L23" s="75">
        <v>525</v>
      </c>
      <c r="M23" s="76" cm="1">
        <f t="array" ref="M23">L23*3.7</f>
        <v>1942.5</v>
      </c>
      <c r="N23" s="48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" customHeight="1">
      <c r="A24" t="s" s="71">
        <v>1047</v>
      </c>
      <c r="B24" s="64">
        <v>45841</v>
      </c>
      <c r="C24" s="61">
        <v>13</v>
      </c>
      <c r="D24" t="s" s="59">
        <v>267</v>
      </c>
      <c r="E24" t="s" s="59">
        <v>1019</v>
      </c>
      <c r="F24" t="s" s="59">
        <v>1020</v>
      </c>
      <c r="G24" t="s" s="59">
        <v>1021</v>
      </c>
      <c r="H24" t="s" s="59">
        <v>1022</v>
      </c>
      <c r="I24" t="s" s="59">
        <v>48</v>
      </c>
      <c r="J24" s="64">
        <v>45854</v>
      </c>
      <c r="K24" s="72">
        <v>13</v>
      </c>
      <c r="L24" s="77">
        <v>888</v>
      </c>
      <c r="M24" s="78" cm="1">
        <f t="array" ref="M24">L24*3.7</f>
        <v>3285.6</v>
      </c>
      <c r="N24" s="48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" customHeight="1">
      <c r="A25" t="s" s="68">
        <v>1048</v>
      </c>
      <c r="B25" s="55">
        <v>45779</v>
      </c>
      <c r="C25" s="52">
        <v>14</v>
      </c>
      <c r="D25" t="s" s="50">
        <v>267</v>
      </c>
      <c r="E25" t="s" s="50">
        <v>1019</v>
      </c>
      <c r="F25" t="s" s="50">
        <v>1020</v>
      </c>
      <c r="G25" t="s" s="50">
        <v>1021</v>
      </c>
      <c r="H25" t="s" s="50">
        <v>1022</v>
      </c>
      <c r="I25" t="s" s="50">
        <v>48</v>
      </c>
      <c r="J25" s="55">
        <v>45785</v>
      </c>
      <c r="K25" s="69">
        <v>6</v>
      </c>
      <c r="L25" s="75">
        <v>989</v>
      </c>
      <c r="M25" s="76" cm="1">
        <f t="array" ref="M25">L25*3.7</f>
        <v>3659.3</v>
      </c>
      <c r="N25" s="48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" customHeight="1">
      <c r="A26" t="s" s="71">
        <v>1049</v>
      </c>
      <c r="B26" s="64">
        <v>45990</v>
      </c>
      <c r="C26" s="61">
        <v>16</v>
      </c>
      <c r="D26" t="s" s="59">
        <v>267</v>
      </c>
      <c r="E26" t="s" s="59">
        <v>1019</v>
      </c>
      <c r="F26" t="s" s="59">
        <v>1020</v>
      </c>
      <c r="G26" t="s" s="59">
        <v>1030</v>
      </c>
      <c r="H26" t="s" s="59">
        <v>1022</v>
      </c>
      <c r="I26" t="s" s="59">
        <v>48</v>
      </c>
      <c r="J26" s="64">
        <v>46020</v>
      </c>
      <c r="K26" s="72">
        <v>30</v>
      </c>
      <c r="L26" s="77">
        <v>7059</v>
      </c>
      <c r="M26" s="78" cm="1">
        <f t="array" ref="M26">L26*3.7</f>
        <v>26118.3</v>
      </c>
      <c r="N26" s="48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" customHeight="1">
      <c r="A27" t="s" s="68">
        <v>1050</v>
      </c>
      <c r="B27" s="55">
        <v>45811</v>
      </c>
      <c r="C27" s="52">
        <v>18</v>
      </c>
      <c r="D27" t="s" s="50">
        <v>267</v>
      </c>
      <c r="E27" t="s" s="50">
        <v>1019</v>
      </c>
      <c r="F27" t="s" s="50">
        <v>1020</v>
      </c>
      <c r="G27" t="s" s="50">
        <v>1021</v>
      </c>
      <c r="H27" t="s" s="50">
        <v>1022</v>
      </c>
      <c r="I27" t="s" s="50">
        <v>48</v>
      </c>
      <c r="J27" s="55">
        <v>45823</v>
      </c>
      <c r="K27" s="69">
        <v>12</v>
      </c>
      <c r="L27" s="75">
        <v>1000</v>
      </c>
      <c r="M27" s="76" cm="1">
        <f t="array" ref="M27">L27*3.7</f>
        <v>3700</v>
      </c>
      <c r="N27" s="4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" customHeight="1">
      <c r="A28" t="s" s="71">
        <v>1051</v>
      </c>
      <c r="B28" s="64">
        <v>45750</v>
      </c>
      <c r="C28" s="61">
        <v>20</v>
      </c>
      <c r="D28" t="s" s="59">
        <v>267</v>
      </c>
      <c r="E28" t="s" s="59">
        <v>1024</v>
      </c>
      <c r="F28" t="s" s="59">
        <v>1025</v>
      </c>
      <c r="G28" t="s" s="59">
        <v>1033</v>
      </c>
      <c r="H28" t="s" s="59">
        <v>1022</v>
      </c>
      <c r="I28" t="s" s="59">
        <v>1026</v>
      </c>
      <c r="J28" s="64">
        <v>45765</v>
      </c>
      <c r="K28" s="72">
        <v>15</v>
      </c>
      <c r="L28" s="77">
        <v>1443</v>
      </c>
      <c r="M28" s="78" cm="1">
        <f t="array" ref="M28">L28*3.7</f>
        <v>5339.1</v>
      </c>
      <c r="N28" s="48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" customHeight="1">
      <c r="A29" t="s" s="68">
        <v>1052</v>
      </c>
      <c r="B29" s="55">
        <v>45921</v>
      </c>
      <c r="C29" s="52">
        <v>21</v>
      </c>
      <c r="D29" t="s" s="50">
        <v>267</v>
      </c>
      <c r="E29" t="s" s="50">
        <v>1019</v>
      </c>
      <c r="F29" t="s" s="50">
        <v>1053</v>
      </c>
      <c r="G29" t="s" s="50">
        <v>1021</v>
      </c>
      <c r="H29" t="s" s="50">
        <v>1028</v>
      </c>
      <c r="I29" t="s" s="50">
        <v>48</v>
      </c>
      <c r="J29" s="55"/>
      <c r="K29" s="69"/>
      <c r="L29" s="75">
        <v>1023</v>
      </c>
      <c r="M29" s="76" cm="1">
        <f t="array" ref="M29">L29*3.7</f>
        <v>3785.1</v>
      </c>
      <c r="N29" s="48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" customHeight="1">
      <c r="A30" t="s" s="71">
        <v>1054</v>
      </c>
      <c r="B30" s="64">
        <v>46003</v>
      </c>
      <c r="C30" s="61">
        <v>21</v>
      </c>
      <c r="D30" t="s" s="59">
        <v>267</v>
      </c>
      <c r="E30" t="s" s="59">
        <v>1024</v>
      </c>
      <c r="F30" t="s" s="59">
        <v>1055</v>
      </c>
      <c r="G30" t="s" s="59">
        <v>1030</v>
      </c>
      <c r="H30" t="s" s="59">
        <v>1022</v>
      </c>
      <c r="I30" t="s" s="59">
        <v>1026</v>
      </c>
      <c r="J30" s="64">
        <v>46024</v>
      </c>
      <c r="K30" s="72">
        <v>21</v>
      </c>
      <c r="L30" s="77">
        <v>4218</v>
      </c>
      <c r="M30" s="78" cm="1">
        <f t="array" ref="M30">L30*3.7</f>
        <v>15606.6</v>
      </c>
      <c r="N30" s="48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" customHeight="1">
      <c r="A31" t="s" s="68">
        <v>1056</v>
      </c>
      <c r="B31" s="55">
        <v>45981</v>
      </c>
      <c r="C31" s="52">
        <v>21</v>
      </c>
      <c r="D31" t="s" s="50">
        <v>267</v>
      </c>
      <c r="E31" t="s" s="50">
        <v>1019</v>
      </c>
      <c r="F31" t="s" s="50">
        <v>1057</v>
      </c>
      <c r="G31" t="s" s="50">
        <v>1021</v>
      </c>
      <c r="H31" t="s" s="50">
        <v>1028</v>
      </c>
      <c r="I31" t="s" s="50">
        <v>48</v>
      </c>
      <c r="J31" s="55"/>
      <c r="K31" s="69"/>
      <c r="L31" s="75">
        <v>774</v>
      </c>
      <c r="M31" s="76" cm="1">
        <f t="array" ref="M31">L31*3.7</f>
        <v>2863.8</v>
      </c>
      <c r="N31" s="48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" customHeight="1">
      <c r="A32" t="s" s="71">
        <v>1058</v>
      </c>
      <c r="B32" s="64">
        <v>45793</v>
      </c>
      <c r="C32" s="61">
        <v>22</v>
      </c>
      <c r="D32" t="s" s="59">
        <v>267</v>
      </c>
      <c r="E32" t="s" s="59">
        <v>1019</v>
      </c>
      <c r="F32" t="s" s="59">
        <v>1053</v>
      </c>
      <c r="G32" t="s" s="59">
        <v>1033</v>
      </c>
      <c r="H32" t="s" s="59">
        <v>1022</v>
      </c>
      <c r="I32" t="s" s="59">
        <v>48</v>
      </c>
      <c r="J32" s="64">
        <v>45799</v>
      </c>
      <c r="K32" s="72">
        <v>6</v>
      </c>
      <c r="L32" s="77">
        <v>2781</v>
      </c>
      <c r="M32" s="78" cm="1">
        <f t="array" ref="M32">L32*3.7</f>
        <v>10289.7</v>
      </c>
      <c r="N32" s="48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" customHeight="1">
      <c r="A33" t="s" s="68">
        <v>1059</v>
      </c>
      <c r="B33" s="55">
        <v>45875</v>
      </c>
      <c r="C33" s="52">
        <v>22</v>
      </c>
      <c r="D33" t="s" s="50">
        <v>267</v>
      </c>
      <c r="E33" t="s" s="50">
        <v>1019</v>
      </c>
      <c r="F33" t="s" s="50">
        <v>1053</v>
      </c>
      <c r="G33" t="s" s="50">
        <v>1060</v>
      </c>
      <c r="H33" t="s" s="50">
        <v>1022</v>
      </c>
      <c r="I33" t="s" s="50">
        <v>48</v>
      </c>
      <c r="J33" s="55">
        <v>45887</v>
      </c>
      <c r="K33" s="69">
        <v>12</v>
      </c>
      <c r="L33" s="75">
        <v>18340</v>
      </c>
      <c r="M33" s="76" cm="1">
        <f t="array" ref="M33">L33*3.7</f>
        <v>67858</v>
      </c>
      <c r="N33" s="48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" customHeight="1">
      <c r="A34" t="s" s="71">
        <v>1061</v>
      </c>
      <c r="B34" s="64">
        <v>45729</v>
      </c>
      <c r="C34" s="61">
        <v>22</v>
      </c>
      <c r="D34" t="s" s="59">
        <v>267</v>
      </c>
      <c r="E34" t="s" s="59">
        <v>1019</v>
      </c>
      <c r="F34" t="s" s="59">
        <v>1057</v>
      </c>
      <c r="G34" t="s" s="59">
        <v>1021</v>
      </c>
      <c r="H34" t="s" s="59">
        <v>1022</v>
      </c>
      <c r="I34" t="s" s="59">
        <v>48</v>
      </c>
      <c r="J34" s="64">
        <v>45735</v>
      </c>
      <c r="K34" s="72">
        <v>6</v>
      </c>
      <c r="L34" s="77">
        <v>923</v>
      </c>
      <c r="M34" s="78" cm="1">
        <f t="array" ref="M34">L34*3.7</f>
        <v>3415.1</v>
      </c>
      <c r="N34" s="48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" customHeight="1">
      <c r="A35" t="s" s="68">
        <v>1062</v>
      </c>
      <c r="B35" s="55">
        <v>45987</v>
      </c>
      <c r="C35" s="52">
        <v>23</v>
      </c>
      <c r="D35" t="s" s="50">
        <v>267</v>
      </c>
      <c r="E35" t="s" s="50">
        <v>1019</v>
      </c>
      <c r="F35" t="s" s="50">
        <v>1053</v>
      </c>
      <c r="G35" t="s" s="50">
        <v>1021</v>
      </c>
      <c r="H35" t="s" s="50">
        <v>1028</v>
      </c>
      <c r="I35" t="s" s="50">
        <v>48</v>
      </c>
      <c r="J35" s="55"/>
      <c r="K35" s="69"/>
      <c r="L35" s="75">
        <v>857</v>
      </c>
      <c r="M35" s="76" cm="1">
        <f t="array" ref="M35">L35*3.7</f>
        <v>3170.9</v>
      </c>
      <c r="N35" s="48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" customHeight="1">
      <c r="A36" t="s" s="71">
        <v>1063</v>
      </c>
      <c r="B36" s="64">
        <v>45796</v>
      </c>
      <c r="C36" s="61">
        <v>24</v>
      </c>
      <c r="D36" t="s" s="59">
        <v>267</v>
      </c>
      <c r="E36" t="s" s="59">
        <v>1019</v>
      </c>
      <c r="F36" t="s" s="59">
        <v>1057</v>
      </c>
      <c r="G36" t="s" s="59">
        <v>1021</v>
      </c>
      <c r="H36" t="s" s="59">
        <v>1028</v>
      </c>
      <c r="I36" t="s" s="59">
        <v>48</v>
      </c>
      <c r="J36" s="64"/>
      <c r="K36" s="72"/>
      <c r="L36" s="77">
        <v>764</v>
      </c>
      <c r="M36" s="78" cm="1">
        <f t="array" ref="M36">L36*3.7</f>
        <v>2826.8</v>
      </c>
      <c r="N36" s="48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" customHeight="1">
      <c r="A37" t="s" s="68">
        <v>1064</v>
      </c>
      <c r="B37" s="55">
        <v>46034</v>
      </c>
      <c r="C37" s="52">
        <v>24</v>
      </c>
      <c r="D37" t="s" s="50">
        <v>267</v>
      </c>
      <c r="E37" t="s" s="50">
        <v>1024</v>
      </c>
      <c r="F37" t="s" s="50">
        <v>1055</v>
      </c>
      <c r="G37" t="s" s="50">
        <v>1030</v>
      </c>
      <c r="H37" t="s" s="50">
        <v>1028</v>
      </c>
      <c r="I37" t="s" s="50">
        <v>1026</v>
      </c>
      <c r="J37" s="55"/>
      <c r="K37" s="69"/>
      <c r="L37" s="75">
        <v>3312</v>
      </c>
      <c r="M37" s="76" cm="1">
        <f t="array" ref="M37">L37*3.7</f>
        <v>12254.4</v>
      </c>
      <c r="N37" s="48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" customHeight="1">
      <c r="A38" t="s" s="71">
        <v>1065</v>
      </c>
      <c r="B38" s="64">
        <v>46029</v>
      </c>
      <c r="C38" s="61">
        <v>25</v>
      </c>
      <c r="D38" t="s" s="59">
        <v>267</v>
      </c>
      <c r="E38" t="s" s="59">
        <v>1024</v>
      </c>
      <c r="F38" t="s" s="59">
        <v>1055</v>
      </c>
      <c r="G38" t="s" s="59">
        <v>1033</v>
      </c>
      <c r="H38" t="s" s="59">
        <v>1028</v>
      </c>
      <c r="I38" t="s" s="59">
        <v>1026</v>
      </c>
      <c r="J38" s="64"/>
      <c r="K38" s="72"/>
      <c r="L38" s="77">
        <v>1401</v>
      </c>
      <c r="M38" s="78" cm="1">
        <f t="array" ref="M38">L38*3.7</f>
        <v>5183.7</v>
      </c>
      <c r="N38" s="48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" customHeight="1">
      <c r="A39" t="s" s="68">
        <v>1066</v>
      </c>
      <c r="B39" s="55">
        <v>45940</v>
      </c>
      <c r="C39" s="52">
        <v>26</v>
      </c>
      <c r="D39" t="s" s="50">
        <v>267</v>
      </c>
      <c r="E39" t="s" s="50">
        <v>1019</v>
      </c>
      <c r="F39" t="s" s="50">
        <v>1057</v>
      </c>
      <c r="G39" t="s" s="50">
        <v>1030</v>
      </c>
      <c r="H39" t="s" s="50">
        <v>1028</v>
      </c>
      <c r="I39" t="s" s="50">
        <v>48</v>
      </c>
      <c r="J39" s="55"/>
      <c r="K39" s="69"/>
      <c r="L39" s="75">
        <v>8652</v>
      </c>
      <c r="M39" s="76" cm="1">
        <f t="array" ref="M39">L39*3.7</f>
        <v>32012.4</v>
      </c>
      <c r="N39" s="48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" customHeight="1">
      <c r="A40" t="s" s="71">
        <v>1067</v>
      </c>
      <c r="B40" s="64">
        <v>45915</v>
      </c>
      <c r="C40" s="61">
        <v>27</v>
      </c>
      <c r="D40" t="s" s="59">
        <v>267</v>
      </c>
      <c r="E40" t="s" s="59">
        <v>1019</v>
      </c>
      <c r="F40" t="s" s="59">
        <v>1053</v>
      </c>
      <c r="G40" t="s" s="59">
        <v>1033</v>
      </c>
      <c r="H40" t="s" s="59">
        <v>1022</v>
      </c>
      <c r="I40" t="s" s="59">
        <v>48</v>
      </c>
      <c r="J40" s="64">
        <v>45926</v>
      </c>
      <c r="K40" s="72">
        <v>11</v>
      </c>
      <c r="L40" s="77">
        <v>2910</v>
      </c>
      <c r="M40" s="78" cm="1">
        <f t="array" ref="M40">L40*3.7</f>
        <v>10767</v>
      </c>
      <c r="N40" s="48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" customHeight="1">
      <c r="A41" t="s" s="68">
        <v>1068</v>
      </c>
      <c r="B41" s="55">
        <v>45883</v>
      </c>
      <c r="C41" s="52">
        <v>27</v>
      </c>
      <c r="D41" t="s" s="50">
        <v>267</v>
      </c>
      <c r="E41" t="s" s="50">
        <v>1019</v>
      </c>
      <c r="F41" t="s" s="50">
        <v>1057</v>
      </c>
      <c r="G41" t="s" s="50">
        <v>1033</v>
      </c>
      <c r="H41" t="s" s="50">
        <v>1022</v>
      </c>
      <c r="I41" t="s" s="50">
        <v>48</v>
      </c>
      <c r="J41" s="55">
        <v>45902</v>
      </c>
      <c r="K41" s="69">
        <v>19</v>
      </c>
      <c r="L41" s="75">
        <v>2530</v>
      </c>
      <c r="M41" s="76" cm="1">
        <f t="array" ref="M41">L41*3.7</f>
        <v>9361</v>
      </c>
      <c r="N41" s="48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" customHeight="1">
      <c r="A42" t="s" s="71">
        <v>1069</v>
      </c>
      <c r="B42" s="64">
        <v>45745</v>
      </c>
      <c r="C42" s="61">
        <v>28</v>
      </c>
      <c r="D42" t="s" s="59">
        <v>267</v>
      </c>
      <c r="E42" t="s" s="59">
        <v>1019</v>
      </c>
      <c r="F42" t="s" s="59">
        <v>1053</v>
      </c>
      <c r="G42" t="s" s="59">
        <v>1021</v>
      </c>
      <c r="H42" t="s" s="59">
        <v>1022</v>
      </c>
      <c r="I42" t="s" s="59">
        <v>48</v>
      </c>
      <c r="J42" s="64">
        <v>45748</v>
      </c>
      <c r="K42" s="72">
        <v>3</v>
      </c>
      <c r="L42" s="77">
        <v>1092</v>
      </c>
      <c r="M42" s="78" cm="1">
        <f t="array" ref="M42">L42*3.7</f>
        <v>4040.4</v>
      </c>
      <c r="N42" s="48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" customHeight="1">
      <c r="A43" t="s" s="68">
        <v>1070</v>
      </c>
      <c r="B43" s="55">
        <v>45851</v>
      </c>
      <c r="C43" s="52">
        <v>28</v>
      </c>
      <c r="D43" t="s" s="50">
        <v>267</v>
      </c>
      <c r="E43" t="s" s="50">
        <v>1024</v>
      </c>
      <c r="F43" t="s" s="50">
        <v>1055</v>
      </c>
      <c r="G43" t="s" s="50">
        <v>1030</v>
      </c>
      <c r="H43" t="s" s="50">
        <v>1028</v>
      </c>
      <c r="I43" t="s" s="50">
        <v>1026</v>
      </c>
      <c r="J43" s="55"/>
      <c r="K43" s="69"/>
      <c r="L43" s="75">
        <v>4098</v>
      </c>
      <c r="M43" s="76" cm="1">
        <f t="array" ref="M43">L43*3.7</f>
        <v>15162.6</v>
      </c>
      <c r="N43" s="48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" customHeight="1">
      <c r="A44" t="s" s="71">
        <v>1071</v>
      </c>
      <c r="B44" s="64">
        <v>45935</v>
      </c>
      <c r="C44" s="61">
        <v>29</v>
      </c>
      <c r="D44" t="s" s="59">
        <v>267</v>
      </c>
      <c r="E44" t="s" s="59">
        <v>1019</v>
      </c>
      <c r="F44" t="s" s="59">
        <v>1053</v>
      </c>
      <c r="G44" t="s" s="59">
        <v>1021</v>
      </c>
      <c r="H44" t="s" s="59">
        <v>1022</v>
      </c>
      <c r="I44" t="s" s="59">
        <v>48</v>
      </c>
      <c r="J44" s="64">
        <v>45945</v>
      </c>
      <c r="K44" s="72">
        <v>10</v>
      </c>
      <c r="L44" s="77">
        <v>797</v>
      </c>
      <c r="M44" s="78" cm="1">
        <f t="array" ref="M44">L44*3.7</f>
        <v>2948.9</v>
      </c>
      <c r="N44" s="48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" customHeight="1">
      <c r="A45" t="s" s="68">
        <v>1072</v>
      </c>
      <c r="B45" s="55">
        <v>45871</v>
      </c>
      <c r="C45" s="52">
        <v>30</v>
      </c>
      <c r="D45" t="s" s="50">
        <v>267</v>
      </c>
      <c r="E45" t="s" s="50">
        <v>1019</v>
      </c>
      <c r="F45" t="s" s="50">
        <v>1053</v>
      </c>
      <c r="G45" t="s" s="50">
        <v>1021</v>
      </c>
      <c r="H45" t="s" s="50">
        <v>1022</v>
      </c>
      <c r="I45" t="s" s="50">
        <v>48</v>
      </c>
      <c r="J45" s="55">
        <v>45888</v>
      </c>
      <c r="K45" s="69">
        <v>17</v>
      </c>
      <c r="L45" s="75">
        <v>1052</v>
      </c>
      <c r="M45" s="76" cm="1">
        <f t="array" ref="M45">L45*3.7</f>
        <v>3892.4</v>
      </c>
      <c r="N45" s="48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" customHeight="1">
      <c r="A46" t="s" s="71">
        <v>1073</v>
      </c>
      <c r="B46" s="64">
        <v>45998</v>
      </c>
      <c r="C46" s="61">
        <v>30</v>
      </c>
      <c r="D46" t="s" s="59">
        <v>267</v>
      </c>
      <c r="E46" t="s" s="59">
        <v>1024</v>
      </c>
      <c r="F46" t="s" s="59">
        <v>1055</v>
      </c>
      <c r="G46" t="s" s="59">
        <v>1030</v>
      </c>
      <c r="H46" t="s" s="59">
        <v>1022</v>
      </c>
      <c r="I46" t="s" s="59">
        <v>1026</v>
      </c>
      <c r="J46" s="64">
        <v>46023</v>
      </c>
      <c r="K46" s="72">
        <v>25</v>
      </c>
      <c r="L46" s="77">
        <v>4267</v>
      </c>
      <c r="M46" s="78" cm="1">
        <f t="array" ref="M46">L46*3.7</f>
        <v>15787.9</v>
      </c>
      <c r="N46" s="48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" customHeight="1">
      <c r="A47" t="s" s="68">
        <v>1074</v>
      </c>
      <c r="B47" s="55">
        <v>45915</v>
      </c>
      <c r="C47" s="52">
        <v>31</v>
      </c>
      <c r="D47" t="s" s="50">
        <v>274</v>
      </c>
      <c r="E47" t="s" s="50">
        <v>1019</v>
      </c>
      <c r="F47" t="s" s="50">
        <v>1057</v>
      </c>
      <c r="G47" t="s" s="50">
        <v>1021</v>
      </c>
      <c r="H47" t="s" s="50">
        <v>1022</v>
      </c>
      <c r="I47" t="s" s="50">
        <v>48</v>
      </c>
      <c r="J47" s="55">
        <v>45918</v>
      </c>
      <c r="K47" s="69">
        <v>3</v>
      </c>
      <c r="L47" s="75">
        <v>949</v>
      </c>
      <c r="M47" s="76" cm="1">
        <f t="array" ref="M47">L47*3.7</f>
        <v>3511.3</v>
      </c>
      <c r="N47" s="4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" customHeight="1">
      <c r="A48" t="s" s="71">
        <v>1075</v>
      </c>
      <c r="B48" s="64">
        <v>45778</v>
      </c>
      <c r="C48" s="61">
        <v>31</v>
      </c>
      <c r="D48" t="s" s="59">
        <v>274</v>
      </c>
      <c r="E48" t="s" s="59">
        <v>1024</v>
      </c>
      <c r="F48" t="s" s="59">
        <v>1055</v>
      </c>
      <c r="G48" t="s" s="59">
        <v>1033</v>
      </c>
      <c r="H48" t="s" s="59">
        <v>1028</v>
      </c>
      <c r="I48" t="s" s="59">
        <v>1026</v>
      </c>
      <c r="J48" s="64"/>
      <c r="K48" s="72"/>
      <c r="L48" s="77">
        <v>1609</v>
      </c>
      <c r="M48" s="78" cm="1">
        <f t="array" ref="M48">L48*3.7</f>
        <v>5953.3</v>
      </c>
      <c r="N48" s="48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" customHeight="1">
      <c r="A49" t="s" s="68">
        <v>1076</v>
      </c>
      <c r="B49" s="55">
        <v>45860</v>
      </c>
      <c r="C49" s="52">
        <v>31</v>
      </c>
      <c r="D49" t="s" s="50">
        <v>274</v>
      </c>
      <c r="E49" t="s" s="50">
        <v>1019</v>
      </c>
      <c r="F49" t="s" s="50">
        <v>1057</v>
      </c>
      <c r="G49" t="s" s="50">
        <v>1033</v>
      </c>
      <c r="H49" t="s" s="50">
        <v>1028</v>
      </c>
      <c r="I49" t="s" s="50">
        <v>48</v>
      </c>
      <c r="J49" s="55"/>
      <c r="K49" s="69"/>
      <c r="L49" s="75">
        <v>2472</v>
      </c>
      <c r="M49" s="76" cm="1">
        <f t="array" ref="M49">L49*3.7</f>
        <v>9146.4</v>
      </c>
      <c r="N49" s="4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" customHeight="1">
      <c r="A50" t="s" s="71">
        <v>1077</v>
      </c>
      <c r="B50" s="64">
        <v>45918</v>
      </c>
      <c r="C50" s="61">
        <v>32</v>
      </c>
      <c r="D50" t="s" s="59">
        <v>274</v>
      </c>
      <c r="E50" t="s" s="59">
        <v>1024</v>
      </c>
      <c r="F50" t="s" s="59">
        <v>1055</v>
      </c>
      <c r="G50" t="s" s="59">
        <v>1021</v>
      </c>
      <c r="H50" t="s" s="59">
        <v>1022</v>
      </c>
      <c r="I50" t="s" s="59">
        <v>1026</v>
      </c>
      <c r="J50" s="64">
        <v>45935</v>
      </c>
      <c r="K50" s="72">
        <v>17</v>
      </c>
      <c r="L50" s="77">
        <v>517</v>
      </c>
      <c r="M50" s="78" cm="1">
        <f t="array" ref="M50">L50*3.7</f>
        <v>1912.9</v>
      </c>
      <c r="N50" s="48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" customHeight="1">
      <c r="A51" t="s" s="68">
        <v>1078</v>
      </c>
      <c r="B51" s="55">
        <v>45997</v>
      </c>
      <c r="C51" s="52">
        <v>32</v>
      </c>
      <c r="D51" t="s" s="50">
        <v>274</v>
      </c>
      <c r="E51" t="s" s="50">
        <v>1024</v>
      </c>
      <c r="F51" t="s" s="50">
        <v>1055</v>
      </c>
      <c r="G51" t="s" s="50">
        <v>1021</v>
      </c>
      <c r="H51" t="s" s="50">
        <v>1028</v>
      </c>
      <c r="I51" t="s" s="50">
        <v>1026</v>
      </c>
      <c r="J51" s="55"/>
      <c r="K51" s="69"/>
      <c r="L51" s="75">
        <v>446</v>
      </c>
      <c r="M51" s="76" cm="1">
        <f t="array" ref="M51">L51*3.7</f>
        <v>1650.2</v>
      </c>
      <c r="N51" s="48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" customHeight="1">
      <c r="A52" t="s" s="71">
        <v>1079</v>
      </c>
      <c r="B52" s="64">
        <v>45861</v>
      </c>
      <c r="C52" s="61">
        <v>33</v>
      </c>
      <c r="D52" t="s" s="59">
        <v>274</v>
      </c>
      <c r="E52" t="s" s="59">
        <v>1024</v>
      </c>
      <c r="F52" t="s" s="59">
        <v>1055</v>
      </c>
      <c r="G52" t="s" s="59">
        <v>1033</v>
      </c>
      <c r="H52" t="s" s="59">
        <v>1022</v>
      </c>
      <c r="I52" t="s" s="59">
        <v>1026</v>
      </c>
      <c r="J52" s="64">
        <v>45880</v>
      </c>
      <c r="K52" s="72">
        <v>19</v>
      </c>
      <c r="L52" s="77">
        <v>1251</v>
      </c>
      <c r="M52" s="78" cm="1">
        <f t="array" ref="M52">L52*3.7</f>
        <v>4628.7</v>
      </c>
      <c r="N52" s="48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" customHeight="1">
      <c r="A53" t="s" s="68">
        <v>1080</v>
      </c>
      <c r="B53" s="55">
        <v>45888</v>
      </c>
      <c r="C53" s="52">
        <v>34</v>
      </c>
      <c r="D53" t="s" s="50">
        <v>274</v>
      </c>
      <c r="E53" t="s" s="50">
        <v>1019</v>
      </c>
      <c r="F53" t="s" s="50">
        <v>1057</v>
      </c>
      <c r="G53" t="s" s="50">
        <v>1033</v>
      </c>
      <c r="H53" t="s" s="50">
        <v>1022</v>
      </c>
      <c r="I53" t="s" s="50">
        <v>48</v>
      </c>
      <c r="J53" s="55">
        <v>45891</v>
      </c>
      <c r="K53" s="69">
        <v>3</v>
      </c>
      <c r="L53" s="75">
        <v>2759</v>
      </c>
      <c r="M53" s="76" cm="1">
        <f t="array" ref="M53">L53*3.7</f>
        <v>10208.3</v>
      </c>
      <c r="N53" s="4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" customHeight="1">
      <c r="A54" t="s" s="71">
        <v>1081</v>
      </c>
      <c r="B54" s="64">
        <v>45873</v>
      </c>
      <c r="C54" s="61">
        <v>35</v>
      </c>
      <c r="D54" t="s" s="59">
        <v>274</v>
      </c>
      <c r="E54" t="s" s="59">
        <v>1019</v>
      </c>
      <c r="F54" t="s" s="59">
        <v>1057</v>
      </c>
      <c r="G54" t="s" s="59">
        <v>1021</v>
      </c>
      <c r="H54" t="s" s="59">
        <v>1022</v>
      </c>
      <c r="I54" t="s" s="59">
        <v>48</v>
      </c>
      <c r="J54" s="64">
        <v>45886</v>
      </c>
      <c r="K54" s="72">
        <v>13</v>
      </c>
      <c r="L54" s="77">
        <v>820</v>
      </c>
      <c r="M54" s="78" cm="1">
        <f t="array" ref="M54">L54*3.7</f>
        <v>3034</v>
      </c>
      <c r="N54" s="48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" customHeight="1">
      <c r="A55" t="s" s="68">
        <v>1082</v>
      </c>
      <c r="B55" s="55">
        <v>45950</v>
      </c>
      <c r="C55" s="52">
        <v>36</v>
      </c>
      <c r="D55" t="s" s="50">
        <v>274</v>
      </c>
      <c r="E55" t="s" s="50">
        <v>1019</v>
      </c>
      <c r="F55" t="s" s="50">
        <v>1057</v>
      </c>
      <c r="G55" t="s" s="50">
        <v>1021</v>
      </c>
      <c r="H55" t="s" s="50">
        <v>1028</v>
      </c>
      <c r="I55" t="s" s="50">
        <v>48</v>
      </c>
      <c r="J55" s="55"/>
      <c r="K55" s="69"/>
      <c r="L55" s="75">
        <v>896</v>
      </c>
      <c r="M55" s="76" cm="1">
        <f t="array" ref="M55">L55*3.7</f>
        <v>3315.2</v>
      </c>
      <c r="N55" s="48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" customHeight="1">
      <c r="A56" t="s" s="71">
        <v>1083</v>
      </c>
      <c r="B56" s="64">
        <v>45836</v>
      </c>
      <c r="C56" s="61">
        <v>36</v>
      </c>
      <c r="D56" t="s" s="59">
        <v>274</v>
      </c>
      <c r="E56" t="s" s="59">
        <v>1024</v>
      </c>
      <c r="F56" t="s" s="59">
        <v>1055</v>
      </c>
      <c r="G56" t="s" s="59">
        <v>1021</v>
      </c>
      <c r="H56" t="s" s="59">
        <v>1028</v>
      </c>
      <c r="I56" t="s" s="59">
        <v>1026</v>
      </c>
      <c r="J56" s="64"/>
      <c r="K56" s="72"/>
      <c r="L56" s="77">
        <v>425</v>
      </c>
      <c r="M56" s="78" cm="1">
        <f t="array" ref="M56">L56*3.7</f>
        <v>1572.5</v>
      </c>
      <c r="N56" s="48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" customHeight="1">
      <c r="A57" t="s" s="68">
        <v>1084</v>
      </c>
      <c r="B57" s="55">
        <v>45900</v>
      </c>
      <c r="C57" s="52">
        <v>36</v>
      </c>
      <c r="D57" t="s" s="50">
        <v>274</v>
      </c>
      <c r="E57" t="s" s="50">
        <v>1019</v>
      </c>
      <c r="F57" t="s" s="50">
        <v>1057</v>
      </c>
      <c r="G57" t="s" s="50">
        <v>1021</v>
      </c>
      <c r="H57" t="s" s="50">
        <v>1028</v>
      </c>
      <c r="I57" t="s" s="50">
        <v>48</v>
      </c>
      <c r="J57" s="55"/>
      <c r="K57" s="69"/>
      <c r="L57" s="75">
        <v>792</v>
      </c>
      <c r="M57" s="76" cm="1">
        <f t="array" ref="M57">L57*3.7</f>
        <v>2930.4</v>
      </c>
      <c r="N57" s="48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" customHeight="1">
      <c r="A58" t="s" s="71">
        <v>1085</v>
      </c>
      <c r="B58" s="64">
        <v>46043</v>
      </c>
      <c r="C58" s="61">
        <v>37</v>
      </c>
      <c r="D58" t="s" s="59">
        <v>274</v>
      </c>
      <c r="E58" t="s" s="59">
        <v>1019</v>
      </c>
      <c r="F58" t="s" s="59">
        <v>1057</v>
      </c>
      <c r="G58" t="s" s="59">
        <v>1030</v>
      </c>
      <c r="H58" t="s" s="59">
        <v>1022</v>
      </c>
      <c r="I58" t="s" s="59">
        <v>48</v>
      </c>
      <c r="J58" s="64">
        <v>46056</v>
      </c>
      <c r="K58" s="72">
        <v>13</v>
      </c>
      <c r="L58" s="77">
        <v>8682</v>
      </c>
      <c r="M58" s="78" cm="1">
        <f t="array" ref="M58">L58*3.7</f>
        <v>32123.4</v>
      </c>
      <c r="N58" s="48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" customHeight="1">
      <c r="A59" t="s" s="68">
        <v>1086</v>
      </c>
      <c r="B59" s="55">
        <v>45988</v>
      </c>
      <c r="C59" s="52">
        <v>37</v>
      </c>
      <c r="D59" t="s" s="50">
        <v>274</v>
      </c>
      <c r="E59" t="s" s="50">
        <v>1024</v>
      </c>
      <c r="F59" t="s" s="50">
        <v>1055</v>
      </c>
      <c r="G59" t="s" s="50">
        <v>1033</v>
      </c>
      <c r="H59" t="s" s="50">
        <v>1028</v>
      </c>
      <c r="I59" t="s" s="50">
        <v>1026</v>
      </c>
      <c r="J59" s="55"/>
      <c r="K59" s="69"/>
      <c r="L59" s="75">
        <v>1604</v>
      </c>
      <c r="M59" s="76" cm="1">
        <f t="array" ref="M59">L59*3.7</f>
        <v>5934.8</v>
      </c>
      <c r="N59" s="48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" customHeight="1">
      <c r="A60" t="s" s="71">
        <v>1087</v>
      </c>
      <c r="B60" s="64">
        <v>45891</v>
      </c>
      <c r="C60" s="61">
        <v>38</v>
      </c>
      <c r="D60" t="s" s="59">
        <v>274</v>
      </c>
      <c r="E60" t="s" s="59">
        <v>1019</v>
      </c>
      <c r="F60" t="s" s="59">
        <v>1057</v>
      </c>
      <c r="G60" t="s" s="59">
        <v>1033</v>
      </c>
      <c r="H60" t="s" s="59">
        <v>1022</v>
      </c>
      <c r="I60" t="s" s="59">
        <v>48</v>
      </c>
      <c r="J60" s="64">
        <v>45905</v>
      </c>
      <c r="K60" s="72">
        <v>14</v>
      </c>
      <c r="L60" s="77">
        <v>3037</v>
      </c>
      <c r="M60" s="78" cm="1">
        <f t="array" ref="M60">L60*3.7</f>
        <v>11236.9</v>
      </c>
      <c r="N60" s="48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" customHeight="1">
      <c r="A61" t="s" s="68">
        <v>1088</v>
      </c>
      <c r="B61" s="55">
        <v>45978</v>
      </c>
      <c r="C61" s="52">
        <v>38</v>
      </c>
      <c r="D61" t="s" s="50">
        <v>274</v>
      </c>
      <c r="E61" t="s" s="50">
        <v>1024</v>
      </c>
      <c r="F61" t="s" s="50">
        <v>1055</v>
      </c>
      <c r="G61" t="s" s="50">
        <v>1021</v>
      </c>
      <c r="H61" t="s" s="50">
        <v>1022</v>
      </c>
      <c r="I61" t="s" s="50">
        <v>1026</v>
      </c>
      <c r="J61" s="55">
        <v>45987</v>
      </c>
      <c r="K61" s="69">
        <v>9</v>
      </c>
      <c r="L61" s="75">
        <v>535</v>
      </c>
      <c r="M61" s="76" cm="1">
        <f t="array" ref="M61">L61*3.7</f>
        <v>1979.5</v>
      </c>
      <c r="N61" s="48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" customHeight="1">
      <c r="A62" t="s" s="71">
        <v>1089</v>
      </c>
      <c r="B62" s="64">
        <v>46007</v>
      </c>
      <c r="C62" s="61">
        <v>39</v>
      </c>
      <c r="D62" t="s" s="59">
        <v>274</v>
      </c>
      <c r="E62" t="s" s="59">
        <v>1019</v>
      </c>
      <c r="F62" t="s" s="59">
        <v>1090</v>
      </c>
      <c r="G62" t="s" s="59">
        <v>1021</v>
      </c>
      <c r="H62" t="s" s="59">
        <v>1022</v>
      </c>
      <c r="I62" t="s" s="59">
        <v>48</v>
      </c>
      <c r="J62" s="64">
        <v>46017</v>
      </c>
      <c r="K62" s="72">
        <v>10</v>
      </c>
      <c r="L62" s="77">
        <v>914</v>
      </c>
      <c r="M62" s="78" cm="1">
        <f t="array" ref="M62">L62*3.7</f>
        <v>3381.8</v>
      </c>
      <c r="N62" s="48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" customHeight="1">
      <c r="A63" t="s" s="68">
        <v>1091</v>
      </c>
      <c r="B63" s="55">
        <v>45805</v>
      </c>
      <c r="C63" s="52">
        <v>39</v>
      </c>
      <c r="D63" t="s" s="50">
        <v>274</v>
      </c>
      <c r="E63" t="s" s="50">
        <v>1019</v>
      </c>
      <c r="F63" t="s" s="50">
        <v>1092</v>
      </c>
      <c r="G63" t="s" s="50">
        <v>1033</v>
      </c>
      <c r="H63" t="s" s="50">
        <v>1022</v>
      </c>
      <c r="I63" t="s" s="50">
        <v>48</v>
      </c>
      <c r="J63" s="55">
        <v>45817</v>
      </c>
      <c r="K63" s="69">
        <v>12</v>
      </c>
      <c r="L63" s="75">
        <v>3032</v>
      </c>
      <c r="M63" s="76" cm="1">
        <f t="array" ref="M63">L63*3.7</f>
        <v>11218.4</v>
      </c>
      <c r="N63" s="48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" customHeight="1">
      <c r="A64" t="s" s="71">
        <v>1093</v>
      </c>
      <c r="B64" s="64">
        <v>46018</v>
      </c>
      <c r="C64" s="61">
        <v>40</v>
      </c>
      <c r="D64" t="s" s="59">
        <v>274</v>
      </c>
      <c r="E64" t="s" s="59">
        <v>1094</v>
      </c>
      <c r="F64" t="s" s="59">
        <v>1095</v>
      </c>
      <c r="G64" t="s" s="59">
        <v>1021</v>
      </c>
      <c r="H64" t="s" s="59">
        <v>1022</v>
      </c>
      <c r="I64" t="s" s="59">
        <v>51</v>
      </c>
      <c r="J64" s="64">
        <v>46039</v>
      </c>
      <c r="K64" s="72">
        <v>21</v>
      </c>
      <c r="L64" s="77">
        <v>906</v>
      </c>
      <c r="M64" s="78" cm="1">
        <f t="array" ref="M64">L64*3.7</f>
        <v>3352.2</v>
      </c>
      <c r="N64" s="48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" customHeight="1">
      <c r="A65" t="s" s="68">
        <v>1096</v>
      </c>
      <c r="B65" s="55">
        <v>45782</v>
      </c>
      <c r="C65" s="52">
        <v>40</v>
      </c>
      <c r="D65" t="s" s="50">
        <v>274</v>
      </c>
      <c r="E65" t="s" s="50">
        <v>1019</v>
      </c>
      <c r="F65" t="s" s="50">
        <v>1092</v>
      </c>
      <c r="G65" t="s" s="50">
        <v>1033</v>
      </c>
      <c r="H65" t="s" s="50">
        <v>1028</v>
      </c>
      <c r="I65" t="s" s="50">
        <v>48</v>
      </c>
      <c r="J65" s="55"/>
      <c r="K65" s="69"/>
      <c r="L65" s="75">
        <v>2203</v>
      </c>
      <c r="M65" s="76" cm="1">
        <f t="array" ref="M65">L65*3.7</f>
        <v>8151.1</v>
      </c>
      <c r="N65" s="48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" customHeight="1">
      <c r="A66" t="s" s="71">
        <v>1097</v>
      </c>
      <c r="B66" s="64">
        <v>46047</v>
      </c>
      <c r="C66" s="61">
        <v>40</v>
      </c>
      <c r="D66" t="s" s="59">
        <v>274</v>
      </c>
      <c r="E66" t="s" s="59">
        <v>1019</v>
      </c>
      <c r="F66" t="s" s="59">
        <v>1090</v>
      </c>
      <c r="G66" t="s" s="59">
        <v>1021</v>
      </c>
      <c r="H66" t="s" s="59">
        <v>1022</v>
      </c>
      <c r="I66" t="s" s="59">
        <v>48</v>
      </c>
      <c r="J66" s="64">
        <v>46052</v>
      </c>
      <c r="K66" s="72">
        <v>5</v>
      </c>
      <c r="L66" s="77">
        <v>1028</v>
      </c>
      <c r="M66" s="78" cm="1">
        <f t="array" ref="M66">L66*3.7</f>
        <v>3803.6</v>
      </c>
      <c r="N66" s="48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" customHeight="1">
      <c r="A67" t="s" s="68">
        <v>1098</v>
      </c>
      <c r="B67" s="55">
        <v>45945</v>
      </c>
      <c r="C67" s="52">
        <v>41</v>
      </c>
      <c r="D67" t="s" s="50">
        <v>274</v>
      </c>
      <c r="E67" t="s" s="50">
        <v>1094</v>
      </c>
      <c r="F67" t="s" s="50">
        <v>1095</v>
      </c>
      <c r="G67" t="s" s="50">
        <v>1033</v>
      </c>
      <c r="H67" t="s" s="50">
        <v>1028</v>
      </c>
      <c r="I67" t="s" s="50">
        <v>51</v>
      </c>
      <c r="J67" s="55"/>
      <c r="K67" s="69"/>
      <c r="L67" s="75">
        <v>2537</v>
      </c>
      <c r="M67" s="76" cm="1">
        <f t="array" ref="M67">L67*3.7</f>
        <v>9386.9</v>
      </c>
      <c r="N67" s="48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" customHeight="1">
      <c r="A68" t="s" s="71">
        <v>1099</v>
      </c>
      <c r="B68" s="64">
        <v>45994</v>
      </c>
      <c r="C68" s="61">
        <v>41</v>
      </c>
      <c r="D68" t="s" s="59">
        <v>274</v>
      </c>
      <c r="E68" t="s" s="59">
        <v>1019</v>
      </c>
      <c r="F68" t="s" s="59">
        <v>1090</v>
      </c>
      <c r="G68" t="s" s="59">
        <v>1033</v>
      </c>
      <c r="H68" t="s" s="59">
        <v>1022</v>
      </c>
      <c r="I68" t="s" s="59">
        <v>48</v>
      </c>
      <c r="J68" s="64">
        <v>46007</v>
      </c>
      <c r="K68" s="72">
        <v>13</v>
      </c>
      <c r="L68" s="77">
        <v>2160</v>
      </c>
      <c r="M68" s="78" cm="1">
        <f t="array" ref="M68">L68*3.7</f>
        <v>7992</v>
      </c>
      <c r="N68" s="48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" customHeight="1">
      <c r="A69" t="s" s="68">
        <v>1100</v>
      </c>
      <c r="B69" s="55">
        <v>46087</v>
      </c>
      <c r="C69" s="52">
        <v>41</v>
      </c>
      <c r="D69" t="s" s="50">
        <v>274</v>
      </c>
      <c r="E69" t="s" s="50">
        <v>1094</v>
      </c>
      <c r="F69" t="s" s="50">
        <v>1095</v>
      </c>
      <c r="G69" t="s" s="50">
        <v>1030</v>
      </c>
      <c r="H69" t="s" s="50">
        <v>1028</v>
      </c>
      <c r="I69" t="s" s="50">
        <v>51</v>
      </c>
      <c r="J69" s="55"/>
      <c r="K69" s="69"/>
      <c r="L69" s="75">
        <v>7609</v>
      </c>
      <c r="M69" s="76" cm="1">
        <f t="array" ref="M69">L69*3.7</f>
        <v>28153.3</v>
      </c>
      <c r="N69" s="48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" customHeight="1">
      <c r="A70" t="s" s="71">
        <v>1101</v>
      </c>
      <c r="B70" s="64">
        <v>45991</v>
      </c>
      <c r="C70" s="61">
        <v>41</v>
      </c>
      <c r="D70" t="s" s="59">
        <v>274</v>
      </c>
      <c r="E70" t="s" s="59">
        <v>1019</v>
      </c>
      <c r="F70" t="s" s="59">
        <v>1092</v>
      </c>
      <c r="G70" t="s" s="59">
        <v>1033</v>
      </c>
      <c r="H70" t="s" s="59">
        <v>1028</v>
      </c>
      <c r="I70" t="s" s="59">
        <v>48</v>
      </c>
      <c r="J70" s="64"/>
      <c r="K70" s="72"/>
      <c r="L70" s="77">
        <v>2245</v>
      </c>
      <c r="M70" s="78" cm="1">
        <f t="array" ref="M70">L70*3.7</f>
        <v>8306.5</v>
      </c>
      <c r="N70" s="4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" customHeight="1">
      <c r="A71" t="s" s="68">
        <v>1102</v>
      </c>
      <c r="B71" s="55">
        <v>45959</v>
      </c>
      <c r="C71" s="52">
        <v>42</v>
      </c>
      <c r="D71" t="s" s="50">
        <v>274</v>
      </c>
      <c r="E71" t="s" s="50">
        <v>1019</v>
      </c>
      <c r="F71" t="s" s="50">
        <v>1090</v>
      </c>
      <c r="G71" t="s" s="50">
        <v>1033</v>
      </c>
      <c r="H71" t="s" s="50">
        <v>1028</v>
      </c>
      <c r="I71" t="s" s="50">
        <v>48</v>
      </c>
      <c r="J71" s="55"/>
      <c r="K71" s="69"/>
      <c r="L71" s="75">
        <v>2512</v>
      </c>
      <c r="M71" s="76" cm="1">
        <f t="array" ref="M71">L71*3.7</f>
        <v>9294.4</v>
      </c>
      <c r="N71" s="4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" customHeight="1">
      <c r="A72" t="s" s="71">
        <v>1103</v>
      </c>
      <c r="B72" s="64">
        <v>45998</v>
      </c>
      <c r="C72" s="61">
        <v>42</v>
      </c>
      <c r="D72" t="s" s="59">
        <v>274</v>
      </c>
      <c r="E72" t="s" s="59">
        <v>1019</v>
      </c>
      <c r="F72" t="s" s="59">
        <v>1092</v>
      </c>
      <c r="G72" t="s" s="59">
        <v>1030</v>
      </c>
      <c r="H72" t="s" s="59">
        <v>1022</v>
      </c>
      <c r="I72" t="s" s="59">
        <v>48</v>
      </c>
      <c r="J72" s="64">
        <v>46006</v>
      </c>
      <c r="K72" s="72">
        <v>8</v>
      </c>
      <c r="L72" s="77">
        <v>8570</v>
      </c>
      <c r="M72" s="78" cm="1">
        <f t="array" ref="M72">L72*3.7</f>
        <v>31709</v>
      </c>
      <c r="N72" s="4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" customHeight="1">
      <c r="A73" t="s" s="68">
        <v>1104</v>
      </c>
      <c r="B73" s="55">
        <v>45802</v>
      </c>
      <c r="C73" s="52">
        <v>42</v>
      </c>
      <c r="D73" t="s" s="50">
        <v>274</v>
      </c>
      <c r="E73" t="s" s="50">
        <v>1094</v>
      </c>
      <c r="F73" t="s" s="50">
        <v>1095</v>
      </c>
      <c r="G73" t="s" s="50">
        <v>1030</v>
      </c>
      <c r="H73" t="s" s="50">
        <v>1028</v>
      </c>
      <c r="I73" t="s" s="50">
        <v>51</v>
      </c>
      <c r="J73" s="55"/>
      <c r="K73" s="69"/>
      <c r="L73" s="75">
        <v>6451</v>
      </c>
      <c r="M73" s="76" cm="1">
        <f t="array" ref="M73">L73*3.7</f>
        <v>23868.7</v>
      </c>
      <c r="N73" s="48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" customHeight="1">
      <c r="A74" t="s" s="71">
        <v>1105</v>
      </c>
      <c r="B74" s="64">
        <v>46043</v>
      </c>
      <c r="C74" s="61">
        <v>42</v>
      </c>
      <c r="D74" t="s" s="59">
        <v>274</v>
      </c>
      <c r="E74" t="s" s="59">
        <v>1094</v>
      </c>
      <c r="F74" t="s" s="59">
        <v>1095</v>
      </c>
      <c r="G74" t="s" s="59">
        <v>1033</v>
      </c>
      <c r="H74" t="s" s="59">
        <v>1022</v>
      </c>
      <c r="I74" t="s" s="59">
        <v>51</v>
      </c>
      <c r="J74" s="64">
        <v>46049</v>
      </c>
      <c r="K74" s="72">
        <v>6</v>
      </c>
      <c r="L74" s="77">
        <v>2702</v>
      </c>
      <c r="M74" s="78" cm="1">
        <f t="array" ref="M74">L74*3.7</f>
        <v>9997.4</v>
      </c>
      <c r="N74" s="48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" customHeight="1">
      <c r="A75" t="s" s="68">
        <v>1106</v>
      </c>
      <c r="B75" s="55">
        <v>45953</v>
      </c>
      <c r="C75" s="52">
        <v>43</v>
      </c>
      <c r="D75" t="s" s="50">
        <v>274</v>
      </c>
      <c r="E75" t="s" s="50">
        <v>1019</v>
      </c>
      <c r="F75" t="s" s="50">
        <v>1090</v>
      </c>
      <c r="G75" t="s" s="50">
        <v>1033</v>
      </c>
      <c r="H75" t="s" s="50">
        <v>1022</v>
      </c>
      <c r="I75" t="s" s="50">
        <v>48</v>
      </c>
      <c r="J75" s="55">
        <v>45962</v>
      </c>
      <c r="K75" s="69">
        <v>9</v>
      </c>
      <c r="L75" s="75">
        <v>3162</v>
      </c>
      <c r="M75" s="76" cm="1">
        <f t="array" ref="M75">L75*3.7</f>
        <v>11699.4</v>
      </c>
      <c r="N75" s="48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" customHeight="1">
      <c r="A76" t="s" s="71">
        <v>1107</v>
      </c>
      <c r="B76" s="64">
        <v>45899</v>
      </c>
      <c r="C76" s="61">
        <v>43</v>
      </c>
      <c r="D76" t="s" s="59">
        <v>274</v>
      </c>
      <c r="E76" t="s" s="59">
        <v>1019</v>
      </c>
      <c r="F76" t="s" s="59">
        <v>1092</v>
      </c>
      <c r="G76" t="s" s="59">
        <v>1033</v>
      </c>
      <c r="H76" t="s" s="59">
        <v>1022</v>
      </c>
      <c r="I76" t="s" s="59">
        <v>48</v>
      </c>
      <c r="J76" s="64">
        <v>45914</v>
      </c>
      <c r="K76" s="72">
        <v>15</v>
      </c>
      <c r="L76" s="77">
        <v>2385</v>
      </c>
      <c r="M76" s="78" cm="1">
        <f t="array" ref="M76">L76*3.7</f>
        <v>8824.5</v>
      </c>
      <c r="N76" s="48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" customHeight="1">
      <c r="A77" t="s" s="68">
        <v>1108</v>
      </c>
      <c r="B77" s="55">
        <v>45909</v>
      </c>
      <c r="C77" s="52">
        <v>44</v>
      </c>
      <c r="D77" t="s" s="50">
        <v>274</v>
      </c>
      <c r="E77" t="s" s="50">
        <v>1019</v>
      </c>
      <c r="F77" t="s" s="50">
        <v>1090</v>
      </c>
      <c r="G77" t="s" s="50">
        <v>1033</v>
      </c>
      <c r="H77" t="s" s="50">
        <v>1028</v>
      </c>
      <c r="I77" t="s" s="50">
        <v>48</v>
      </c>
      <c r="J77" s="55"/>
      <c r="K77" s="69"/>
      <c r="L77" s="75">
        <v>2980</v>
      </c>
      <c r="M77" s="76" cm="1">
        <f t="array" ref="M77">L77*3.7</f>
        <v>11026</v>
      </c>
      <c r="N77" s="48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" customHeight="1">
      <c r="A78" t="s" s="71">
        <v>1109</v>
      </c>
      <c r="B78" s="64">
        <v>45993</v>
      </c>
      <c r="C78" s="61">
        <v>44</v>
      </c>
      <c r="D78" t="s" s="59">
        <v>274</v>
      </c>
      <c r="E78" t="s" s="59">
        <v>1019</v>
      </c>
      <c r="F78" t="s" s="59">
        <v>1092</v>
      </c>
      <c r="G78" t="s" s="59">
        <v>1021</v>
      </c>
      <c r="H78" t="s" s="59">
        <v>1022</v>
      </c>
      <c r="I78" t="s" s="59">
        <v>48</v>
      </c>
      <c r="J78" s="64">
        <v>46012</v>
      </c>
      <c r="K78" s="72">
        <v>19</v>
      </c>
      <c r="L78" s="77">
        <v>782</v>
      </c>
      <c r="M78" s="78" cm="1">
        <f t="array" ref="M78">L78*3.7</f>
        <v>2893.4</v>
      </c>
      <c r="N78" s="48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" customHeight="1">
      <c r="A79" t="s" s="68">
        <v>1110</v>
      </c>
      <c r="B79" s="55">
        <v>46088</v>
      </c>
      <c r="C79" s="52">
        <v>44</v>
      </c>
      <c r="D79" t="s" s="50">
        <v>274</v>
      </c>
      <c r="E79" t="s" s="50">
        <v>1019</v>
      </c>
      <c r="F79" t="s" s="50">
        <v>1090</v>
      </c>
      <c r="G79" t="s" s="50">
        <v>1021</v>
      </c>
      <c r="H79" t="s" s="50">
        <v>1022</v>
      </c>
      <c r="I79" t="s" s="50">
        <v>48</v>
      </c>
      <c r="J79" s="55">
        <v>46104</v>
      </c>
      <c r="K79" s="69">
        <v>16</v>
      </c>
      <c r="L79" s="75">
        <v>1045</v>
      </c>
      <c r="M79" s="76" cm="1">
        <f t="array" ref="M79">L79*3.7</f>
        <v>3866.5</v>
      </c>
      <c r="N79" s="48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" customHeight="1">
      <c r="A80" t="s" s="71">
        <v>1111</v>
      </c>
      <c r="B80" s="64">
        <v>45982</v>
      </c>
      <c r="C80" s="61">
        <v>44</v>
      </c>
      <c r="D80" t="s" s="59">
        <v>274</v>
      </c>
      <c r="E80" t="s" s="59">
        <v>1094</v>
      </c>
      <c r="F80" t="s" s="59">
        <v>1095</v>
      </c>
      <c r="G80" t="s" s="59">
        <v>1033</v>
      </c>
      <c r="H80" t="s" s="59">
        <v>1022</v>
      </c>
      <c r="I80" t="s" s="59">
        <v>51</v>
      </c>
      <c r="J80" s="64">
        <v>45998</v>
      </c>
      <c r="K80" s="72">
        <v>16</v>
      </c>
      <c r="L80" s="77">
        <v>2322</v>
      </c>
      <c r="M80" s="78" cm="1">
        <f t="array" ref="M80">L80*3.7</f>
        <v>8591.4</v>
      </c>
      <c r="N80" s="48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" customHeight="1">
      <c r="A81" t="s" s="68">
        <v>1112</v>
      </c>
      <c r="B81" s="55">
        <v>46093</v>
      </c>
      <c r="C81" s="52">
        <v>45</v>
      </c>
      <c r="D81" t="s" s="50">
        <v>274</v>
      </c>
      <c r="E81" t="s" s="50">
        <v>1019</v>
      </c>
      <c r="F81" t="s" s="50">
        <v>1090</v>
      </c>
      <c r="G81" t="s" s="50">
        <v>1033</v>
      </c>
      <c r="H81" t="s" s="50">
        <v>1022</v>
      </c>
      <c r="I81" t="s" s="50">
        <v>48</v>
      </c>
      <c r="J81" s="55">
        <v>46111</v>
      </c>
      <c r="K81" s="69">
        <v>18</v>
      </c>
      <c r="L81" s="75">
        <v>2432</v>
      </c>
      <c r="M81" s="76" cm="1">
        <f t="array" ref="M81">L81*3.7</f>
        <v>8998.4</v>
      </c>
      <c r="N81" s="48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" customHeight="1">
      <c r="A82" t="s" s="71">
        <v>1113</v>
      </c>
      <c r="B82" s="64">
        <v>46100</v>
      </c>
      <c r="C82" s="61">
        <v>45</v>
      </c>
      <c r="D82" t="s" s="59">
        <v>274</v>
      </c>
      <c r="E82" t="s" s="59">
        <v>1094</v>
      </c>
      <c r="F82" t="s" s="59">
        <v>1095</v>
      </c>
      <c r="G82" t="s" s="59">
        <v>1021</v>
      </c>
      <c r="H82" t="s" s="59">
        <v>1022</v>
      </c>
      <c r="I82" t="s" s="59">
        <v>51</v>
      </c>
      <c r="J82" s="64">
        <v>46111</v>
      </c>
      <c r="K82" s="72">
        <v>11</v>
      </c>
      <c r="L82" s="77">
        <v>850</v>
      </c>
      <c r="M82" s="78" cm="1">
        <f t="array" ref="M82">L82*3.7</f>
        <v>3145</v>
      </c>
      <c r="N82" s="48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" customHeight="1">
      <c r="A83" t="s" s="68">
        <v>1114</v>
      </c>
      <c r="B83" s="55">
        <v>45786</v>
      </c>
      <c r="C83" s="52">
        <v>46</v>
      </c>
      <c r="D83" t="s" s="50">
        <v>274</v>
      </c>
      <c r="E83" t="s" s="50">
        <v>1019</v>
      </c>
      <c r="F83" t="s" s="50">
        <v>1090</v>
      </c>
      <c r="G83" t="s" s="50">
        <v>1021</v>
      </c>
      <c r="H83" t="s" s="50">
        <v>1028</v>
      </c>
      <c r="I83" t="s" s="50">
        <v>48</v>
      </c>
      <c r="J83" s="55"/>
      <c r="K83" s="69"/>
      <c r="L83" s="75">
        <v>855</v>
      </c>
      <c r="M83" s="76" cm="1">
        <f t="array" ref="M83">L83*3.7</f>
        <v>3163.5</v>
      </c>
      <c r="N83" s="48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" customHeight="1">
      <c r="A84" t="s" s="71">
        <v>1115</v>
      </c>
      <c r="B84" s="64">
        <v>45970</v>
      </c>
      <c r="C84" s="61">
        <v>46</v>
      </c>
      <c r="D84" t="s" s="59">
        <v>274</v>
      </c>
      <c r="E84" t="s" s="59">
        <v>1094</v>
      </c>
      <c r="F84" t="s" s="59">
        <v>1095</v>
      </c>
      <c r="G84" t="s" s="59">
        <v>1030</v>
      </c>
      <c r="H84" t="s" s="59">
        <v>1028</v>
      </c>
      <c r="I84" t="s" s="59">
        <v>51</v>
      </c>
      <c r="J84" s="64"/>
      <c r="K84" s="72"/>
      <c r="L84" s="77">
        <v>6330</v>
      </c>
      <c r="M84" s="78" cm="1">
        <f t="array" ref="M84">L84*3.7</f>
        <v>23421</v>
      </c>
      <c r="N84" s="48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" customHeight="1">
      <c r="A85" t="s" s="68">
        <v>1116</v>
      </c>
      <c r="B85" s="55">
        <v>46014</v>
      </c>
      <c r="C85" s="52">
        <v>46</v>
      </c>
      <c r="D85" t="s" s="50">
        <v>274</v>
      </c>
      <c r="E85" t="s" s="50">
        <v>1094</v>
      </c>
      <c r="F85" t="s" s="50">
        <v>1095</v>
      </c>
      <c r="G85" t="s" s="50">
        <v>1060</v>
      </c>
      <c r="H85" t="s" s="50">
        <v>1028</v>
      </c>
      <c r="I85" t="s" s="50">
        <v>51</v>
      </c>
      <c r="J85" s="55"/>
      <c r="K85" s="69"/>
      <c r="L85" s="75">
        <v>16740</v>
      </c>
      <c r="M85" s="76" cm="1">
        <f t="array" ref="M85">L85*3.7</f>
        <v>61938</v>
      </c>
      <c r="N85" s="4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" customHeight="1">
      <c r="A86" t="s" s="71">
        <v>1117</v>
      </c>
      <c r="B86" s="64">
        <v>46053</v>
      </c>
      <c r="C86" s="61">
        <v>47</v>
      </c>
      <c r="D86" t="s" s="59">
        <v>274</v>
      </c>
      <c r="E86" t="s" s="59">
        <v>1019</v>
      </c>
      <c r="F86" t="s" s="59">
        <v>1092</v>
      </c>
      <c r="G86" t="s" s="59">
        <v>1033</v>
      </c>
      <c r="H86" t="s" s="59">
        <v>1028</v>
      </c>
      <c r="I86" t="s" s="59">
        <v>48</v>
      </c>
      <c r="J86" s="64"/>
      <c r="K86" s="72"/>
      <c r="L86" s="77">
        <v>2199</v>
      </c>
      <c r="M86" s="78" cm="1">
        <f t="array" ref="M86">L86*3.7</f>
        <v>8136.3</v>
      </c>
      <c r="N86" s="4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" customHeight="1">
      <c r="A87" t="s" s="68">
        <v>1118</v>
      </c>
      <c r="B87" s="55">
        <v>46057</v>
      </c>
      <c r="C87" s="52">
        <v>47</v>
      </c>
      <c r="D87" t="s" s="50">
        <v>274</v>
      </c>
      <c r="E87" t="s" s="50">
        <v>1094</v>
      </c>
      <c r="F87" t="s" s="50">
        <v>1095</v>
      </c>
      <c r="G87" t="s" s="50">
        <v>1033</v>
      </c>
      <c r="H87" t="s" s="50">
        <v>1022</v>
      </c>
      <c r="I87" t="s" s="50">
        <v>51</v>
      </c>
      <c r="J87" s="55">
        <v>46060</v>
      </c>
      <c r="K87" s="69">
        <v>3</v>
      </c>
      <c r="L87" s="75">
        <v>2206</v>
      </c>
      <c r="M87" s="76" cm="1">
        <f t="array" ref="M87">L87*3.7</f>
        <v>8162.2</v>
      </c>
      <c r="N87" s="48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" customHeight="1">
      <c r="A88" t="s" s="71">
        <v>1119</v>
      </c>
      <c r="B88" s="64">
        <v>46036</v>
      </c>
      <c r="C88" s="61">
        <v>47</v>
      </c>
      <c r="D88" t="s" s="59">
        <v>274</v>
      </c>
      <c r="E88" t="s" s="59">
        <v>1019</v>
      </c>
      <c r="F88" t="s" s="59">
        <v>1090</v>
      </c>
      <c r="G88" t="s" s="59">
        <v>1021</v>
      </c>
      <c r="H88" t="s" s="59">
        <v>1022</v>
      </c>
      <c r="I88" t="s" s="59">
        <v>48</v>
      </c>
      <c r="J88" s="64">
        <v>46041</v>
      </c>
      <c r="K88" s="72">
        <v>5</v>
      </c>
      <c r="L88" s="77">
        <v>853</v>
      </c>
      <c r="M88" s="78" cm="1">
        <f t="array" ref="M88">L88*3.7</f>
        <v>3156.1</v>
      </c>
      <c r="N88" s="48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" customHeight="1">
      <c r="A89" t="s" s="68">
        <v>1120</v>
      </c>
      <c r="B89" s="55">
        <v>45932</v>
      </c>
      <c r="C89" s="52">
        <v>47</v>
      </c>
      <c r="D89" t="s" s="50">
        <v>274</v>
      </c>
      <c r="E89" t="s" s="50">
        <v>1094</v>
      </c>
      <c r="F89" t="s" s="50">
        <v>1095</v>
      </c>
      <c r="G89" t="s" s="50">
        <v>1030</v>
      </c>
      <c r="H89" t="s" s="50">
        <v>1022</v>
      </c>
      <c r="I89" t="s" s="50">
        <v>51</v>
      </c>
      <c r="J89" s="55">
        <v>45958</v>
      </c>
      <c r="K89" s="69">
        <v>26</v>
      </c>
      <c r="L89" s="75">
        <v>7271</v>
      </c>
      <c r="M89" s="76" cm="1">
        <f t="array" ref="M89">L89*3.7</f>
        <v>26902.7</v>
      </c>
      <c r="N89" s="48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" customHeight="1">
      <c r="A90" t="s" s="71">
        <v>1121</v>
      </c>
      <c r="B90" s="64">
        <v>45908</v>
      </c>
      <c r="C90" s="61">
        <v>48</v>
      </c>
      <c r="D90" t="s" s="59">
        <v>274</v>
      </c>
      <c r="E90" t="s" s="59">
        <v>1019</v>
      </c>
      <c r="F90" t="s" s="59">
        <v>1092</v>
      </c>
      <c r="G90" t="s" s="59">
        <v>1021</v>
      </c>
      <c r="H90" t="s" s="59">
        <v>1022</v>
      </c>
      <c r="I90" t="s" s="59">
        <v>48</v>
      </c>
      <c r="J90" s="64">
        <v>45920</v>
      </c>
      <c r="K90" s="72">
        <v>12</v>
      </c>
      <c r="L90" s="77">
        <v>844</v>
      </c>
      <c r="M90" s="78" cm="1">
        <f t="array" ref="M90">L90*3.7</f>
        <v>3122.8</v>
      </c>
      <c r="N90" s="48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" customHeight="1">
      <c r="A91" t="s" s="68">
        <v>1122</v>
      </c>
      <c r="B91" s="55">
        <v>45866</v>
      </c>
      <c r="C91" s="52">
        <v>48</v>
      </c>
      <c r="D91" t="s" s="50">
        <v>274</v>
      </c>
      <c r="E91" t="s" s="50">
        <v>1019</v>
      </c>
      <c r="F91" t="s" s="50">
        <v>1092</v>
      </c>
      <c r="G91" t="s" s="50">
        <v>1021</v>
      </c>
      <c r="H91" t="s" s="50">
        <v>1028</v>
      </c>
      <c r="I91" t="s" s="50">
        <v>48</v>
      </c>
      <c r="J91" s="55"/>
      <c r="K91" s="69"/>
      <c r="L91" s="75">
        <v>848</v>
      </c>
      <c r="M91" s="76" cm="1">
        <f t="array" ref="M91">L91*3.7</f>
        <v>3137.6</v>
      </c>
      <c r="N91" s="4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" customHeight="1">
      <c r="A92" t="s" s="71">
        <v>1123</v>
      </c>
      <c r="B92" s="64">
        <v>46045</v>
      </c>
      <c r="C92" s="61">
        <v>48</v>
      </c>
      <c r="D92" t="s" s="59">
        <v>274</v>
      </c>
      <c r="E92" t="s" s="59">
        <v>1019</v>
      </c>
      <c r="F92" t="s" s="59">
        <v>1090</v>
      </c>
      <c r="G92" t="s" s="59">
        <v>1030</v>
      </c>
      <c r="H92" t="s" s="59">
        <v>1022</v>
      </c>
      <c r="I92" t="s" s="59">
        <v>48</v>
      </c>
      <c r="J92" s="64">
        <v>46077</v>
      </c>
      <c r="K92" s="72">
        <v>32</v>
      </c>
      <c r="L92" s="77">
        <v>7309</v>
      </c>
      <c r="M92" s="78" cm="1">
        <f t="array" ref="M92">L92*3.7</f>
        <v>27043.3</v>
      </c>
      <c r="N92" s="4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" customHeight="1">
      <c r="A93" t="s" s="68">
        <v>1124</v>
      </c>
      <c r="B93" s="55">
        <v>46097</v>
      </c>
      <c r="C93" s="52">
        <v>49</v>
      </c>
      <c r="D93" t="s" s="50">
        <v>274</v>
      </c>
      <c r="E93" t="s" s="50">
        <v>1019</v>
      </c>
      <c r="F93" t="s" s="50">
        <v>1090</v>
      </c>
      <c r="G93" t="s" s="50">
        <v>1030</v>
      </c>
      <c r="H93" t="s" s="50">
        <v>1022</v>
      </c>
      <c r="I93" t="s" s="50">
        <v>48</v>
      </c>
      <c r="J93" s="55">
        <v>46112</v>
      </c>
      <c r="K93" s="69">
        <v>15</v>
      </c>
      <c r="L93" s="75">
        <v>6259</v>
      </c>
      <c r="M93" s="76" cm="1">
        <f t="array" ref="M93">L93*3.7</f>
        <v>23158.3</v>
      </c>
      <c r="N93" s="48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" customHeight="1">
      <c r="A94" t="s" s="71">
        <v>1125</v>
      </c>
      <c r="B94" s="64">
        <v>45972</v>
      </c>
      <c r="C94" s="61">
        <v>49</v>
      </c>
      <c r="D94" t="s" s="59">
        <v>274</v>
      </c>
      <c r="E94" t="s" s="59">
        <v>1094</v>
      </c>
      <c r="F94" t="s" s="59">
        <v>1095</v>
      </c>
      <c r="G94" t="s" s="59">
        <v>1033</v>
      </c>
      <c r="H94" t="s" s="59">
        <v>1022</v>
      </c>
      <c r="I94" t="s" s="59">
        <v>51</v>
      </c>
      <c r="J94" s="64">
        <v>45978</v>
      </c>
      <c r="K94" s="72">
        <v>6</v>
      </c>
      <c r="L94" s="77">
        <v>2343</v>
      </c>
      <c r="M94" s="78" cm="1">
        <f t="array" ref="M94">L94*3.7</f>
        <v>8669.1</v>
      </c>
      <c r="N94" s="48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" customHeight="1">
      <c r="A95" t="s" s="68">
        <v>1126</v>
      </c>
      <c r="B95" s="55">
        <v>45870</v>
      </c>
      <c r="C95" s="52">
        <v>50</v>
      </c>
      <c r="D95" t="s" s="50">
        <v>274</v>
      </c>
      <c r="E95" t="s" s="50">
        <v>1094</v>
      </c>
      <c r="F95" t="s" s="50">
        <v>1095</v>
      </c>
      <c r="G95" t="s" s="50">
        <v>1033</v>
      </c>
      <c r="H95" t="s" s="50">
        <v>1028</v>
      </c>
      <c r="I95" t="s" s="50">
        <v>51</v>
      </c>
      <c r="J95" s="55"/>
      <c r="K95" s="69"/>
      <c r="L95" s="75">
        <v>2494</v>
      </c>
      <c r="M95" s="76" cm="1">
        <f t="array" ref="M95">L95*3.7</f>
        <v>9227.799999999999</v>
      </c>
      <c r="N95" s="4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" customHeight="1">
      <c r="A96" t="s" s="71">
        <v>1127</v>
      </c>
      <c r="B96" s="64">
        <v>45882</v>
      </c>
      <c r="C96" s="61">
        <v>50</v>
      </c>
      <c r="D96" t="s" s="59">
        <v>274</v>
      </c>
      <c r="E96" t="s" s="59">
        <v>1094</v>
      </c>
      <c r="F96" t="s" s="59">
        <v>1095</v>
      </c>
      <c r="G96" t="s" s="59">
        <v>1030</v>
      </c>
      <c r="H96" t="s" s="59">
        <v>1028</v>
      </c>
      <c r="I96" t="s" s="59">
        <v>51</v>
      </c>
      <c r="J96" s="64"/>
      <c r="K96" s="72"/>
      <c r="L96" s="77">
        <v>8632</v>
      </c>
      <c r="M96" s="78" cm="1">
        <f t="array" ref="M96">L96*3.7</f>
        <v>31938.4</v>
      </c>
      <c r="N96" s="48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" customHeight="1">
      <c r="A97" t="s" s="68">
        <v>1128</v>
      </c>
      <c r="B97" s="55">
        <v>45815</v>
      </c>
      <c r="C97" s="52">
        <v>50</v>
      </c>
      <c r="D97" t="s" s="50">
        <v>274</v>
      </c>
      <c r="E97" t="s" s="50">
        <v>1019</v>
      </c>
      <c r="F97" t="s" s="50">
        <v>1090</v>
      </c>
      <c r="G97" t="s" s="50">
        <v>1033</v>
      </c>
      <c r="H97" t="s" s="50">
        <v>1028</v>
      </c>
      <c r="I97" t="s" s="50">
        <v>48</v>
      </c>
      <c r="J97" s="55"/>
      <c r="K97" s="69"/>
      <c r="L97" s="75">
        <v>2877</v>
      </c>
      <c r="M97" s="76" cm="1">
        <f t="array" ref="M97">L97*3.7</f>
        <v>10644.9</v>
      </c>
      <c r="N97" s="4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" customHeight="1">
      <c r="A98" t="s" s="71">
        <v>1129</v>
      </c>
      <c r="B98" s="64">
        <v>45915</v>
      </c>
      <c r="C98" s="61">
        <v>51</v>
      </c>
      <c r="D98" t="s" s="59">
        <v>274</v>
      </c>
      <c r="E98" t="s" s="59">
        <v>1019</v>
      </c>
      <c r="F98" t="s" s="59">
        <v>1090</v>
      </c>
      <c r="G98" t="s" s="59">
        <v>1033</v>
      </c>
      <c r="H98" t="s" s="59">
        <v>1022</v>
      </c>
      <c r="I98" t="s" s="59">
        <v>48</v>
      </c>
      <c r="J98" s="64">
        <v>45935</v>
      </c>
      <c r="K98" s="72">
        <v>20</v>
      </c>
      <c r="L98" s="77">
        <v>2615</v>
      </c>
      <c r="M98" s="78" cm="1">
        <f t="array" ref="M98">L98*3.7</f>
        <v>9675.5</v>
      </c>
      <c r="N98" s="48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" customHeight="1">
      <c r="A99" t="s" s="68">
        <v>1130</v>
      </c>
      <c r="B99" s="55">
        <v>45827</v>
      </c>
      <c r="C99" s="52">
        <v>51</v>
      </c>
      <c r="D99" t="s" s="50">
        <v>274</v>
      </c>
      <c r="E99" t="s" s="50">
        <v>1019</v>
      </c>
      <c r="F99" t="s" s="50">
        <v>1092</v>
      </c>
      <c r="G99" t="s" s="50">
        <v>1030</v>
      </c>
      <c r="H99" t="s" s="50">
        <v>1022</v>
      </c>
      <c r="I99" t="s" s="50">
        <v>48</v>
      </c>
      <c r="J99" s="55">
        <v>45853</v>
      </c>
      <c r="K99" s="69">
        <v>26</v>
      </c>
      <c r="L99" s="75">
        <v>6888</v>
      </c>
      <c r="M99" s="76" cm="1">
        <f t="array" ref="M99">L99*3.7</f>
        <v>25485.6</v>
      </c>
      <c r="N99" s="48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" customHeight="1">
      <c r="A100" t="s" s="71">
        <v>1131</v>
      </c>
      <c r="B100" s="64">
        <v>45818</v>
      </c>
      <c r="C100" s="61">
        <v>51</v>
      </c>
      <c r="D100" t="s" s="59">
        <v>274</v>
      </c>
      <c r="E100" t="s" s="59">
        <v>1019</v>
      </c>
      <c r="F100" t="s" s="59">
        <v>1090</v>
      </c>
      <c r="G100" t="s" s="59">
        <v>1021</v>
      </c>
      <c r="H100" t="s" s="59">
        <v>1022</v>
      </c>
      <c r="I100" t="s" s="59">
        <v>48</v>
      </c>
      <c r="J100" s="64">
        <v>45826</v>
      </c>
      <c r="K100" s="72">
        <v>8</v>
      </c>
      <c r="L100" s="77">
        <v>1092</v>
      </c>
      <c r="M100" s="78" cm="1">
        <f t="array" ref="M100">L100*3.7</f>
        <v>4040.4</v>
      </c>
      <c r="N100" s="4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" customHeight="1">
      <c r="A101" t="s" s="68">
        <v>1132</v>
      </c>
      <c r="B101" s="55">
        <v>45883</v>
      </c>
      <c r="C101" s="52">
        <v>51</v>
      </c>
      <c r="D101" t="s" s="50">
        <v>274</v>
      </c>
      <c r="E101" t="s" s="50">
        <v>1019</v>
      </c>
      <c r="F101" t="s" s="50">
        <v>1090</v>
      </c>
      <c r="G101" t="s" s="50">
        <v>1033</v>
      </c>
      <c r="H101" t="s" s="50">
        <v>1022</v>
      </c>
      <c r="I101" t="s" s="50">
        <v>48</v>
      </c>
      <c r="J101" s="55">
        <v>45897</v>
      </c>
      <c r="K101" s="69">
        <v>14</v>
      </c>
      <c r="L101" s="75">
        <v>2251</v>
      </c>
      <c r="M101" s="76" cm="1">
        <f t="array" ref="M101">L101*3.7</f>
        <v>8328.700000000001</v>
      </c>
      <c r="N101" s="48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" customHeight="1">
      <c r="A102" t="s" s="71">
        <v>1133</v>
      </c>
      <c r="B102" s="64">
        <v>46013</v>
      </c>
      <c r="C102" s="61">
        <v>52</v>
      </c>
      <c r="D102" t="s" s="59">
        <v>274</v>
      </c>
      <c r="E102" t="s" s="59">
        <v>1019</v>
      </c>
      <c r="F102" t="s" s="59">
        <v>1090</v>
      </c>
      <c r="G102" t="s" s="59">
        <v>1021</v>
      </c>
      <c r="H102" t="s" s="59">
        <v>1028</v>
      </c>
      <c r="I102" t="s" s="59">
        <v>48</v>
      </c>
      <c r="J102" s="64"/>
      <c r="K102" s="72"/>
      <c r="L102" s="77">
        <v>780</v>
      </c>
      <c r="M102" s="78" cm="1">
        <f t="array" ref="M102">L102*3.7</f>
        <v>2886</v>
      </c>
      <c r="N102" s="48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" customHeight="1">
      <c r="A103" t="s" s="68">
        <v>1134</v>
      </c>
      <c r="B103" s="55">
        <v>45967</v>
      </c>
      <c r="C103" s="52">
        <v>52</v>
      </c>
      <c r="D103" t="s" s="50">
        <v>274</v>
      </c>
      <c r="E103" t="s" s="50">
        <v>1094</v>
      </c>
      <c r="F103" t="s" s="50">
        <v>1095</v>
      </c>
      <c r="G103" t="s" s="50">
        <v>1030</v>
      </c>
      <c r="H103" t="s" s="50">
        <v>1022</v>
      </c>
      <c r="I103" t="s" s="50">
        <v>51</v>
      </c>
      <c r="J103" s="55">
        <v>45977</v>
      </c>
      <c r="K103" s="69">
        <v>10</v>
      </c>
      <c r="L103" s="75">
        <v>7429</v>
      </c>
      <c r="M103" s="76" cm="1">
        <f t="array" ref="M103">L103*3.7</f>
        <v>27487.3</v>
      </c>
      <c r="N103" s="48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" customHeight="1">
      <c r="A104" t="s" s="71">
        <v>1135</v>
      </c>
      <c r="B104" s="64">
        <v>45949</v>
      </c>
      <c r="C104" s="61">
        <v>52</v>
      </c>
      <c r="D104" t="s" s="59">
        <v>274</v>
      </c>
      <c r="E104" t="s" s="59">
        <v>1019</v>
      </c>
      <c r="F104" t="s" s="59">
        <v>1092</v>
      </c>
      <c r="G104" t="s" s="59">
        <v>1033</v>
      </c>
      <c r="H104" t="s" s="59">
        <v>1022</v>
      </c>
      <c r="I104" t="s" s="59">
        <v>48</v>
      </c>
      <c r="J104" s="64">
        <v>45959</v>
      </c>
      <c r="K104" s="72">
        <v>10</v>
      </c>
      <c r="L104" s="77">
        <v>2565</v>
      </c>
      <c r="M104" s="78" cm="1">
        <f t="array" ref="M104">L104*3.7</f>
        <v>9490.5</v>
      </c>
      <c r="N104" s="48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" customHeight="1">
      <c r="A105" t="s" s="68">
        <v>1136</v>
      </c>
      <c r="B105" s="55">
        <v>45860</v>
      </c>
      <c r="C105" s="52">
        <v>52</v>
      </c>
      <c r="D105" t="s" s="50">
        <v>274</v>
      </c>
      <c r="E105" t="s" s="50">
        <v>1019</v>
      </c>
      <c r="F105" t="s" s="50">
        <v>1092</v>
      </c>
      <c r="G105" t="s" s="50">
        <v>1021</v>
      </c>
      <c r="H105" t="s" s="50">
        <v>1022</v>
      </c>
      <c r="I105" t="s" s="50">
        <v>48</v>
      </c>
      <c r="J105" s="55">
        <v>45865</v>
      </c>
      <c r="K105" s="69">
        <v>5</v>
      </c>
      <c r="L105" s="75">
        <v>1026</v>
      </c>
      <c r="M105" s="76" cm="1">
        <f t="array" ref="M105">L105*3.7</f>
        <v>3796.2</v>
      </c>
      <c r="N105" s="48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" customHeight="1">
      <c r="A106" t="s" s="71">
        <v>1137</v>
      </c>
      <c r="B106" s="64">
        <v>46013</v>
      </c>
      <c r="C106" s="61">
        <v>53</v>
      </c>
      <c r="D106" t="s" s="59">
        <v>274</v>
      </c>
      <c r="E106" t="s" s="59">
        <v>1019</v>
      </c>
      <c r="F106" t="s" s="59">
        <v>1090</v>
      </c>
      <c r="G106" t="s" s="59">
        <v>1021</v>
      </c>
      <c r="H106" t="s" s="59">
        <v>1022</v>
      </c>
      <c r="I106" t="s" s="59">
        <v>48</v>
      </c>
      <c r="J106" s="64">
        <v>46032</v>
      </c>
      <c r="K106" s="72">
        <v>19</v>
      </c>
      <c r="L106" s="77">
        <v>938</v>
      </c>
      <c r="M106" s="78" cm="1">
        <f t="array" ref="M106">L106*3.7</f>
        <v>3470.6</v>
      </c>
      <c r="N106" s="48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" customHeight="1">
      <c r="A107" t="s" s="68">
        <v>1138</v>
      </c>
      <c r="B107" s="55">
        <v>46087</v>
      </c>
      <c r="C107" s="52">
        <v>53</v>
      </c>
      <c r="D107" t="s" s="50">
        <v>274</v>
      </c>
      <c r="E107" t="s" s="50">
        <v>1019</v>
      </c>
      <c r="F107" t="s" s="50">
        <v>1092</v>
      </c>
      <c r="G107" t="s" s="50">
        <v>1021</v>
      </c>
      <c r="H107" t="s" s="50">
        <v>1028</v>
      </c>
      <c r="I107" t="s" s="50">
        <v>48</v>
      </c>
      <c r="J107" s="55"/>
      <c r="K107" s="69"/>
      <c r="L107" s="75">
        <v>936</v>
      </c>
      <c r="M107" s="76" cm="1">
        <f t="array" ref="M107">L107*3.7</f>
        <v>3463.2</v>
      </c>
      <c r="N107" s="48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" customHeight="1">
      <c r="A108" t="s" s="71">
        <v>1139</v>
      </c>
      <c r="B108" s="64">
        <v>45865</v>
      </c>
      <c r="C108" s="61">
        <v>53</v>
      </c>
      <c r="D108" t="s" s="59">
        <v>274</v>
      </c>
      <c r="E108" t="s" s="59">
        <v>1019</v>
      </c>
      <c r="F108" t="s" s="59">
        <v>1092</v>
      </c>
      <c r="G108" t="s" s="59">
        <v>1021</v>
      </c>
      <c r="H108" t="s" s="59">
        <v>1028</v>
      </c>
      <c r="I108" t="s" s="59">
        <v>48</v>
      </c>
      <c r="J108" s="64"/>
      <c r="K108" s="72"/>
      <c r="L108" s="77">
        <v>787</v>
      </c>
      <c r="M108" s="78" cm="1">
        <f t="array" ref="M108">L108*3.7</f>
        <v>2911.9</v>
      </c>
      <c r="N108" s="48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" customHeight="1">
      <c r="A109" t="s" s="68">
        <v>1140</v>
      </c>
      <c r="B109" s="55">
        <v>45963</v>
      </c>
      <c r="C109" s="52">
        <v>53</v>
      </c>
      <c r="D109" t="s" s="50">
        <v>274</v>
      </c>
      <c r="E109" t="s" s="50">
        <v>1019</v>
      </c>
      <c r="F109" t="s" s="50">
        <v>1090</v>
      </c>
      <c r="G109" t="s" s="50">
        <v>1030</v>
      </c>
      <c r="H109" t="s" s="50">
        <v>1022</v>
      </c>
      <c r="I109" t="s" s="50">
        <v>48</v>
      </c>
      <c r="J109" s="55">
        <v>45972</v>
      </c>
      <c r="K109" s="69">
        <v>9</v>
      </c>
      <c r="L109" s="75">
        <v>8114</v>
      </c>
      <c r="M109" s="76" cm="1">
        <f t="array" ref="M109">L109*3.7</f>
        <v>30021.8</v>
      </c>
      <c r="N109" s="48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" customHeight="1">
      <c r="A110" t="s" s="71">
        <v>1141</v>
      </c>
      <c r="B110" s="64">
        <v>45807</v>
      </c>
      <c r="C110" s="61">
        <v>54</v>
      </c>
      <c r="D110" t="s" s="59">
        <v>274</v>
      </c>
      <c r="E110" t="s" s="59">
        <v>1019</v>
      </c>
      <c r="F110" t="s" s="59">
        <v>1092</v>
      </c>
      <c r="G110" t="s" s="59">
        <v>1033</v>
      </c>
      <c r="H110" t="s" s="59">
        <v>1022</v>
      </c>
      <c r="I110" t="s" s="59">
        <v>48</v>
      </c>
      <c r="J110" s="64">
        <v>45826</v>
      </c>
      <c r="K110" s="72">
        <v>19</v>
      </c>
      <c r="L110" s="77">
        <v>2804</v>
      </c>
      <c r="M110" s="78" cm="1">
        <f t="array" ref="M110">L110*3.7</f>
        <v>10374.8</v>
      </c>
      <c r="N110" s="48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" customHeight="1">
      <c r="A111" t="s" s="68">
        <v>1142</v>
      </c>
      <c r="B111" s="55">
        <v>45853</v>
      </c>
      <c r="C111" s="52">
        <v>54</v>
      </c>
      <c r="D111" t="s" s="50">
        <v>274</v>
      </c>
      <c r="E111" t="s" s="50">
        <v>1019</v>
      </c>
      <c r="F111" t="s" s="50">
        <v>1092</v>
      </c>
      <c r="G111" t="s" s="50">
        <v>1033</v>
      </c>
      <c r="H111" t="s" s="50">
        <v>1022</v>
      </c>
      <c r="I111" t="s" s="50">
        <v>48</v>
      </c>
      <c r="J111" s="55">
        <v>45864</v>
      </c>
      <c r="K111" s="69">
        <v>11</v>
      </c>
      <c r="L111" s="75">
        <v>2617</v>
      </c>
      <c r="M111" s="76" cm="1">
        <f t="array" ref="M111">L111*3.7</f>
        <v>9682.9</v>
      </c>
      <c r="N111" s="48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" customHeight="1">
      <c r="A112" t="s" s="71">
        <v>1143</v>
      </c>
      <c r="B112" s="64">
        <v>45841</v>
      </c>
      <c r="C112" s="61">
        <v>54</v>
      </c>
      <c r="D112" t="s" s="59">
        <v>274</v>
      </c>
      <c r="E112" t="s" s="59">
        <v>1019</v>
      </c>
      <c r="F112" t="s" s="59">
        <v>1092</v>
      </c>
      <c r="G112" t="s" s="59">
        <v>1021</v>
      </c>
      <c r="H112" t="s" s="59">
        <v>1022</v>
      </c>
      <c r="I112" t="s" s="59">
        <v>48</v>
      </c>
      <c r="J112" s="64">
        <v>45861</v>
      </c>
      <c r="K112" s="72">
        <v>20</v>
      </c>
      <c r="L112" s="77">
        <v>911</v>
      </c>
      <c r="M112" s="78" cm="1">
        <f t="array" ref="M112">L112*3.7</f>
        <v>3370.7</v>
      </c>
      <c r="N112" s="48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" customHeight="1">
      <c r="A113" t="s" s="68">
        <v>1144</v>
      </c>
      <c r="B113" s="55">
        <v>45849</v>
      </c>
      <c r="C113" s="52">
        <v>54</v>
      </c>
      <c r="D113" t="s" s="50">
        <v>274</v>
      </c>
      <c r="E113" t="s" s="50">
        <v>1019</v>
      </c>
      <c r="F113" t="s" s="50">
        <v>1090</v>
      </c>
      <c r="G113" t="s" s="50">
        <v>1060</v>
      </c>
      <c r="H113" t="s" s="50">
        <v>1022</v>
      </c>
      <c r="I113" t="s" s="50">
        <v>48</v>
      </c>
      <c r="J113" s="55">
        <v>45881</v>
      </c>
      <c r="K113" s="69">
        <v>32</v>
      </c>
      <c r="L113" s="75">
        <v>18218</v>
      </c>
      <c r="M113" s="76" cm="1">
        <f t="array" ref="M113">L113*3.7</f>
        <v>67406.600000000006</v>
      </c>
      <c r="N113" s="4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" customHeight="1">
      <c r="A114" t="s" s="71">
        <v>1145</v>
      </c>
      <c r="B114" s="64">
        <v>46096</v>
      </c>
      <c r="C114" s="61">
        <v>55</v>
      </c>
      <c r="D114" t="s" s="59">
        <v>274</v>
      </c>
      <c r="E114" t="s" s="59">
        <v>1094</v>
      </c>
      <c r="F114" t="s" s="59">
        <v>1095</v>
      </c>
      <c r="G114" t="s" s="59">
        <v>1033</v>
      </c>
      <c r="H114" t="s" s="59">
        <v>1022</v>
      </c>
      <c r="I114" t="s" s="59">
        <v>51</v>
      </c>
      <c r="J114" s="64">
        <v>46105</v>
      </c>
      <c r="K114" s="72">
        <v>9</v>
      </c>
      <c r="L114" s="77">
        <v>2549</v>
      </c>
      <c r="M114" s="78" cm="1">
        <f t="array" ref="M114">L114*3.7</f>
        <v>9431.299999999999</v>
      </c>
      <c r="N114" s="48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" customHeight="1">
      <c r="A115" t="s" s="68">
        <v>1146</v>
      </c>
      <c r="B115" s="55">
        <v>45925</v>
      </c>
      <c r="C115" s="52">
        <v>55</v>
      </c>
      <c r="D115" t="s" s="50">
        <v>274</v>
      </c>
      <c r="E115" t="s" s="50">
        <v>1019</v>
      </c>
      <c r="F115" t="s" s="50">
        <v>1090</v>
      </c>
      <c r="G115" t="s" s="50">
        <v>1021</v>
      </c>
      <c r="H115" t="s" s="50">
        <v>1028</v>
      </c>
      <c r="I115" t="s" s="50">
        <v>48</v>
      </c>
      <c r="J115" s="55"/>
      <c r="K115" s="69"/>
      <c r="L115" s="75">
        <v>916</v>
      </c>
      <c r="M115" s="76" cm="1">
        <f t="array" ref="M115">L115*3.7</f>
        <v>3389.2</v>
      </c>
      <c r="N115" s="4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" customHeight="1">
      <c r="A116" t="s" s="71">
        <v>1147</v>
      </c>
      <c r="B116" s="64">
        <v>45972</v>
      </c>
      <c r="C116" s="61">
        <v>55</v>
      </c>
      <c r="D116" t="s" s="59">
        <v>274</v>
      </c>
      <c r="E116" t="s" s="59">
        <v>1019</v>
      </c>
      <c r="F116" t="s" s="59">
        <v>1092</v>
      </c>
      <c r="G116" t="s" s="59">
        <v>1033</v>
      </c>
      <c r="H116" t="s" s="59">
        <v>1028</v>
      </c>
      <c r="I116" t="s" s="59">
        <v>48</v>
      </c>
      <c r="J116" s="64"/>
      <c r="K116" s="72"/>
      <c r="L116" s="77">
        <v>2721</v>
      </c>
      <c r="M116" s="78" cm="1">
        <f t="array" ref="M116">L116*3.7</f>
        <v>10067.7</v>
      </c>
      <c r="N116" s="4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" customHeight="1">
      <c r="A117" t="s" s="68">
        <v>1148</v>
      </c>
      <c r="B117" s="55">
        <v>46106</v>
      </c>
      <c r="C117" s="52">
        <v>56</v>
      </c>
      <c r="D117" t="s" s="50">
        <v>274</v>
      </c>
      <c r="E117" t="s" s="50">
        <v>1019</v>
      </c>
      <c r="F117" t="s" s="50">
        <v>1092</v>
      </c>
      <c r="G117" t="s" s="50">
        <v>1021</v>
      </c>
      <c r="H117" t="s" s="50">
        <v>1028</v>
      </c>
      <c r="I117" t="s" s="50">
        <v>48</v>
      </c>
      <c r="J117" s="55"/>
      <c r="K117" s="69"/>
      <c r="L117" s="75">
        <v>765</v>
      </c>
      <c r="M117" s="76" cm="1">
        <f t="array" ref="M117">L117*3.7</f>
        <v>2830.5</v>
      </c>
      <c r="N117" s="4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" customHeight="1">
      <c r="A118" t="s" s="71">
        <v>1149</v>
      </c>
      <c r="B118" s="64">
        <v>45827</v>
      </c>
      <c r="C118" s="61">
        <v>56</v>
      </c>
      <c r="D118" t="s" s="59">
        <v>274</v>
      </c>
      <c r="E118" t="s" s="59">
        <v>1094</v>
      </c>
      <c r="F118" t="s" s="59">
        <v>1095</v>
      </c>
      <c r="G118" t="s" s="59">
        <v>1021</v>
      </c>
      <c r="H118" t="s" s="59">
        <v>1022</v>
      </c>
      <c r="I118" t="s" s="59">
        <v>51</v>
      </c>
      <c r="J118" s="64">
        <v>45841</v>
      </c>
      <c r="K118" s="72">
        <v>14</v>
      </c>
      <c r="L118" s="77">
        <v>876</v>
      </c>
      <c r="M118" s="78" cm="1">
        <f t="array" ref="M118">L118*3.7</f>
        <v>3241.2</v>
      </c>
      <c r="N118" s="4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" customHeight="1">
      <c r="A119" t="s" s="68">
        <v>1150</v>
      </c>
      <c r="B119" s="55">
        <v>46021</v>
      </c>
      <c r="C119" s="52">
        <v>57</v>
      </c>
      <c r="D119" t="s" s="50">
        <v>274</v>
      </c>
      <c r="E119" t="s" s="50">
        <v>1019</v>
      </c>
      <c r="F119" t="s" s="50">
        <v>1090</v>
      </c>
      <c r="G119" t="s" s="50">
        <v>1033</v>
      </c>
      <c r="H119" t="s" s="50">
        <v>1022</v>
      </c>
      <c r="I119" t="s" s="50">
        <v>48</v>
      </c>
      <c r="J119" s="55">
        <v>46039</v>
      </c>
      <c r="K119" s="69">
        <v>18</v>
      </c>
      <c r="L119" s="75">
        <v>2685</v>
      </c>
      <c r="M119" s="76" cm="1">
        <f t="array" ref="M119">L119*3.7</f>
        <v>9934.5</v>
      </c>
      <c r="N119" s="4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" customHeight="1">
      <c r="A120" t="s" s="71">
        <v>1151</v>
      </c>
      <c r="B120" s="64">
        <v>45908</v>
      </c>
      <c r="C120" s="61">
        <v>57</v>
      </c>
      <c r="D120" t="s" s="59">
        <v>274</v>
      </c>
      <c r="E120" t="s" s="59">
        <v>1019</v>
      </c>
      <c r="F120" t="s" s="59">
        <v>1092</v>
      </c>
      <c r="G120" t="s" s="59">
        <v>1021</v>
      </c>
      <c r="H120" t="s" s="59">
        <v>1022</v>
      </c>
      <c r="I120" t="s" s="59">
        <v>48</v>
      </c>
      <c r="J120" s="64">
        <v>45916</v>
      </c>
      <c r="K120" s="72">
        <v>8</v>
      </c>
      <c r="L120" s="77">
        <v>785</v>
      </c>
      <c r="M120" s="78" cm="1">
        <f t="array" ref="M120">L120*3.7</f>
        <v>2904.5</v>
      </c>
      <c r="N120" s="4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" customHeight="1">
      <c r="A121" t="s" s="68">
        <v>1152</v>
      </c>
      <c r="B121" s="55">
        <v>46077</v>
      </c>
      <c r="C121" s="52">
        <v>57</v>
      </c>
      <c r="D121" t="s" s="50">
        <v>274</v>
      </c>
      <c r="E121" t="s" s="50">
        <v>1094</v>
      </c>
      <c r="F121" t="s" s="50">
        <v>1095</v>
      </c>
      <c r="G121" t="s" s="50">
        <v>1033</v>
      </c>
      <c r="H121" t="s" s="50">
        <v>1022</v>
      </c>
      <c r="I121" t="s" s="50">
        <v>51</v>
      </c>
      <c r="J121" s="55">
        <v>46084</v>
      </c>
      <c r="K121" s="69">
        <v>7</v>
      </c>
      <c r="L121" s="75">
        <v>3010</v>
      </c>
      <c r="M121" s="76" cm="1">
        <f t="array" ref="M121">L121*3.7</f>
        <v>11137</v>
      </c>
      <c r="N121" s="4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" customHeight="1">
      <c r="A122" t="s" s="71">
        <v>1153</v>
      </c>
      <c r="B122" s="64">
        <v>46003</v>
      </c>
      <c r="C122" s="61">
        <v>57</v>
      </c>
      <c r="D122" t="s" s="59">
        <v>274</v>
      </c>
      <c r="E122" t="s" s="59">
        <v>1094</v>
      </c>
      <c r="F122" t="s" s="59">
        <v>1095</v>
      </c>
      <c r="G122" t="s" s="59">
        <v>1033</v>
      </c>
      <c r="H122" t="s" s="59">
        <v>1022</v>
      </c>
      <c r="I122" t="s" s="59">
        <v>51</v>
      </c>
      <c r="J122" s="64">
        <v>46013</v>
      </c>
      <c r="K122" s="72">
        <v>10</v>
      </c>
      <c r="L122" s="77">
        <v>2822</v>
      </c>
      <c r="M122" s="78" cm="1">
        <f t="array" ref="M122">L122*3.7</f>
        <v>10441.4</v>
      </c>
      <c r="N122" s="48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" customHeight="1">
      <c r="A123" t="s" s="68">
        <v>1154</v>
      </c>
      <c r="B123" s="55">
        <v>45943</v>
      </c>
      <c r="C123" s="52">
        <v>58</v>
      </c>
      <c r="D123" t="s" s="50">
        <v>274</v>
      </c>
      <c r="E123" t="s" s="50">
        <v>1094</v>
      </c>
      <c r="F123" t="s" s="50">
        <v>1095</v>
      </c>
      <c r="G123" t="s" s="50">
        <v>1021</v>
      </c>
      <c r="H123" t="s" s="50">
        <v>1028</v>
      </c>
      <c r="I123" t="s" s="50">
        <v>51</v>
      </c>
      <c r="J123" s="55"/>
      <c r="K123" s="69"/>
      <c r="L123" s="75">
        <v>774</v>
      </c>
      <c r="M123" s="76" cm="1">
        <f t="array" ref="M123">L123*3.7</f>
        <v>2863.8</v>
      </c>
      <c r="N123" s="48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" customHeight="1">
      <c r="A124" t="s" s="71">
        <v>1155</v>
      </c>
      <c r="B124" s="64">
        <v>45953</v>
      </c>
      <c r="C124" s="61">
        <v>58</v>
      </c>
      <c r="D124" t="s" s="59">
        <v>274</v>
      </c>
      <c r="E124" t="s" s="59">
        <v>1094</v>
      </c>
      <c r="F124" t="s" s="59">
        <v>1095</v>
      </c>
      <c r="G124" t="s" s="59">
        <v>1033</v>
      </c>
      <c r="H124" t="s" s="59">
        <v>1022</v>
      </c>
      <c r="I124" t="s" s="59">
        <v>51</v>
      </c>
      <c r="J124" s="64">
        <v>45968</v>
      </c>
      <c r="K124" s="72">
        <v>15</v>
      </c>
      <c r="L124" s="77">
        <v>2661</v>
      </c>
      <c r="M124" s="78" cm="1">
        <f t="array" ref="M124">L124*3.7</f>
        <v>9845.700000000001</v>
      </c>
      <c r="N124" s="48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" customHeight="1">
      <c r="A125" t="s" s="68">
        <v>1156</v>
      </c>
      <c r="B125" s="55">
        <v>45839</v>
      </c>
      <c r="C125" s="52">
        <v>59</v>
      </c>
      <c r="D125" t="s" s="50">
        <v>274</v>
      </c>
      <c r="E125" t="s" s="50">
        <v>1019</v>
      </c>
      <c r="F125" t="s" s="50">
        <v>1090</v>
      </c>
      <c r="G125" t="s" s="50">
        <v>1033</v>
      </c>
      <c r="H125" t="s" s="50">
        <v>1022</v>
      </c>
      <c r="I125" t="s" s="50">
        <v>48</v>
      </c>
      <c r="J125" s="55">
        <v>45847</v>
      </c>
      <c r="K125" s="69">
        <v>8</v>
      </c>
      <c r="L125" s="75">
        <v>2241</v>
      </c>
      <c r="M125" s="76" cm="1">
        <f t="array" ref="M125">L125*3.7</f>
        <v>8291.700000000001</v>
      </c>
      <c r="N125" s="48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" customHeight="1">
      <c r="A126" t="s" s="71">
        <v>1157</v>
      </c>
      <c r="B126" s="64">
        <v>46075</v>
      </c>
      <c r="C126" s="61">
        <v>59</v>
      </c>
      <c r="D126" t="s" s="59">
        <v>274</v>
      </c>
      <c r="E126" t="s" s="59">
        <v>1094</v>
      </c>
      <c r="F126" t="s" s="59">
        <v>1095</v>
      </c>
      <c r="G126" t="s" s="59">
        <v>1033</v>
      </c>
      <c r="H126" t="s" s="59">
        <v>1028</v>
      </c>
      <c r="I126" t="s" s="59">
        <v>51</v>
      </c>
      <c r="J126" s="64"/>
      <c r="K126" s="72"/>
      <c r="L126" s="77">
        <v>2454</v>
      </c>
      <c r="M126" s="78" cm="1">
        <f t="array" ref="M126">L126*3.7</f>
        <v>9079.799999999999</v>
      </c>
      <c r="N126" s="48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" customHeight="1">
      <c r="A127" t="s" s="68">
        <v>1158</v>
      </c>
      <c r="B127" s="55">
        <v>45813</v>
      </c>
      <c r="C127" s="52">
        <v>59</v>
      </c>
      <c r="D127" t="s" s="50">
        <v>274</v>
      </c>
      <c r="E127" t="s" s="50">
        <v>1019</v>
      </c>
      <c r="F127" t="s" s="50">
        <v>1092</v>
      </c>
      <c r="G127" t="s" s="50">
        <v>1033</v>
      </c>
      <c r="H127" t="s" s="50">
        <v>1022</v>
      </c>
      <c r="I127" t="s" s="50">
        <v>48</v>
      </c>
      <c r="J127" s="55">
        <v>45819</v>
      </c>
      <c r="K127" s="69">
        <v>6</v>
      </c>
      <c r="L127" s="75">
        <v>3045</v>
      </c>
      <c r="M127" s="76" cm="1">
        <f t="array" ref="M127">L127*3.7</f>
        <v>11266.5</v>
      </c>
      <c r="N127" s="48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" customHeight="1">
      <c r="A128" t="s" s="71">
        <v>1159</v>
      </c>
      <c r="B128" s="64">
        <v>45824</v>
      </c>
      <c r="C128" s="61">
        <v>60</v>
      </c>
      <c r="D128" t="s" s="59">
        <v>274</v>
      </c>
      <c r="E128" t="s" s="59">
        <v>1094</v>
      </c>
      <c r="F128" t="s" s="59">
        <v>1095</v>
      </c>
      <c r="G128" t="s" s="59">
        <v>1033</v>
      </c>
      <c r="H128" t="s" s="59">
        <v>1022</v>
      </c>
      <c r="I128" t="s" s="59">
        <v>51</v>
      </c>
      <c r="J128" s="64">
        <v>45833</v>
      </c>
      <c r="K128" s="72">
        <v>9</v>
      </c>
      <c r="L128" s="77">
        <v>2922</v>
      </c>
      <c r="M128" s="78" cm="1">
        <f t="array" ref="M128">L128*3.7</f>
        <v>10811.4</v>
      </c>
      <c r="N128" s="48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" customHeight="1">
      <c r="A129" t="s" s="68">
        <v>1160</v>
      </c>
      <c r="B129" s="55">
        <v>46066</v>
      </c>
      <c r="C129" s="52">
        <v>60</v>
      </c>
      <c r="D129" t="s" s="50">
        <v>274</v>
      </c>
      <c r="E129" t="s" s="50">
        <v>1094</v>
      </c>
      <c r="F129" t="s" s="50">
        <v>1095</v>
      </c>
      <c r="G129" t="s" s="50">
        <v>1021</v>
      </c>
      <c r="H129" t="s" s="50">
        <v>1028</v>
      </c>
      <c r="I129" t="s" s="50">
        <v>51</v>
      </c>
      <c r="J129" s="55"/>
      <c r="K129" s="69"/>
      <c r="L129" s="75">
        <v>1093</v>
      </c>
      <c r="M129" s="76" cm="1">
        <f t="array" ref="M129">L129*3.7</f>
        <v>4044.1</v>
      </c>
      <c r="N129" s="48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" customHeight="1">
      <c r="A130" t="s" s="71">
        <v>1161</v>
      </c>
      <c r="B130" s="64">
        <v>45842</v>
      </c>
      <c r="C130" s="61">
        <v>60</v>
      </c>
      <c r="D130" t="s" s="59">
        <v>274</v>
      </c>
      <c r="E130" t="s" s="59">
        <v>1019</v>
      </c>
      <c r="F130" t="s" s="59">
        <v>1090</v>
      </c>
      <c r="G130" t="s" s="59">
        <v>1033</v>
      </c>
      <c r="H130" t="s" s="59">
        <v>1022</v>
      </c>
      <c r="I130" t="s" s="59">
        <v>48</v>
      </c>
      <c r="J130" s="64">
        <v>45853</v>
      </c>
      <c r="K130" s="72">
        <v>11</v>
      </c>
      <c r="L130" s="77">
        <v>2703</v>
      </c>
      <c r="M130" s="78" cm="1">
        <f t="array" ref="M130">L130*3.7</f>
        <v>10001.1</v>
      </c>
      <c r="N130" s="4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" customHeight="1">
      <c r="A131" t="s" s="68">
        <v>1162</v>
      </c>
      <c r="B131" s="55">
        <v>46087</v>
      </c>
      <c r="C131" s="52">
        <v>61</v>
      </c>
      <c r="D131" t="s" s="50">
        <v>276</v>
      </c>
      <c r="E131" t="s" s="50">
        <v>1094</v>
      </c>
      <c r="F131" t="s" s="50">
        <v>1163</v>
      </c>
      <c r="G131" t="s" s="50">
        <v>1033</v>
      </c>
      <c r="H131" t="s" s="50">
        <v>1022</v>
      </c>
      <c r="I131" t="s" s="50">
        <v>51</v>
      </c>
      <c r="J131" s="55">
        <v>46094</v>
      </c>
      <c r="K131" s="69">
        <v>7</v>
      </c>
      <c r="L131" s="75">
        <v>2588</v>
      </c>
      <c r="M131" s="76" cm="1">
        <f t="array" ref="M131">L131*3.7</f>
        <v>9575.6</v>
      </c>
      <c r="N131" s="4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" customHeight="1">
      <c r="A132" t="s" s="71">
        <v>1164</v>
      </c>
      <c r="B132" s="64">
        <v>45887</v>
      </c>
      <c r="C132" s="61">
        <v>61</v>
      </c>
      <c r="D132" t="s" s="59">
        <v>276</v>
      </c>
      <c r="E132" t="s" s="59">
        <v>1094</v>
      </c>
      <c r="F132" t="s" s="59">
        <v>1163</v>
      </c>
      <c r="G132" t="s" s="59">
        <v>1030</v>
      </c>
      <c r="H132" t="s" s="59">
        <v>1022</v>
      </c>
      <c r="I132" t="s" s="59">
        <v>51</v>
      </c>
      <c r="J132" s="64">
        <v>45897</v>
      </c>
      <c r="K132" s="72">
        <v>10</v>
      </c>
      <c r="L132" s="77">
        <v>8182</v>
      </c>
      <c r="M132" s="78" cm="1">
        <f t="array" ref="M132">L132*3.7</f>
        <v>30273.4</v>
      </c>
      <c r="N132" s="4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" customHeight="1">
      <c r="A133" t="s" s="68">
        <v>1165</v>
      </c>
      <c r="B133" s="55">
        <v>45927</v>
      </c>
      <c r="C133" s="52">
        <v>61</v>
      </c>
      <c r="D133" t="s" s="50">
        <v>276</v>
      </c>
      <c r="E133" t="s" s="50">
        <v>1166</v>
      </c>
      <c r="F133" t="s" s="50">
        <v>1167</v>
      </c>
      <c r="G133" t="s" s="50">
        <v>1021</v>
      </c>
      <c r="H133" t="s" s="50">
        <v>1028</v>
      </c>
      <c r="I133" t="s" s="50">
        <v>49</v>
      </c>
      <c r="J133" s="55"/>
      <c r="K133" s="69"/>
      <c r="L133" s="75">
        <v>785</v>
      </c>
      <c r="M133" s="76" cm="1">
        <f t="array" ref="M133">L133*3.7</f>
        <v>2904.5</v>
      </c>
      <c r="N133" s="4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" customHeight="1">
      <c r="A134" t="s" s="71">
        <v>1168</v>
      </c>
      <c r="B134" s="64">
        <v>45909</v>
      </c>
      <c r="C134" s="61">
        <v>62</v>
      </c>
      <c r="D134" t="s" s="59">
        <v>276</v>
      </c>
      <c r="E134" t="s" s="59">
        <v>1166</v>
      </c>
      <c r="F134" t="s" s="59">
        <v>1169</v>
      </c>
      <c r="G134" t="s" s="59">
        <v>1033</v>
      </c>
      <c r="H134" t="s" s="59">
        <v>1022</v>
      </c>
      <c r="I134" t="s" s="59">
        <v>49</v>
      </c>
      <c r="J134" s="64">
        <v>45918</v>
      </c>
      <c r="K134" s="72">
        <v>9</v>
      </c>
      <c r="L134" s="77">
        <v>2835</v>
      </c>
      <c r="M134" s="78" cm="1">
        <f t="array" ref="M134">L134*3.7</f>
        <v>10489.5</v>
      </c>
      <c r="N134" s="4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" customHeight="1">
      <c r="A135" t="s" s="68">
        <v>1170</v>
      </c>
      <c r="B135" s="55">
        <v>45977</v>
      </c>
      <c r="C135" s="52">
        <v>62</v>
      </c>
      <c r="D135" t="s" s="50">
        <v>276</v>
      </c>
      <c r="E135" t="s" s="50">
        <v>1166</v>
      </c>
      <c r="F135" t="s" s="50">
        <v>1169</v>
      </c>
      <c r="G135" t="s" s="50">
        <v>1021</v>
      </c>
      <c r="H135" t="s" s="50">
        <v>1022</v>
      </c>
      <c r="I135" t="s" s="50">
        <v>49</v>
      </c>
      <c r="J135" s="55">
        <v>45985</v>
      </c>
      <c r="K135" s="69">
        <v>8</v>
      </c>
      <c r="L135" s="75">
        <v>759</v>
      </c>
      <c r="M135" s="76" cm="1">
        <f t="array" ref="M135">L135*3.7</f>
        <v>2808.3</v>
      </c>
      <c r="N135" s="4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" customHeight="1">
      <c r="A136" t="s" s="71">
        <v>1171</v>
      </c>
      <c r="B136" s="64">
        <v>45833</v>
      </c>
      <c r="C136" s="61">
        <v>62</v>
      </c>
      <c r="D136" t="s" s="59">
        <v>276</v>
      </c>
      <c r="E136" t="s" s="59">
        <v>1166</v>
      </c>
      <c r="F136" t="s" s="59">
        <v>1167</v>
      </c>
      <c r="G136" t="s" s="59">
        <v>1021</v>
      </c>
      <c r="H136" t="s" s="59">
        <v>1028</v>
      </c>
      <c r="I136" t="s" s="59">
        <v>49</v>
      </c>
      <c r="J136" s="64"/>
      <c r="K136" s="72"/>
      <c r="L136" s="77">
        <v>910</v>
      </c>
      <c r="M136" s="78" cm="1">
        <f t="array" ref="M136">L136*3.7</f>
        <v>3367</v>
      </c>
      <c r="N136" s="4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" customHeight="1">
      <c r="A137" t="s" s="68">
        <v>1172</v>
      </c>
      <c r="B137" s="55">
        <v>45819</v>
      </c>
      <c r="C137" s="52">
        <v>62</v>
      </c>
      <c r="D137" t="s" s="50">
        <v>276</v>
      </c>
      <c r="E137" t="s" s="50">
        <v>1094</v>
      </c>
      <c r="F137" t="s" s="50">
        <v>1163</v>
      </c>
      <c r="G137" t="s" s="50">
        <v>1030</v>
      </c>
      <c r="H137" t="s" s="50">
        <v>1028</v>
      </c>
      <c r="I137" t="s" s="50">
        <v>51</v>
      </c>
      <c r="J137" s="55"/>
      <c r="K137" s="69"/>
      <c r="L137" s="75">
        <v>5983</v>
      </c>
      <c r="M137" s="76" cm="1">
        <f t="array" ref="M137">L137*3.7</f>
        <v>22137.1</v>
      </c>
      <c r="N137" s="4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" customHeight="1">
      <c r="A138" t="s" s="71">
        <v>1173</v>
      </c>
      <c r="B138" s="64">
        <v>45917</v>
      </c>
      <c r="C138" s="61">
        <v>63</v>
      </c>
      <c r="D138" t="s" s="59">
        <v>276</v>
      </c>
      <c r="E138" t="s" s="59">
        <v>1094</v>
      </c>
      <c r="F138" t="s" s="59">
        <v>1163</v>
      </c>
      <c r="G138" t="s" s="59">
        <v>1021</v>
      </c>
      <c r="H138" t="s" s="59">
        <v>1022</v>
      </c>
      <c r="I138" t="s" s="59">
        <v>51</v>
      </c>
      <c r="J138" s="64">
        <v>45935</v>
      </c>
      <c r="K138" s="72">
        <v>18</v>
      </c>
      <c r="L138" s="77">
        <v>861</v>
      </c>
      <c r="M138" s="78" cm="1">
        <f t="array" ref="M138">L138*3.7</f>
        <v>3185.7</v>
      </c>
      <c r="N138" s="4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" customHeight="1">
      <c r="A139" t="s" s="68">
        <v>1174</v>
      </c>
      <c r="B139" s="55">
        <v>46040</v>
      </c>
      <c r="C139" s="52">
        <v>63</v>
      </c>
      <c r="D139" t="s" s="50">
        <v>276</v>
      </c>
      <c r="E139" t="s" s="50">
        <v>1166</v>
      </c>
      <c r="F139" t="s" s="50">
        <v>1169</v>
      </c>
      <c r="G139" t="s" s="50">
        <v>1033</v>
      </c>
      <c r="H139" t="s" s="50">
        <v>1022</v>
      </c>
      <c r="I139" t="s" s="50">
        <v>49</v>
      </c>
      <c r="J139" s="55">
        <v>46057</v>
      </c>
      <c r="K139" s="69">
        <v>17</v>
      </c>
      <c r="L139" s="75">
        <v>2613</v>
      </c>
      <c r="M139" s="76" cm="1">
        <f t="array" ref="M139">L139*3.7</f>
        <v>9668.1</v>
      </c>
      <c r="N139" s="4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" customHeight="1">
      <c r="A140" t="s" s="71">
        <v>1175</v>
      </c>
      <c r="B140" s="64">
        <v>46086</v>
      </c>
      <c r="C140" s="61">
        <v>63</v>
      </c>
      <c r="D140" t="s" s="59">
        <v>276</v>
      </c>
      <c r="E140" t="s" s="59">
        <v>1166</v>
      </c>
      <c r="F140" t="s" s="59">
        <v>1167</v>
      </c>
      <c r="G140" t="s" s="59">
        <v>1021</v>
      </c>
      <c r="H140" t="s" s="59">
        <v>1022</v>
      </c>
      <c r="I140" t="s" s="59">
        <v>49</v>
      </c>
      <c r="J140" s="64">
        <v>46097</v>
      </c>
      <c r="K140" s="72">
        <v>11</v>
      </c>
      <c r="L140" s="77">
        <v>858</v>
      </c>
      <c r="M140" s="78" cm="1">
        <f t="array" ref="M140">L140*3.7</f>
        <v>3174.6</v>
      </c>
      <c r="N140" s="48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" customHeight="1">
      <c r="A141" t="s" s="68">
        <v>1176</v>
      </c>
      <c r="B141" s="55">
        <v>45852</v>
      </c>
      <c r="C141" s="52">
        <v>63</v>
      </c>
      <c r="D141" t="s" s="50">
        <v>276</v>
      </c>
      <c r="E141" t="s" s="50">
        <v>1094</v>
      </c>
      <c r="F141" t="s" s="50">
        <v>1163</v>
      </c>
      <c r="G141" t="s" s="50">
        <v>1033</v>
      </c>
      <c r="H141" t="s" s="50">
        <v>1022</v>
      </c>
      <c r="I141" t="s" s="50">
        <v>51</v>
      </c>
      <c r="J141" s="55">
        <v>45861</v>
      </c>
      <c r="K141" s="69">
        <v>9</v>
      </c>
      <c r="L141" s="75">
        <v>3102</v>
      </c>
      <c r="M141" s="76" cm="1">
        <f t="array" ref="M141">L141*3.7</f>
        <v>11477.4</v>
      </c>
      <c r="N141" s="4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" customHeight="1">
      <c r="A142" t="s" s="71">
        <v>1177</v>
      </c>
      <c r="B142" s="64">
        <v>46077</v>
      </c>
      <c r="C142" s="61">
        <v>63</v>
      </c>
      <c r="D142" t="s" s="59">
        <v>276</v>
      </c>
      <c r="E142" t="s" s="59">
        <v>1094</v>
      </c>
      <c r="F142" t="s" s="59">
        <v>1163</v>
      </c>
      <c r="G142" t="s" s="59">
        <v>1021</v>
      </c>
      <c r="H142" t="s" s="59">
        <v>1022</v>
      </c>
      <c r="I142" t="s" s="59">
        <v>51</v>
      </c>
      <c r="J142" s="64">
        <v>46088</v>
      </c>
      <c r="K142" s="72">
        <v>11</v>
      </c>
      <c r="L142" s="77">
        <v>842</v>
      </c>
      <c r="M142" s="78" cm="1">
        <f t="array" ref="M142">L142*3.7</f>
        <v>3115.4</v>
      </c>
      <c r="N142" s="48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" customHeight="1">
      <c r="A143" t="s" s="68">
        <v>1178</v>
      </c>
      <c r="B143" s="55">
        <v>46091</v>
      </c>
      <c r="C143" s="52">
        <v>64</v>
      </c>
      <c r="D143" t="s" s="50">
        <v>276</v>
      </c>
      <c r="E143" t="s" s="50">
        <v>1166</v>
      </c>
      <c r="F143" t="s" s="50">
        <v>1167</v>
      </c>
      <c r="G143" t="s" s="50">
        <v>1033</v>
      </c>
      <c r="H143" t="s" s="50">
        <v>1022</v>
      </c>
      <c r="I143" t="s" s="50">
        <v>49</v>
      </c>
      <c r="J143" s="55">
        <v>46109</v>
      </c>
      <c r="K143" s="69">
        <v>18</v>
      </c>
      <c r="L143" s="75">
        <v>2819</v>
      </c>
      <c r="M143" s="76" cm="1">
        <f t="array" ref="M143">L143*3.7</f>
        <v>10430.3</v>
      </c>
      <c r="N143" s="48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" customHeight="1">
      <c r="A144" t="s" s="71">
        <v>1179</v>
      </c>
      <c r="B144" s="64">
        <v>45812</v>
      </c>
      <c r="C144" s="61">
        <v>64</v>
      </c>
      <c r="D144" t="s" s="59">
        <v>276</v>
      </c>
      <c r="E144" t="s" s="59">
        <v>1166</v>
      </c>
      <c r="F144" t="s" s="59">
        <v>1167</v>
      </c>
      <c r="G144" t="s" s="59">
        <v>1030</v>
      </c>
      <c r="H144" t="s" s="59">
        <v>1022</v>
      </c>
      <c r="I144" t="s" s="59">
        <v>49</v>
      </c>
      <c r="J144" s="64">
        <v>45832</v>
      </c>
      <c r="K144" s="72">
        <v>20</v>
      </c>
      <c r="L144" s="77">
        <v>7764</v>
      </c>
      <c r="M144" s="78" cm="1">
        <f t="array" ref="M144">L144*3.7</f>
        <v>28726.8</v>
      </c>
      <c r="N144" s="4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" customHeight="1">
      <c r="A145" t="s" s="68">
        <v>1180</v>
      </c>
      <c r="B145" s="55">
        <v>46021</v>
      </c>
      <c r="C145" s="52">
        <v>64</v>
      </c>
      <c r="D145" t="s" s="50">
        <v>276</v>
      </c>
      <c r="E145" t="s" s="50">
        <v>1094</v>
      </c>
      <c r="F145" t="s" s="50">
        <v>1163</v>
      </c>
      <c r="G145" t="s" s="50">
        <v>1033</v>
      </c>
      <c r="H145" t="s" s="50">
        <v>1028</v>
      </c>
      <c r="I145" t="s" s="50">
        <v>51</v>
      </c>
      <c r="J145" s="55"/>
      <c r="K145" s="69"/>
      <c r="L145" s="75">
        <v>2702</v>
      </c>
      <c r="M145" s="76" cm="1">
        <f t="array" ref="M145">L145*3.7</f>
        <v>9997.4</v>
      </c>
      <c r="N145" s="48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" customHeight="1">
      <c r="A146" t="s" s="71">
        <v>1181</v>
      </c>
      <c r="B146" s="64">
        <v>46045</v>
      </c>
      <c r="C146" s="61">
        <v>64</v>
      </c>
      <c r="D146" t="s" s="59">
        <v>276</v>
      </c>
      <c r="E146" t="s" s="59">
        <v>1094</v>
      </c>
      <c r="F146" t="s" s="59">
        <v>1163</v>
      </c>
      <c r="G146" t="s" s="59">
        <v>1021</v>
      </c>
      <c r="H146" t="s" s="59">
        <v>1022</v>
      </c>
      <c r="I146" t="s" s="59">
        <v>51</v>
      </c>
      <c r="J146" s="64">
        <v>46050</v>
      </c>
      <c r="K146" s="72">
        <v>5</v>
      </c>
      <c r="L146" s="77">
        <v>891</v>
      </c>
      <c r="M146" s="78" cm="1">
        <f t="array" ref="M146">L146*3.7</f>
        <v>3296.7</v>
      </c>
      <c r="N146" s="48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" customHeight="1">
      <c r="A147" t="s" s="68">
        <v>1182</v>
      </c>
      <c r="B147" s="55">
        <v>45960</v>
      </c>
      <c r="C147" s="52">
        <v>65</v>
      </c>
      <c r="D147" t="s" s="50">
        <v>276</v>
      </c>
      <c r="E147" t="s" s="50">
        <v>1094</v>
      </c>
      <c r="F147" t="s" s="50">
        <v>1163</v>
      </c>
      <c r="G147" t="s" s="50">
        <v>1030</v>
      </c>
      <c r="H147" t="s" s="50">
        <v>1028</v>
      </c>
      <c r="I147" t="s" s="50">
        <v>51</v>
      </c>
      <c r="J147" s="55"/>
      <c r="K147" s="69"/>
      <c r="L147" s="75">
        <v>6141</v>
      </c>
      <c r="M147" s="76" cm="1">
        <f t="array" ref="M147">L147*3.7</f>
        <v>22721.7</v>
      </c>
      <c r="N147" s="4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" customHeight="1">
      <c r="A148" t="s" s="71">
        <v>1183</v>
      </c>
      <c r="B148" s="64">
        <v>46066</v>
      </c>
      <c r="C148" s="61">
        <v>65</v>
      </c>
      <c r="D148" t="s" s="59">
        <v>276</v>
      </c>
      <c r="E148" t="s" s="59">
        <v>1166</v>
      </c>
      <c r="F148" t="s" s="59">
        <v>1167</v>
      </c>
      <c r="G148" t="s" s="59">
        <v>1021</v>
      </c>
      <c r="H148" t="s" s="59">
        <v>1028</v>
      </c>
      <c r="I148" t="s" s="59">
        <v>49</v>
      </c>
      <c r="J148" s="64"/>
      <c r="K148" s="72"/>
      <c r="L148" s="77">
        <v>990</v>
      </c>
      <c r="M148" s="78" cm="1">
        <f t="array" ref="M148">L148*3.7</f>
        <v>3663</v>
      </c>
      <c r="N148" s="4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" customHeight="1">
      <c r="A149" t="s" s="68">
        <v>1184</v>
      </c>
      <c r="B149" s="55">
        <v>46025</v>
      </c>
      <c r="C149" s="52">
        <v>65</v>
      </c>
      <c r="D149" t="s" s="50">
        <v>276</v>
      </c>
      <c r="E149" t="s" s="50">
        <v>1166</v>
      </c>
      <c r="F149" t="s" s="50">
        <v>1169</v>
      </c>
      <c r="G149" t="s" s="50">
        <v>1021</v>
      </c>
      <c r="H149" t="s" s="50">
        <v>1022</v>
      </c>
      <c r="I149" t="s" s="50">
        <v>49</v>
      </c>
      <c r="J149" s="55">
        <v>46044</v>
      </c>
      <c r="K149" s="69">
        <v>19</v>
      </c>
      <c r="L149" s="75">
        <v>906</v>
      </c>
      <c r="M149" s="76" cm="1">
        <f t="array" ref="M149">L149*3.7</f>
        <v>3352.2</v>
      </c>
      <c r="N149" s="4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" customHeight="1">
      <c r="A150" t="s" s="71">
        <v>1185</v>
      </c>
      <c r="B150" s="64">
        <v>45812</v>
      </c>
      <c r="C150" s="61">
        <v>65</v>
      </c>
      <c r="D150" t="s" s="59">
        <v>276</v>
      </c>
      <c r="E150" t="s" s="59">
        <v>1094</v>
      </c>
      <c r="F150" t="s" s="59">
        <v>1163</v>
      </c>
      <c r="G150" t="s" s="59">
        <v>1033</v>
      </c>
      <c r="H150" t="s" s="59">
        <v>1022</v>
      </c>
      <c r="I150" t="s" s="59">
        <v>51</v>
      </c>
      <c r="J150" s="64">
        <v>45821</v>
      </c>
      <c r="K150" s="72">
        <v>9</v>
      </c>
      <c r="L150" s="77">
        <v>2948</v>
      </c>
      <c r="M150" s="78" cm="1">
        <f t="array" ref="M150">L150*3.7</f>
        <v>10907.6</v>
      </c>
      <c r="N150" s="4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" customHeight="1">
      <c r="A151" t="s" s="68">
        <v>1186</v>
      </c>
      <c r="B151" s="55">
        <v>45969</v>
      </c>
      <c r="C151" s="52">
        <v>65</v>
      </c>
      <c r="D151" t="s" s="50">
        <v>276</v>
      </c>
      <c r="E151" t="s" s="50">
        <v>1166</v>
      </c>
      <c r="F151" t="s" s="50">
        <v>1169</v>
      </c>
      <c r="G151" t="s" s="50">
        <v>1021</v>
      </c>
      <c r="H151" t="s" s="50">
        <v>1022</v>
      </c>
      <c r="I151" t="s" s="50">
        <v>49</v>
      </c>
      <c r="J151" s="55">
        <v>45985</v>
      </c>
      <c r="K151" s="69">
        <v>16</v>
      </c>
      <c r="L151" s="75">
        <v>860</v>
      </c>
      <c r="M151" s="76" cm="1">
        <f t="array" ref="M151">L151*3.7</f>
        <v>3182</v>
      </c>
      <c r="N151" s="4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" customHeight="1">
      <c r="A152" t="s" s="71">
        <v>1187</v>
      </c>
      <c r="B152" s="64">
        <v>46109</v>
      </c>
      <c r="C152" s="61">
        <v>66</v>
      </c>
      <c r="D152" t="s" s="59">
        <v>276</v>
      </c>
      <c r="E152" t="s" s="59">
        <v>1094</v>
      </c>
      <c r="F152" t="s" s="59">
        <v>1163</v>
      </c>
      <c r="G152" t="s" s="59">
        <v>1033</v>
      </c>
      <c r="H152" t="s" s="59">
        <v>1028</v>
      </c>
      <c r="I152" t="s" s="59">
        <v>51</v>
      </c>
      <c r="J152" s="64"/>
      <c r="K152" s="72"/>
      <c r="L152" s="77">
        <v>2814</v>
      </c>
      <c r="M152" s="78" cm="1">
        <f t="array" ref="M152">L152*3.7</f>
        <v>10411.8</v>
      </c>
      <c r="N152" s="4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" customHeight="1">
      <c r="A153" t="s" s="68">
        <v>1188</v>
      </c>
      <c r="B153" s="55">
        <v>46103</v>
      </c>
      <c r="C153" s="52">
        <v>66</v>
      </c>
      <c r="D153" t="s" s="50">
        <v>276</v>
      </c>
      <c r="E153" t="s" s="50">
        <v>1094</v>
      </c>
      <c r="F153" t="s" s="50">
        <v>1163</v>
      </c>
      <c r="G153" t="s" s="50">
        <v>1021</v>
      </c>
      <c r="H153" t="s" s="50">
        <v>1022</v>
      </c>
      <c r="I153" t="s" s="50">
        <v>51</v>
      </c>
      <c r="J153" s="55">
        <v>46112</v>
      </c>
      <c r="K153" s="69">
        <v>9</v>
      </c>
      <c r="L153" s="75">
        <v>795</v>
      </c>
      <c r="M153" s="76" cm="1">
        <f t="array" ref="M153">L153*3.7</f>
        <v>2941.5</v>
      </c>
      <c r="N153" s="4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" customHeight="1">
      <c r="A154" t="s" s="71">
        <v>1189</v>
      </c>
      <c r="B154" s="64">
        <v>46091</v>
      </c>
      <c r="C154" s="61">
        <v>66</v>
      </c>
      <c r="D154" t="s" s="59">
        <v>276</v>
      </c>
      <c r="E154" t="s" s="59">
        <v>1166</v>
      </c>
      <c r="F154" t="s" s="59">
        <v>1167</v>
      </c>
      <c r="G154" t="s" s="59">
        <v>1021</v>
      </c>
      <c r="H154" t="s" s="59">
        <v>1022</v>
      </c>
      <c r="I154" t="s" s="59">
        <v>49</v>
      </c>
      <c r="J154" s="64">
        <v>46094</v>
      </c>
      <c r="K154" s="72">
        <v>3</v>
      </c>
      <c r="L154" s="77">
        <v>1041</v>
      </c>
      <c r="M154" s="78" cm="1">
        <f t="array" ref="M154">L154*3.7</f>
        <v>3851.7</v>
      </c>
      <c r="N154" s="48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" customHeight="1">
      <c r="A155" t="s" s="68">
        <v>1190</v>
      </c>
      <c r="B155" s="55">
        <v>45954</v>
      </c>
      <c r="C155" s="52">
        <v>66</v>
      </c>
      <c r="D155" t="s" s="50">
        <v>276</v>
      </c>
      <c r="E155" t="s" s="50">
        <v>1166</v>
      </c>
      <c r="F155" t="s" s="50">
        <v>1169</v>
      </c>
      <c r="G155" t="s" s="50">
        <v>1021</v>
      </c>
      <c r="H155" t="s" s="50">
        <v>1022</v>
      </c>
      <c r="I155" t="s" s="50">
        <v>49</v>
      </c>
      <c r="J155" s="55">
        <v>45960</v>
      </c>
      <c r="K155" s="69">
        <v>6</v>
      </c>
      <c r="L155" s="75">
        <v>1096</v>
      </c>
      <c r="M155" s="76" cm="1">
        <f t="array" ref="M155">L155*3.7</f>
        <v>4055.2</v>
      </c>
      <c r="N155" s="48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" customHeight="1">
      <c r="A156" t="s" s="71">
        <v>1191</v>
      </c>
      <c r="B156" s="64">
        <v>46089</v>
      </c>
      <c r="C156" s="61">
        <v>66</v>
      </c>
      <c r="D156" t="s" s="59">
        <v>276</v>
      </c>
      <c r="E156" t="s" s="59">
        <v>1094</v>
      </c>
      <c r="F156" t="s" s="59">
        <v>1163</v>
      </c>
      <c r="G156" t="s" s="59">
        <v>1021</v>
      </c>
      <c r="H156" t="s" s="59">
        <v>1022</v>
      </c>
      <c r="I156" t="s" s="59">
        <v>51</v>
      </c>
      <c r="J156" s="64">
        <v>46108</v>
      </c>
      <c r="K156" s="72">
        <v>19</v>
      </c>
      <c r="L156" s="77">
        <v>747</v>
      </c>
      <c r="M156" s="78" cm="1">
        <f t="array" ref="M156">L156*3.7</f>
        <v>2763.9</v>
      </c>
      <c r="N156" s="48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" customHeight="1">
      <c r="A157" t="s" s="68">
        <v>1192</v>
      </c>
      <c r="B157" s="55">
        <v>46049</v>
      </c>
      <c r="C157" s="52">
        <v>67</v>
      </c>
      <c r="D157" t="s" s="50">
        <v>276</v>
      </c>
      <c r="E157" t="s" s="50">
        <v>1094</v>
      </c>
      <c r="F157" t="s" s="50">
        <v>1163</v>
      </c>
      <c r="G157" t="s" s="50">
        <v>1033</v>
      </c>
      <c r="H157" t="s" s="50">
        <v>1022</v>
      </c>
      <c r="I157" t="s" s="50">
        <v>51</v>
      </c>
      <c r="J157" s="55">
        <v>46059</v>
      </c>
      <c r="K157" s="69">
        <v>10</v>
      </c>
      <c r="L157" s="75">
        <v>2164</v>
      </c>
      <c r="M157" s="76" cm="1">
        <f t="array" ref="M157">L157*3.7</f>
        <v>8006.8</v>
      </c>
      <c r="N157" s="48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" customHeight="1">
      <c r="A158" t="s" s="71">
        <v>1193</v>
      </c>
      <c r="B158" s="64">
        <v>45987</v>
      </c>
      <c r="C158" s="61">
        <v>67</v>
      </c>
      <c r="D158" t="s" s="59">
        <v>276</v>
      </c>
      <c r="E158" t="s" s="59">
        <v>1166</v>
      </c>
      <c r="F158" t="s" s="59">
        <v>1167</v>
      </c>
      <c r="G158" t="s" s="59">
        <v>1021</v>
      </c>
      <c r="H158" t="s" s="59">
        <v>1022</v>
      </c>
      <c r="I158" t="s" s="59">
        <v>49</v>
      </c>
      <c r="J158" s="64">
        <v>45993</v>
      </c>
      <c r="K158" s="72">
        <v>6</v>
      </c>
      <c r="L158" s="77">
        <v>919</v>
      </c>
      <c r="M158" s="78" cm="1">
        <f t="array" ref="M158">L158*3.7</f>
        <v>3400.3</v>
      </c>
      <c r="N158" s="48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" customHeight="1">
      <c r="A159" t="s" s="68">
        <v>1194</v>
      </c>
      <c r="B159" s="55">
        <v>45989</v>
      </c>
      <c r="C159" s="52">
        <v>67</v>
      </c>
      <c r="D159" t="s" s="50">
        <v>276</v>
      </c>
      <c r="E159" t="s" s="50">
        <v>1166</v>
      </c>
      <c r="F159" t="s" s="50">
        <v>1167</v>
      </c>
      <c r="G159" t="s" s="50">
        <v>1033</v>
      </c>
      <c r="H159" t="s" s="50">
        <v>1022</v>
      </c>
      <c r="I159" t="s" s="50">
        <v>49</v>
      </c>
      <c r="J159" s="55">
        <v>46002</v>
      </c>
      <c r="K159" s="69">
        <v>13</v>
      </c>
      <c r="L159" s="75">
        <v>2823</v>
      </c>
      <c r="M159" s="76" cm="1">
        <f t="array" ref="M159">L159*3.7</f>
        <v>10445.1</v>
      </c>
      <c r="N159" s="48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" customHeight="1">
      <c r="A160" t="s" s="71">
        <v>1195</v>
      </c>
      <c r="B160" s="64">
        <v>45922</v>
      </c>
      <c r="C160" s="61">
        <v>67</v>
      </c>
      <c r="D160" t="s" s="59">
        <v>276</v>
      </c>
      <c r="E160" t="s" s="59">
        <v>1166</v>
      </c>
      <c r="F160" t="s" s="59">
        <v>1167</v>
      </c>
      <c r="G160" t="s" s="59">
        <v>1030</v>
      </c>
      <c r="H160" t="s" s="59">
        <v>1022</v>
      </c>
      <c r="I160" t="s" s="59">
        <v>49</v>
      </c>
      <c r="J160" s="64">
        <v>45934</v>
      </c>
      <c r="K160" s="72">
        <v>12</v>
      </c>
      <c r="L160" s="77">
        <v>7196</v>
      </c>
      <c r="M160" s="78" cm="1">
        <f t="array" ref="M160">L160*3.7</f>
        <v>26625.2</v>
      </c>
      <c r="N160" s="48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" customHeight="1">
      <c r="A161" t="s" s="68">
        <v>1196</v>
      </c>
      <c r="B161" s="55">
        <v>46002</v>
      </c>
      <c r="C161" s="52">
        <v>68</v>
      </c>
      <c r="D161" t="s" s="50">
        <v>276</v>
      </c>
      <c r="E161" t="s" s="50">
        <v>1166</v>
      </c>
      <c r="F161" t="s" s="50">
        <v>1169</v>
      </c>
      <c r="G161" t="s" s="50">
        <v>1033</v>
      </c>
      <c r="H161" t="s" s="50">
        <v>1028</v>
      </c>
      <c r="I161" t="s" s="50">
        <v>49</v>
      </c>
      <c r="J161" s="55"/>
      <c r="K161" s="69"/>
      <c r="L161" s="75">
        <v>2732</v>
      </c>
      <c r="M161" s="76" cm="1">
        <f t="array" ref="M161">L161*3.7</f>
        <v>10108.4</v>
      </c>
      <c r="N161" s="48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" customHeight="1">
      <c r="A162" t="s" s="71">
        <v>1197</v>
      </c>
      <c r="B162" s="64">
        <v>45939</v>
      </c>
      <c r="C162" s="61">
        <v>68</v>
      </c>
      <c r="D162" t="s" s="59">
        <v>276</v>
      </c>
      <c r="E162" t="s" s="59">
        <v>1166</v>
      </c>
      <c r="F162" t="s" s="59">
        <v>1169</v>
      </c>
      <c r="G162" t="s" s="59">
        <v>1021</v>
      </c>
      <c r="H162" t="s" s="59">
        <v>1022</v>
      </c>
      <c r="I162" t="s" s="59">
        <v>49</v>
      </c>
      <c r="J162" s="64">
        <v>45953</v>
      </c>
      <c r="K162" s="72">
        <v>14</v>
      </c>
      <c r="L162" s="77">
        <v>976</v>
      </c>
      <c r="M162" s="78" cm="1">
        <f t="array" ref="M162">L162*3.7</f>
        <v>3611.2</v>
      </c>
      <c r="N162" s="4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" customHeight="1">
      <c r="A163" t="s" s="68">
        <v>1198</v>
      </c>
      <c r="B163" s="55">
        <v>46061</v>
      </c>
      <c r="C163" s="52">
        <v>68</v>
      </c>
      <c r="D163" t="s" s="50">
        <v>276</v>
      </c>
      <c r="E163" t="s" s="50">
        <v>1166</v>
      </c>
      <c r="F163" t="s" s="50">
        <v>1169</v>
      </c>
      <c r="G163" t="s" s="50">
        <v>1033</v>
      </c>
      <c r="H163" t="s" s="50">
        <v>1022</v>
      </c>
      <c r="I163" t="s" s="50">
        <v>49</v>
      </c>
      <c r="J163" s="55">
        <v>46078</v>
      </c>
      <c r="K163" s="69">
        <v>17</v>
      </c>
      <c r="L163" s="75">
        <v>2793</v>
      </c>
      <c r="M163" s="76" cm="1">
        <f t="array" ref="M163">L163*3.7</f>
        <v>10334.1</v>
      </c>
      <c r="N163" s="4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" customHeight="1">
      <c r="A164" t="s" s="71">
        <v>1199</v>
      </c>
      <c r="B164" s="64">
        <v>45858</v>
      </c>
      <c r="C164" s="61">
        <v>68</v>
      </c>
      <c r="D164" t="s" s="59">
        <v>276</v>
      </c>
      <c r="E164" t="s" s="59">
        <v>1094</v>
      </c>
      <c r="F164" t="s" s="59">
        <v>1163</v>
      </c>
      <c r="G164" t="s" s="59">
        <v>1021</v>
      </c>
      <c r="H164" t="s" s="59">
        <v>1022</v>
      </c>
      <c r="I164" t="s" s="59">
        <v>51</v>
      </c>
      <c r="J164" s="64">
        <v>45879</v>
      </c>
      <c r="K164" s="72">
        <v>21</v>
      </c>
      <c r="L164" s="77">
        <v>789</v>
      </c>
      <c r="M164" s="78" cm="1">
        <f t="array" ref="M164">L164*3.7</f>
        <v>2919.3</v>
      </c>
      <c r="N164" s="4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" customHeight="1">
      <c r="A165" t="s" s="68">
        <v>1200</v>
      </c>
      <c r="B165" s="55">
        <v>46099</v>
      </c>
      <c r="C165" s="52">
        <v>68</v>
      </c>
      <c r="D165" t="s" s="50">
        <v>276</v>
      </c>
      <c r="E165" t="s" s="50">
        <v>1094</v>
      </c>
      <c r="F165" t="s" s="50">
        <v>1163</v>
      </c>
      <c r="G165" t="s" s="50">
        <v>1033</v>
      </c>
      <c r="H165" t="s" s="50">
        <v>1022</v>
      </c>
      <c r="I165" t="s" s="50">
        <v>51</v>
      </c>
      <c r="J165" s="55">
        <v>46107</v>
      </c>
      <c r="K165" s="69">
        <v>8</v>
      </c>
      <c r="L165" s="75">
        <v>2600</v>
      </c>
      <c r="M165" s="76" cm="1">
        <f t="array" ref="M165">L165*3.7</f>
        <v>9620</v>
      </c>
      <c r="N165" s="4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" customHeight="1">
      <c r="A166" t="s" s="71">
        <v>1201</v>
      </c>
      <c r="B166" s="64">
        <v>45927</v>
      </c>
      <c r="C166" s="61">
        <v>69</v>
      </c>
      <c r="D166" t="s" s="59">
        <v>276</v>
      </c>
      <c r="E166" t="s" s="59">
        <v>1166</v>
      </c>
      <c r="F166" t="s" s="59">
        <v>1167</v>
      </c>
      <c r="G166" t="s" s="59">
        <v>1021</v>
      </c>
      <c r="H166" t="s" s="59">
        <v>1022</v>
      </c>
      <c r="I166" t="s" s="59">
        <v>49</v>
      </c>
      <c r="J166" s="64">
        <v>45930</v>
      </c>
      <c r="K166" s="72">
        <v>3</v>
      </c>
      <c r="L166" s="77">
        <v>766</v>
      </c>
      <c r="M166" s="78" cm="1">
        <f t="array" ref="M166">L166*3.7</f>
        <v>2834.2</v>
      </c>
      <c r="N166" s="4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" customHeight="1">
      <c r="A167" t="s" s="68">
        <v>1202</v>
      </c>
      <c r="B167" s="55">
        <v>46087</v>
      </c>
      <c r="C167" s="52">
        <v>69</v>
      </c>
      <c r="D167" t="s" s="50">
        <v>276</v>
      </c>
      <c r="E167" t="s" s="50">
        <v>1166</v>
      </c>
      <c r="F167" t="s" s="50">
        <v>1169</v>
      </c>
      <c r="G167" t="s" s="50">
        <v>1033</v>
      </c>
      <c r="H167" t="s" s="50">
        <v>1022</v>
      </c>
      <c r="I167" t="s" s="50">
        <v>49</v>
      </c>
      <c r="J167" s="55">
        <v>46091</v>
      </c>
      <c r="K167" s="69">
        <v>4</v>
      </c>
      <c r="L167" s="75">
        <v>2292</v>
      </c>
      <c r="M167" s="76" cm="1">
        <f t="array" ref="M167">L167*3.7</f>
        <v>8480.4</v>
      </c>
      <c r="N167" s="4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" customHeight="1">
      <c r="A168" t="s" s="71">
        <v>1203</v>
      </c>
      <c r="B168" s="64">
        <v>45972</v>
      </c>
      <c r="C168" s="61">
        <v>69</v>
      </c>
      <c r="D168" t="s" s="59">
        <v>276</v>
      </c>
      <c r="E168" t="s" s="59">
        <v>1166</v>
      </c>
      <c r="F168" t="s" s="59">
        <v>1169</v>
      </c>
      <c r="G168" t="s" s="59">
        <v>1021</v>
      </c>
      <c r="H168" t="s" s="59">
        <v>1022</v>
      </c>
      <c r="I168" t="s" s="59">
        <v>49</v>
      </c>
      <c r="J168" s="64">
        <v>45987</v>
      </c>
      <c r="K168" s="72">
        <v>15</v>
      </c>
      <c r="L168" s="77">
        <v>928</v>
      </c>
      <c r="M168" s="78" cm="1">
        <f t="array" ref="M168">L168*3.7</f>
        <v>3433.6</v>
      </c>
      <c r="N168" s="4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" customHeight="1">
      <c r="A169" t="s" s="68">
        <v>1204</v>
      </c>
      <c r="B169" s="55">
        <v>46095</v>
      </c>
      <c r="C169" s="52">
        <v>69</v>
      </c>
      <c r="D169" t="s" s="50">
        <v>276</v>
      </c>
      <c r="E169" t="s" s="50">
        <v>1166</v>
      </c>
      <c r="F169" t="s" s="50">
        <v>1169</v>
      </c>
      <c r="G169" t="s" s="50">
        <v>1030</v>
      </c>
      <c r="H169" t="s" s="50">
        <v>1022</v>
      </c>
      <c r="I169" t="s" s="50">
        <v>49</v>
      </c>
      <c r="J169" s="55">
        <v>46112</v>
      </c>
      <c r="K169" s="69">
        <v>17</v>
      </c>
      <c r="L169" s="75">
        <v>6238</v>
      </c>
      <c r="M169" s="76" cm="1">
        <f t="array" ref="M169">L169*3.7</f>
        <v>23080.6</v>
      </c>
      <c r="N169" s="48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" customHeight="1">
      <c r="A170" t="s" s="71">
        <v>1205</v>
      </c>
      <c r="B170" s="64">
        <v>46102</v>
      </c>
      <c r="C170" s="61">
        <v>70</v>
      </c>
      <c r="D170" t="s" s="59">
        <v>276</v>
      </c>
      <c r="E170" t="s" s="59">
        <v>1094</v>
      </c>
      <c r="F170" t="s" s="59">
        <v>1163</v>
      </c>
      <c r="G170" t="s" s="59">
        <v>1021</v>
      </c>
      <c r="H170" t="s" s="59">
        <v>1022</v>
      </c>
      <c r="I170" t="s" s="59">
        <v>51</v>
      </c>
      <c r="J170" s="64">
        <v>46105</v>
      </c>
      <c r="K170" s="72">
        <v>3</v>
      </c>
      <c r="L170" s="77">
        <v>1048</v>
      </c>
      <c r="M170" s="78" cm="1">
        <f t="array" ref="M170">L170*3.7</f>
        <v>3877.6</v>
      </c>
      <c r="N170" s="48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" customHeight="1">
      <c r="A171" t="s" s="68">
        <v>1206</v>
      </c>
      <c r="B171" s="55">
        <v>46018</v>
      </c>
      <c r="C171" s="52">
        <v>70</v>
      </c>
      <c r="D171" t="s" s="50">
        <v>276</v>
      </c>
      <c r="E171" t="s" s="50">
        <v>1094</v>
      </c>
      <c r="F171" t="s" s="50">
        <v>1163</v>
      </c>
      <c r="G171" t="s" s="50">
        <v>1021</v>
      </c>
      <c r="H171" t="s" s="50">
        <v>1022</v>
      </c>
      <c r="I171" t="s" s="50">
        <v>51</v>
      </c>
      <c r="J171" s="55">
        <v>46027</v>
      </c>
      <c r="K171" s="69">
        <v>9</v>
      </c>
      <c r="L171" s="75">
        <v>860</v>
      </c>
      <c r="M171" s="76" cm="1">
        <f t="array" ref="M171">L171*3.7</f>
        <v>3182</v>
      </c>
      <c r="N171" s="48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" customHeight="1">
      <c r="A172" t="s" s="71">
        <v>1207</v>
      </c>
      <c r="B172" s="64">
        <v>46100</v>
      </c>
      <c r="C172" s="61">
        <v>70</v>
      </c>
      <c r="D172" t="s" s="59">
        <v>276</v>
      </c>
      <c r="E172" t="s" s="59">
        <v>1094</v>
      </c>
      <c r="F172" t="s" s="59">
        <v>1163</v>
      </c>
      <c r="G172" t="s" s="59">
        <v>1021</v>
      </c>
      <c r="H172" t="s" s="59">
        <v>1022</v>
      </c>
      <c r="I172" t="s" s="59">
        <v>51</v>
      </c>
      <c r="J172" s="64">
        <v>46111</v>
      </c>
      <c r="K172" s="72">
        <v>11</v>
      </c>
      <c r="L172" s="77">
        <v>872</v>
      </c>
      <c r="M172" s="78" cm="1">
        <f t="array" ref="M172">L172*3.7</f>
        <v>3226.4</v>
      </c>
      <c r="N172" s="48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" customHeight="1">
      <c r="A173" t="s" s="68">
        <v>1208</v>
      </c>
      <c r="B173" s="55">
        <v>45922</v>
      </c>
      <c r="C173" s="52">
        <v>70</v>
      </c>
      <c r="D173" t="s" s="50">
        <v>276</v>
      </c>
      <c r="E173" t="s" s="50">
        <v>1166</v>
      </c>
      <c r="F173" t="s" s="50">
        <v>1167</v>
      </c>
      <c r="G173" t="s" s="50">
        <v>1021</v>
      </c>
      <c r="H173" t="s" s="50">
        <v>1028</v>
      </c>
      <c r="I173" t="s" s="50">
        <v>49</v>
      </c>
      <c r="J173" s="55"/>
      <c r="K173" s="69"/>
      <c r="L173" s="75">
        <v>832</v>
      </c>
      <c r="M173" s="76" cm="1">
        <f t="array" ref="M173">L173*3.7</f>
        <v>3078.4</v>
      </c>
      <c r="N173" s="48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" customHeight="1">
      <c r="A174" t="s" s="71">
        <v>1209</v>
      </c>
      <c r="B174" s="64">
        <v>46091</v>
      </c>
      <c r="C174" s="61">
        <v>70</v>
      </c>
      <c r="D174" t="s" s="59">
        <v>276</v>
      </c>
      <c r="E174" t="s" s="59">
        <v>1166</v>
      </c>
      <c r="F174" t="s" s="59">
        <v>1169</v>
      </c>
      <c r="G174" t="s" s="59">
        <v>1033</v>
      </c>
      <c r="H174" t="s" s="59">
        <v>1022</v>
      </c>
      <c r="I174" t="s" s="59">
        <v>49</v>
      </c>
      <c r="J174" s="64">
        <v>46096</v>
      </c>
      <c r="K174" s="72">
        <v>5</v>
      </c>
      <c r="L174" s="77">
        <v>3070</v>
      </c>
      <c r="M174" s="78" cm="1">
        <f t="array" ref="M174">L174*3.7</f>
        <v>11359</v>
      </c>
      <c r="N174" s="48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" customHeight="1">
      <c r="A175" t="s" s="68">
        <v>1210</v>
      </c>
      <c r="B175" s="55">
        <v>45898</v>
      </c>
      <c r="C175" s="52">
        <v>71</v>
      </c>
      <c r="D175" t="s" s="50">
        <v>276</v>
      </c>
      <c r="E175" t="s" s="50">
        <v>1166</v>
      </c>
      <c r="F175" t="s" s="50">
        <v>1167</v>
      </c>
      <c r="G175" t="s" s="50">
        <v>1021</v>
      </c>
      <c r="H175" t="s" s="50">
        <v>1022</v>
      </c>
      <c r="I175" t="s" s="50">
        <v>49</v>
      </c>
      <c r="J175" s="55">
        <v>45918</v>
      </c>
      <c r="K175" s="69">
        <v>20</v>
      </c>
      <c r="L175" s="75">
        <v>809</v>
      </c>
      <c r="M175" s="76" cm="1">
        <f t="array" ref="M175">L175*3.7</f>
        <v>2993.3</v>
      </c>
      <c r="N175" s="48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" customHeight="1">
      <c r="A176" t="s" s="71">
        <v>1211</v>
      </c>
      <c r="B176" s="64">
        <v>45899</v>
      </c>
      <c r="C176" s="61">
        <v>71</v>
      </c>
      <c r="D176" t="s" s="59">
        <v>276</v>
      </c>
      <c r="E176" t="s" s="59">
        <v>1166</v>
      </c>
      <c r="F176" t="s" s="59">
        <v>1167</v>
      </c>
      <c r="G176" t="s" s="59">
        <v>1030</v>
      </c>
      <c r="H176" t="s" s="59">
        <v>1022</v>
      </c>
      <c r="I176" t="s" s="59">
        <v>49</v>
      </c>
      <c r="J176" s="64">
        <v>45922</v>
      </c>
      <c r="K176" s="72">
        <v>23</v>
      </c>
      <c r="L176" s="77">
        <v>6660</v>
      </c>
      <c r="M176" s="78" cm="1">
        <f t="array" ref="M176">L176*3.7</f>
        <v>24642</v>
      </c>
      <c r="N176" s="48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" customHeight="1">
      <c r="A177" t="s" s="68">
        <v>1212</v>
      </c>
      <c r="B177" s="55">
        <v>45843</v>
      </c>
      <c r="C177" s="52">
        <v>71</v>
      </c>
      <c r="D177" t="s" s="50">
        <v>276</v>
      </c>
      <c r="E177" t="s" s="50">
        <v>1166</v>
      </c>
      <c r="F177" t="s" s="50">
        <v>1167</v>
      </c>
      <c r="G177" t="s" s="50">
        <v>1021</v>
      </c>
      <c r="H177" t="s" s="50">
        <v>1022</v>
      </c>
      <c r="I177" t="s" s="50">
        <v>49</v>
      </c>
      <c r="J177" s="55">
        <v>45860</v>
      </c>
      <c r="K177" s="69">
        <v>17</v>
      </c>
      <c r="L177" s="75">
        <v>785</v>
      </c>
      <c r="M177" s="76" cm="1">
        <f t="array" ref="M177">L177*3.7</f>
        <v>2904.5</v>
      </c>
      <c r="N177" s="4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" customHeight="1">
      <c r="A178" t="s" s="71">
        <v>1213</v>
      </c>
      <c r="B178" s="64">
        <v>46014</v>
      </c>
      <c r="C178" s="61">
        <v>71</v>
      </c>
      <c r="D178" t="s" s="59">
        <v>276</v>
      </c>
      <c r="E178" t="s" s="59">
        <v>1166</v>
      </c>
      <c r="F178" t="s" s="59">
        <v>1167</v>
      </c>
      <c r="G178" t="s" s="59">
        <v>1021</v>
      </c>
      <c r="H178" t="s" s="59">
        <v>1022</v>
      </c>
      <c r="I178" t="s" s="59">
        <v>49</v>
      </c>
      <c r="J178" s="64">
        <v>46033</v>
      </c>
      <c r="K178" s="72">
        <v>19</v>
      </c>
      <c r="L178" s="77">
        <v>808</v>
      </c>
      <c r="M178" s="78" cm="1">
        <f t="array" ref="M178">L178*3.7</f>
        <v>2989.6</v>
      </c>
      <c r="N178" s="48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" customHeight="1">
      <c r="A179" t="s" s="68">
        <v>1214</v>
      </c>
      <c r="B179" s="55">
        <v>46088</v>
      </c>
      <c r="C179" s="52">
        <v>71</v>
      </c>
      <c r="D179" t="s" s="50">
        <v>276</v>
      </c>
      <c r="E179" t="s" s="50">
        <v>1166</v>
      </c>
      <c r="F179" t="s" s="50">
        <v>1169</v>
      </c>
      <c r="G179" t="s" s="50">
        <v>1033</v>
      </c>
      <c r="H179" t="s" s="50">
        <v>1022</v>
      </c>
      <c r="I179" t="s" s="50">
        <v>49</v>
      </c>
      <c r="J179" s="55">
        <v>46094</v>
      </c>
      <c r="K179" s="69">
        <v>6</v>
      </c>
      <c r="L179" s="75">
        <v>3014</v>
      </c>
      <c r="M179" s="76" cm="1">
        <f t="array" ref="M179">L179*3.7</f>
        <v>11151.8</v>
      </c>
      <c r="N179" s="4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" customHeight="1">
      <c r="A180" t="s" s="71">
        <v>1215</v>
      </c>
      <c r="B180" s="64">
        <v>45839</v>
      </c>
      <c r="C180" s="61">
        <v>72</v>
      </c>
      <c r="D180" t="s" s="59">
        <v>276</v>
      </c>
      <c r="E180" t="s" s="59">
        <v>1166</v>
      </c>
      <c r="F180" t="s" s="59">
        <v>1169</v>
      </c>
      <c r="G180" t="s" s="59">
        <v>1021</v>
      </c>
      <c r="H180" t="s" s="59">
        <v>1028</v>
      </c>
      <c r="I180" t="s" s="59">
        <v>49</v>
      </c>
      <c r="J180" s="64"/>
      <c r="K180" s="72"/>
      <c r="L180" s="77">
        <v>985</v>
      </c>
      <c r="M180" s="78" cm="1">
        <f t="array" ref="M180">L180*3.7</f>
        <v>3644.5</v>
      </c>
      <c r="N180" s="4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" customHeight="1">
      <c r="A181" t="s" s="68">
        <v>1216</v>
      </c>
      <c r="B181" s="55">
        <v>46003</v>
      </c>
      <c r="C181" s="52">
        <v>72</v>
      </c>
      <c r="D181" t="s" s="50">
        <v>276</v>
      </c>
      <c r="E181" t="s" s="50">
        <v>1166</v>
      </c>
      <c r="F181" t="s" s="50">
        <v>1167</v>
      </c>
      <c r="G181" t="s" s="50">
        <v>1033</v>
      </c>
      <c r="H181" t="s" s="50">
        <v>1022</v>
      </c>
      <c r="I181" t="s" s="50">
        <v>49</v>
      </c>
      <c r="J181" s="55">
        <v>46010</v>
      </c>
      <c r="K181" s="69">
        <v>7</v>
      </c>
      <c r="L181" s="75">
        <v>2692</v>
      </c>
      <c r="M181" s="76" cm="1">
        <f t="array" ref="M181">L181*3.7</f>
        <v>9960.4</v>
      </c>
      <c r="N181" s="48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" customHeight="1">
      <c r="A182" t="s" s="71">
        <v>1217</v>
      </c>
      <c r="B182" s="64">
        <v>46106</v>
      </c>
      <c r="C182" s="61">
        <v>72</v>
      </c>
      <c r="D182" t="s" s="59">
        <v>276</v>
      </c>
      <c r="E182" t="s" s="59">
        <v>1166</v>
      </c>
      <c r="F182" t="s" s="59">
        <v>1167</v>
      </c>
      <c r="G182" t="s" s="59">
        <v>1021</v>
      </c>
      <c r="H182" t="s" s="59">
        <v>1022</v>
      </c>
      <c r="I182" t="s" s="59">
        <v>49</v>
      </c>
      <c r="J182" s="64">
        <v>46112</v>
      </c>
      <c r="K182" s="72">
        <v>6</v>
      </c>
      <c r="L182" s="77">
        <v>968</v>
      </c>
      <c r="M182" s="78" cm="1">
        <f t="array" ref="M182">L182*3.7</f>
        <v>3581.6</v>
      </c>
      <c r="N182" s="48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" customHeight="1">
      <c r="A183" t="s" s="68">
        <v>1218</v>
      </c>
      <c r="B183" s="55">
        <v>46103</v>
      </c>
      <c r="C183" s="52">
        <v>72</v>
      </c>
      <c r="D183" t="s" s="50">
        <v>276</v>
      </c>
      <c r="E183" t="s" s="50">
        <v>1094</v>
      </c>
      <c r="F183" t="s" s="50">
        <v>1163</v>
      </c>
      <c r="G183" t="s" s="50">
        <v>1033</v>
      </c>
      <c r="H183" t="s" s="50">
        <v>1022</v>
      </c>
      <c r="I183" t="s" s="50">
        <v>51</v>
      </c>
      <c r="J183" s="55">
        <v>46108</v>
      </c>
      <c r="K183" s="69">
        <v>5</v>
      </c>
      <c r="L183" s="75">
        <v>2281</v>
      </c>
      <c r="M183" s="76" cm="1">
        <f t="array" ref="M183">L183*3.7</f>
        <v>8439.700000000001</v>
      </c>
      <c r="N183" s="4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" customHeight="1">
      <c r="A184" t="s" s="71">
        <v>1219</v>
      </c>
      <c r="B184" s="64">
        <v>46098</v>
      </c>
      <c r="C184" s="61">
        <v>72</v>
      </c>
      <c r="D184" t="s" s="59">
        <v>276</v>
      </c>
      <c r="E184" t="s" s="59">
        <v>1166</v>
      </c>
      <c r="F184" t="s" s="59">
        <v>1167</v>
      </c>
      <c r="G184" t="s" s="59">
        <v>1021</v>
      </c>
      <c r="H184" t="s" s="59">
        <v>1022</v>
      </c>
      <c r="I184" t="s" s="59">
        <v>49</v>
      </c>
      <c r="J184" s="64">
        <v>46112</v>
      </c>
      <c r="K184" s="72">
        <v>14</v>
      </c>
      <c r="L184" s="77">
        <v>815</v>
      </c>
      <c r="M184" s="78" cm="1">
        <f t="array" ref="M184">L184*3.7</f>
        <v>3015.5</v>
      </c>
      <c r="N184" s="48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" customHeight="1">
      <c r="A185" t="s" s="68">
        <v>1220</v>
      </c>
      <c r="B185" s="55">
        <v>46087</v>
      </c>
      <c r="C185" s="52">
        <v>73</v>
      </c>
      <c r="D185" t="s" s="50">
        <v>276</v>
      </c>
      <c r="E185" t="s" s="50">
        <v>1094</v>
      </c>
      <c r="F185" t="s" s="50">
        <v>1163</v>
      </c>
      <c r="G185" t="s" s="50">
        <v>1021</v>
      </c>
      <c r="H185" t="s" s="50">
        <v>1028</v>
      </c>
      <c r="I185" t="s" s="50">
        <v>51</v>
      </c>
      <c r="J185" s="55"/>
      <c r="K185" s="69"/>
      <c r="L185" s="75">
        <v>1092</v>
      </c>
      <c r="M185" s="76" cm="1">
        <f t="array" ref="M185">L185*3.7</f>
        <v>4040.4</v>
      </c>
      <c r="N185" s="48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" customHeight="1">
      <c r="A186" t="s" s="71">
        <v>1221</v>
      </c>
      <c r="B186" s="64">
        <v>45984</v>
      </c>
      <c r="C186" s="61">
        <v>73</v>
      </c>
      <c r="D186" t="s" s="59">
        <v>276</v>
      </c>
      <c r="E186" t="s" s="59">
        <v>1166</v>
      </c>
      <c r="F186" t="s" s="59">
        <v>1167</v>
      </c>
      <c r="G186" t="s" s="59">
        <v>1033</v>
      </c>
      <c r="H186" t="s" s="59">
        <v>1022</v>
      </c>
      <c r="I186" t="s" s="59">
        <v>49</v>
      </c>
      <c r="J186" s="64">
        <v>45998</v>
      </c>
      <c r="K186" s="72">
        <v>14</v>
      </c>
      <c r="L186" s="77">
        <v>3086</v>
      </c>
      <c r="M186" s="78" cm="1">
        <f t="array" ref="M186">L186*3.7</f>
        <v>11418.2</v>
      </c>
      <c r="N186" s="48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" customHeight="1">
      <c r="A187" t="s" s="68">
        <v>1222</v>
      </c>
      <c r="B187" s="55">
        <v>45846</v>
      </c>
      <c r="C187" s="52">
        <v>73</v>
      </c>
      <c r="D187" t="s" s="50">
        <v>276</v>
      </c>
      <c r="E187" t="s" s="50">
        <v>1094</v>
      </c>
      <c r="F187" t="s" s="50">
        <v>1163</v>
      </c>
      <c r="G187" t="s" s="50">
        <v>1021</v>
      </c>
      <c r="H187" t="s" s="50">
        <v>1028</v>
      </c>
      <c r="I187" t="s" s="50">
        <v>51</v>
      </c>
      <c r="J187" s="55"/>
      <c r="K187" s="69"/>
      <c r="L187" s="75">
        <v>995</v>
      </c>
      <c r="M187" s="76" cm="1">
        <f t="array" ref="M187">L187*3.7</f>
        <v>3681.5</v>
      </c>
      <c r="N187" s="48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" customHeight="1">
      <c r="A188" t="s" s="71">
        <v>1223</v>
      </c>
      <c r="B188" s="64">
        <v>45984</v>
      </c>
      <c r="C188" s="61">
        <v>73</v>
      </c>
      <c r="D188" t="s" s="59">
        <v>276</v>
      </c>
      <c r="E188" t="s" s="59">
        <v>1166</v>
      </c>
      <c r="F188" t="s" s="59">
        <v>1167</v>
      </c>
      <c r="G188" t="s" s="59">
        <v>1033</v>
      </c>
      <c r="H188" t="s" s="59">
        <v>1022</v>
      </c>
      <c r="I188" t="s" s="59">
        <v>49</v>
      </c>
      <c r="J188" s="64">
        <v>46003</v>
      </c>
      <c r="K188" s="72">
        <v>19</v>
      </c>
      <c r="L188" s="77">
        <v>2292</v>
      </c>
      <c r="M188" s="78" cm="1">
        <f t="array" ref="M188">L188*3.7</f>
        <v>8480.4</v>
      </c>
      <c r="N188" s="48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" customHeight="1">
      <c r="A189" t="s" s="68">
        <v>1224</v>
      </c>
      <c r="B189" s="55">
        <v>45972</v>
      </c>
      <c r="C189" s="52">
        <v>73</v>
      </c>
      <c r="D189" t="s" s="50">
        <v>276</v>
      </c>
      <c r="E189" t="s" s="50">
        <v>1166</v>
      </c>
      <c r="F189" t="s" s="50">
        <v>1169</v>
      </c>
      <c r="G189" t="s" s="50">
        <v>1021</v>
      </c>
      <c r="H189" t="s" s="50">
        <v>1022</v>
      </c>
      <c r="I189" t="s" s="50">
        <v>49</v>
      </c>
      <c r="J189" s="55">
        <v>45988</v>
      </c>
      <c r="K189" s="69">
        <v>16</v>
      </c>
      <c r="L189" s="75">
        <v>923</v>
      </c>
      <c r="M189" s="76" cm="1">
        <f t="array" ref="M189">L189*3.7</f>
        <v>3415.1</v>
      </c>
      <c r="N189" s="48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" customHeight="1">
      <c r="A190" t="s" s="71">
        <v>1225</v>
      </c>
      <c r="B190" s="64">
        <v>46052</v>
      </c>
      <c r="C190" s="61">
        <v>74</v>
      </c>
      <c r="D190" t="s" s="59">
        <v>276</v>
      </c>
      <c r="E190" t="s" s="59">
        <v>1094</v>
      </c>
      <c r="F190" t="s" s="59">
        <v>1163</v>
      </c>
      <c r="G190" t="s" s="59">
        <v>1060</v>
      </c>
      <c r="H190" t="s" s="59">
        <v>1022</v>
      </c>
      <c r="I190" t="s" s="59">
        <v>51</v>
      </c>
      <c r="J190" s="64">
        <v>46086</v>
      </c>
      <c r="K190" s="72">
        <v>34</v>
      </c>
      <c r="L190" s="77">
        <v>14299</v>
      </c>
      <c r="M190" s="78" cm="1">
        <f t="array" ref="M190">L190*3.7</f>
        <v>52906.3</v>
      </c>
      <c r="N190" s="48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" customHeight="1">
      <c r="A191" t="s" s="68">
        <v>1226</v>
      </c>
      <c r="B191" s="55">
        <v>46089</v>
      </c>
      <c r="C191" s="52">
        <v>74</v>
      </c>
      <c r="D191" t="s" s="50">
        <v>276</v>
      </c>
      <c r="E191" t="s" s="50">
        <v>1166</v>
      </c>
      <c r="F191" t="s" s="50">
        <v>1167</v>
      </c>
      <c r="G191" t="s" s="50">
        <v>1033</v>
      </c>
      <c r="H191" t="s" s="50">
        <v>1022</v>
      </c>
      <c r="I191" t="s" s="50">
        <v>49</v>
      </c>
      <c r="J191" s="55">
        <v>46100</v>
      </c>
      <c r="K191" s="69">
        <v>11</v>
      </c>
      <c r="L191" s="75">
        <v>2496</v>
      </c>
      <c r="M191" s="76" cm="1">
        <f t="array" ref="M191">L191*3.7</f>
        <v>9235.200000000001</v>
      </c>
      <c r="N191" s="48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" customHeight="1">
      <c r="A192" t="s" s="71">
        <v>1227</v>
      </c>
      <c r="B192" s="64">
        <v>46037</v>
      </c>
      <c r="C192" s="61">
        <v>74</v>
      </c>
      <c r="D192" t="s" s="59">
        <v>276</v>
      </c>
      <c r="E192" t="s" s="59">
        <v>1166</v>
      </c>
      <c r="F192" t="s" s="59">
        <v>1167</v>
      </c>
      <c r="G192" t="s" s="59">
        <v>1021</v>
      </c>
      <c r="H192" t="s" s="59">
        <v>1028</v>
      </c>
      <c r="I192" t="s" s="59">
        <v>49</v>
      </c>
      <c r="J192" s="64"/>
      <c r="K192" s="72"/>
      <c r="L192" s="77">
        <v>925</v>
      </c>
      <c r="M192" s="78" cm="1">
        <f t="array" ref="M192">L192*3.7</f>
        <v>3422.5</v>
      </c>
      <c r="N192" s="48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" customHeight="1">
      <c r="A193" t="s" s="68">
        <v>1228</v>
      </c>
      <c r="B193" s="55">
        <v>46110</v>
      </c>
      <c r="C193" s="52">
        <v>74</v>
      </c>
      <c r="D193" t="s" s="50">
        <v>276</v>
      </c>
      <c r="E193" t="s" s="50">
        <v>1094</v>
      </c>
      <c r="F193" t="s" s="50">
        <v>1163</v>
      </c>
      <c r="G193" t="s" s="50">
        <v>1033</v>
      </c>
      <c r="H193" t="s" s="50">
        <v>1022</v>
      </c>
      <c r="I193" t="s" s="50">
        <v>51</v>
      </c>
      <c r="J193" s="55">
        <v>46112</v>
      </c>
      <c r="K193" s="69">
        <v>2</v>
      </c>
      <c r="L193" s="75">
        <v>2390</v>
      </c>
      <c r="M193" s="76" cm="1">
        <f t="array" ref="M193">L193*3.7</f>
        <v>8843</v>
      </c>
      <c r="N193" s="4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" customHeight="1">
      <c r="A194" t="s" s="71">
        <v>1229</v>
      </c>
      <c r="B194" s="64">
        <v>46111</v>
      </c>
      <c r="C194" s="61">
        <v>74</v>
      </c>
      <c r="D194" t="s" s="59">
        <v>276</v>
      </c>
      <c r="E194" t="s" s="59">
        <v>1094</v>
      </c>
      <c r="F194" t="s" s="59">
        <v>1163</v>
      </c>
      <c r="G194" t="s" s="59">
        <v>1033</v>
      </c>
      <c r="H194" t="s" s="59">
        <v>1028</v>
      </c>
      <c r="I194" t="s" s="59">
        <v>51</v>
      </c>
      <c r="J194" s="64"/>
      <c r="K194" s="72"/>
      <c r="L194" s="77">
        <v>2661</v>
      </c>
      <c r="M194" s="78" cm="1">
        <f t="array" ref="M194">L194*3.7</f>
        <v>9845.700000000001</v>
      </c>
      <c r="N194" s="4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" customHeight="1">
      <c r="A195" t="s" s="68">
        <v>1230</v>
      </c>
      <c r="B195" s="55">
        <v>45959</v>
      </c>
      <c r="C195" s="52">
        <v>75</v>
      </c>
      <c r="D195" t="s" s="50">
        <v>276</v>
      </c>
      <c r="E195" t="s" s="50">
        <v>1166</v>
      </c>
      <c r="F195" t="s" s="50">
        <v>1169</v>
      </c>
      <c r="G195" t="s" s="50">
        <v>1033</v>
      </c>
      <c r="H195" t="s" s="50">
        <v>1022</v>
      </c>
      <c r="I195" t="s" s="50">
        <v>49</v>
      </c>
      <c r="J195" s="55">
        <v>45968</v>
      </c>
      <c r="K195" s="69">
        <v>9</v>
      </c>
      <c r="L195" s="75">
        <v>2229</v>
      </c>
      <c r="M195" s="76" cm="1">
        <f t="array" ref="M195">L195*3.7</f>
        <v>8247.299999999999</v>
      </c>
      <c r="N195" s="48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" customHeight="1">
      <c r="A196" t="s" s="71">
        <v>1231</v>
      </c>
      <c r="B196" s="64">
        <v>45932</v>
      </c>
      <c r="C196" s="61">
        <v>75</v>
      </c>
      <c r="D196" t="s" s="59">
        <v>276</v>
      </c>
      <c r="E196" t="s" s="59">
        <v>1094</v>
      </c>
      <c r="F196" t="s" s="59">
        <v>1163</v>
      </c>
      <c r="G196" t="s" s="59">
        <v>1033</v>
      </c>
      <c r="H196" t="s" s="59">
        <v>1022</v>
      </c>
      <c r="I196" t="s" s="59">
        <v>51</v>
      </c>
      <c r="J196" s="64">
        <v>45948</v>
      </c>
      <c r="K196" s="72">
        <v>16</v>
      </c>
      <c r="L196" s="77">
        <v>3123</v>
      </c>
      <c r="M196" s="78" cm="1">
        <f t="array" ref="M196">L196*3.7</f>
        <v>11555.1</v>
      </c>
      <c r="N196" s="4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" customHeight="1">
      <c r="A197" t="s" s="68">
        <v>1232</v>
      </c>
      <c r="B197" s="55">
        <v>46052</v>
      </c>
      <c r="C197" s="52">
        <v>75</v>
      </c>
      <c r="D197" t="s" s="50">
        <v>276</v>
      </c>
      <c r="E197" t="s" s="50">
        <v>1166</v>
      </c>
      <c r="F197" t="s" s="50">
        <v>1167</v>
      </c>
      <c r="G197" t="s" s="50">
        <v>1030</v>
      </c>
      <c r="H197" t="s" s="50">
        <v>1022</v>
      </c>
      <c r="I197" t="s" s="50">
        <v>49</v>
      </c>
      <c r="J197" s="55">
        <v>46068</v>
      </c>
      <c r="K197" s="69">
        <v>16</v>
      </c>
      <c r="L197" s="75">
        <v>5964</v>
      </c>
      <c r="M197" s="76" cm="1">
        <f t="array" ref="M197">L197*3.7</f>
        <v>22066.8</v>
      </c>
      <c r="N197" s="4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" customHeight="1">
      <c r="A198" t="s" s="71">
        <v>1233</v>
      </c>
      <c r="B198" s="64">
        <v>46084</v>
      </c>
      <c r="C198" s="61">
        <v>76</v>
      </c>
      <c r="D198" t="s" s="59">
        <v>276</v>
      </c>
      <c r="E198" t="s" s="59">
        <v>1166</v>
      </c>
      <c r="F198" t="s" s="59">
        <v>1169</v>
      </c>
      <c r="G198" t="s" s="59">
        <v>1033</v>
      </c>
      <c r="H198" t="s" s="59">
        <v>1022</v>
      </c>
      <c r="I198" t="s" s="59">
        <v>49</v>
      </c>
      <c r="J198" s="64">
        <v>46102</v>
      </c>
      <c r="K198" s="72">
        <v>18</v>
      </c>
      <c r="L198" s="77">
        <v>2994</v>
      </c>
      <c r="M198" s="78" cm="1">
        <f t="array" ref="M198">L198*3.7</f>
        <v>11077.8</v>
      </c>
      <c r="N198" s="48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" customHeight="1">
      <c r="A199" t="s" s="68">
        <v>1234</v>
      </c>
      <c r="B199" s="55">
        <v>46108</v>
      </c>
      <c r="C199" s="52">
        <v>76</v>
      </c>
      <c r="D199" t="s" s="50">
        <v>276</v>
      </c>
      <c r="E199" t="s" s="50">
        <v>1166</v>
      </c>
      <c r="F199" t="s" s="50">
        <v>1169</v>
      </c>
      <c r="G199" t="s" s="50">
        <v>1033</v>
      </c>
      <c r="H199" t="s" s="50">
        <v>1022</v>
      </c>
      <c r="I199" t="s" s="50">
        <v>49</v>
      </c>
      <c r="J199" s="55">
        <v>46112</v>
      </c>
      <c r="K199" s="69">
        <v>4</v>
      </c>
      <c r="L199" s="75">
        <v>2609</v>
      </c>
      <c r="M199" s="76" cm="1">
        <f t="array" ref="M199">L199*3.7</f>
        <v>9653.299999999999</v>
      </c>
      <c r="N199" s="48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" customHeight="1">
      <c r="A200" t="s" s="71">
        <v>1235</v>
      </c>
      <c r="B200" s="64">
        <v>46094</v>
      </c>
      <c r="C200" s="61">
        <v>76</v>
      </c>
      <c r="D200" t="s" s="59">
        <v>276</v>
      </c>
      <c r="E200" t="s" s="59">
        <v>1166</v>
      </c>
      <c r="F200" t="s" s="59">
        <v>1169</v>
      </c>
      <c r="G200" t="s" s="59">
        <v>1021</v>
      </c>
      <c r="H200" t="s" s="59">
        <v>1022</v>
      </c>
      <c r="I200" t="s" s="59">
        <v>49</v>
      </c>
      <c r="J200" s="64">
        <v>46098</v>
      </c>
      <c r="K200" s="72">
        <v>4</v>
      </c>
      <c r="L200" s="77">
        <v>837</v>
      </c>
      <c r="M200" s="78" cm="1">
        <f t="array" ref="M200">L200*3.7</f>
        <v>3096.9</v>
      </c>
      <c r="N200" s="48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" customHeight="1">
      <c r="A201" t="s" s="68">
        <v>1236</v>
      </c>
      <c r="B201" s="55">
        <v>46077</v>
      </c>
      <c r="C201" s="52">
        <v>76</v>
      </c>
      <c r="D201" t="s" s="50">
        <v>276</v>
      </c>
      <c r="E201" t="s" s="50">
        <v>1166</v>
      </c>
      <c r="F201" t="s" s="50">
        <v>1169</v>
      </c>
      <c r="G201" t="s" s="50">
        <v>1033</v>
      </c>
      <c r="H201" t="s" s="50">
        <v>1022</v>
      </c>
      <c r="I201" t="s" s="50">
        <v>49</v>
      </c>
      <c r="J201" s="55">
        <v>46094</v>
      </c>
      <c r="K201" s="69">
        <v>17</v>
      </c>
      <c r="L201" s="75">
        <v>2801</v>
      </c>
      <c r="M201" s="76" cm="1">
        <f t="array" ref="M201">L201*3.7</f>
        <v>10363.7</v>
      </c>
      <c r="N201" s="48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" customHeight="1">
      <c r="A202" t="s" s="71">
        <v>1237</v>
      </c>
      <c r="B202" s="64">
        <v>46111</v>
      </c>
      <c r="C202" s="61">
        <v>76</v>
      </c>
      <c r="D202" t="s" s="59">
        <v>276</v>
      </c>
      <c r="E202" t="s" s="59">
        <v>1094</v>
      </c>
      <c r="F202" t="s" s="59">
        <v>1163</v>
      </c>
      <c r="G202" t="s" s="59">
        <v>1021</v>
      </c>
      <c r="H202" t="s" s="59">
        <v>1022</v>
      </c>
      <c r="I202" t="s" s="59">
        <v>51</v>
      </c>
      <c r="J202" s="64">
        <v>46112</v>
      </c>
      <c r="K202" s="72">
        <v>1</v>
      </c>
      <c r="L202" s="77">
        <v>1031</v>
      </c>
      <c r="M202" s="78" cm="1">
        <f t="array" ref="M202">L202*3.7</f>
        <v>3814.7</v>
      </c>
      <c r="N202" s="48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" customHeight="1">
      <c r="A203" t="s" s="68">
        <v>1238</v>
      </c>
      <c r="B203" s="55">
        <v>46094</v>
      </c>
      <c r="C203" s="52">
        <v>77</v>
      </c>
      <c r="D203" t="s" s="50">
        <v>276</v>
      </c>
      <c r="E203" t="s" s="50">
        <v>1166</v>
      </c>
      <c r="F203" t="s" s="50">
        <v>1239</v>
      </c>
      <c r="G203" t="s" s="50">
        <v>1033</v>
      </c>
      <c r="H203" t="s" s="50">
        <v>1022</v>
      </c>
      <c r="I203" t="s" s="50">
        <v>49</v>
      </c>
      <c r="J203" s="55">
        <v>46111</v>
      </c>
      <c r="K203" s="69">
        <v>17</v>
      </c>
      <c r="L203" s="75">
        <v>3117</v>
      </c>
      <c r="M203" s="76" cm="1">
        <f t="array" ref="M203">L203*3.7</f>
        <v>11532.9</v>
      </c>
      <c r="N203" s="48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" customHeight="1">
      <c r="A204" t="s" s="71">
        <v>1240</v>
      </c>
      <c r="B204" s="64">
        <v>46012</v>
      </c>
      <c r="C204" s="61">
        <v>77</v>
      </c>
      <c r="D204" t="s" s="59">
        <v>276</v>
      </c>
      <c r="E204" t="s" s="59">
        <v>1166</v>
      </c>
      <c r="F204" t="s" s="59">
        <v>1239</v>
      </c>
      <c r="G204" t="s" s="59">
        <v>1030</v>
      </c>
      <c r="H204" t="s" s="59">
        <v>1022</v>
      </c>
      <c r="I204" t="s" s="59">
        <v>49</v>
      </c>
      <c r="J204" s="64">
        <v>46021</v>
      </c>
      <c r="K204" s="72">
        <v>9</v>
      </c>
      <c r="L204" s="77">
        <v>6944</v>
      </c>
      <c r="M204" s="78" cm="1">
        <f t="array" ref="M204">L204*3.7</f>
        <v>25692.8</v>
      </c>
      <c r="N204" s="48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" customHeight="1">
      <c r="A205" t="s" s="68">
        <v>1241</v>
      </c>
      <c r="B205" s="55">
        <v>46109</v>
      </c>
      <c r="C205" s="52">
        <v>77</v>
      </c>
      <c r="D205" t="s" s="50">
        <v>276</v>
      </c>
      <c r="E205" t="s" s="50">
        <v>37</v>
      </c>
      <c r="F205" t="s" s="50">
        <v>1242</v>
      </c>
      <c r="G205" t="s" s="50">
        <v>1021</v>
      </c>
      <c r="H205" t="s" s="50">
        <v>1028</v>
      </c>
      <c r="I205" t="s" s="50">
        <v>50</v>
      </c>
      <c r="J205" s="55"/>
      <c r="K205" s="69"/>
      <c r="L205" s="75">
        <v>832</v>
      </c>
      <c r="M205" s="76" cm="1">
        <f t="array" ref="M205">L205*3.7</f>
        <v>3078.4</v>
      </c>
      <c r="N205" s="48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" customHeight="1">
      <c r="A206" t="s" s="71">
        <v>1243</v>
      </c>
      <c r="B206" s="64">
        <v>46107</v>
      </c>
      <c r="C206" s="61">
        <v>77</v>
      </c>
      <c r="D206" t="s" s="59">
        <v>276</v>
      </c>
      <c r="E206" t="s" s="59">
        <v>1166</v>
      </c>
      <c r="F206" t="s" s="59">
        <v>1239</v>
      </c>
      <c r="G206" t="s" s="59">
        <v>1021</v>
      </c>
      <c r="H206" t="s" s="59">
        <v>1028</v>
      </c>
      <c r="I206" t="s" s="59">
        <v>49</v>
      </c>
      <c r="J206" s="64"/>
      <c r="K206" s="72"/>
      <c r="L206" s="77">
        <v>763</v>
      </c>
      <c r="M206" s="78" cm="1">
        <f t="array" ref="M206">L206*3.7</f>
        <v>2823.1</v>
      </c>
      <c r="N206" s="48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" customHeight="1">
      <c r="A207" t="s" s="68">
        <v>1244</v>
      </c>
      <c r="B207" s="55">
        <v>46095</v>
      </c>
      <c r="C207" s="52">
        <v>77</v>
      </c>
      <c r="D207" t="s" s="50">
        <v>276</v>
      </c>
      <c r="E207" t="s" s="50">
        <v>37</v>
      </c>
      <c r="F207" t="s" s="50">
        <v>1245</v>
      </c>
      <c r="G207" t="s" s="50">
        <v>1030</v>
      </c>
      <c r="H207" t="s" s="50">
        <v>1028</v>
      </c>
      <c r="I207" t="s" s="50">
        <v>50</v>
      </c>
      <c r="J207" s="55"/>
      <c r="K207" s="69"/>
      <c r="L207" s="75">
        <v>6132</v>
      </c>
      <c r="M207" s="76" cm="1">
        <f t="array" ref="M207">L207*3.7</f>
        <v>22688.4</v>
      </c>
      <c r="N207" s="4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" customHeight="1">
      <c r="A208" t="s" s="71">
        <v>1246</v>
      </c>
      <c r="B208" s="64">
        <v>45922</v>
      </c>
      <c r="C208" s="61">
        <v>77</v>
      </c>
      <c r="D208" t="s" s="59">
        <v>276</v>
      </c>
      <c r="E208" t="s" s="59">
        <v>1166</v>
      </c>
      <c r="F208" t="s" s="59">
        <v>1239</v>
      </c>
      <c r="G208" t="s" s="59">
        <v>1033</v>
      </c>
      <c r="H208" t="s" s="59">
        <v>1022</v>
      </c>
      <c r="I208" t="s" s="59">
        <v>49</v>
      </c>
      <c r="J208" s="64">
        <v>45925</v>
      </c>
      <c r="K208" s="72">
        <v>3</v>
      </c>
      <c r="L208" s="77">
        <v>2748</v>
      </c>
      <c r="M208" s="78" cm="1">
        <f t="array" ref="M208">L208*3.7</f>
        <v>10167.6</v>
      </c>
      <c r="N208" s="4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" customHeight="1">
      <c r="A209" t="s" s="68">
        <v>1247</v>
      </c>
      <c r="B209" s="55">
        <v>46065</v>
      </c>
      <c r="C209" s="52">
        <v>77</v>
      </c>
      <c r="D209" t="s" s="50">
        <v>276</v>
      </c>
      <c r="E209" t="s" s="50">
        <v>1094</v>
      </c>
      <c r="F209" t="s" s="50">
        <v>1248</v>
      </c>
      <c r="G209" t="s" s="50">
        <v>1060</v>
      </c>
      <c r="H209" t="s" s="50">
        <v>1022</v>
      </c>
      <c r="I209" t="s" s="50">
        <v>51</v>
      </c>
      <c r="J209" s="55">
        <v>46096</v>
      </c>
      <c r="K209" s="69">
        <v>31</v>
      </c>
      <c r="L209" s="75">
        <v>13534</v>
      </c>
      <c r="M209" s="76" cm="1">
        <f t="array" ref="M209">L209*3.7</f>
        <v>50075.8</v>
      </c>
      <c r="N209" s="4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" customHeight="1">
      <c r="A210" t="s" s="71">
        <v>1249</v>
      </c>
      <c r="B210" s="64">
        <v>46101</v>
      </c>
      <c r="C210" s="61">
        <v>78</v>
      </c>
      <c r="D210" t="s" s="59">
        <v>276</v>
      </c>
      <c r="E210" t="s" s="59">
        <v>37</v>
      </c>
      <c r="F210" t="s" s="59">
        <v>1245</v>
      </c>
      <c r="G210" t="s" s="59">
        <v>1033</v>
      </c>
      <c r="H210" t="s" s="59">
        <v>1022</v>
      </c>
      <c r="I210" t="s" s="59">
        <v>50</v>
      </c>
      <c r="J210" s="64">
        <v>46111</v>
      </c>
      <c r="K210" s="72">
        <v>10</v>
      </c>
      <c r="L210" s="77">
        <v>2947</v>
      </c>
      <c r="M210" s="78" cm="1">
        <f t="array" ref="M210">L210*3.7</f>
        <v>10903.9</v>
      </c>
      <c r="N210" s="4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" customHeight="1">
      <c r="A211" t="s" s="68">
        <v>1250</v>
      </c>
      <c r="B211" s="55">
        <v>45839</v>
      </c>
      <c r="C211" s="52">
        <v>78</v>
      </c>
      <c r="D211" t="s" s="50">
        <v>276</v>
      </c>
      <c r="E211" t="s" s="50">
        <v>37</v>
      </c>
      <c r="F211" t="s" s="50">
        <v>1242</v>
      </c>
      <c r="G211" t="s" s="50">
        <v>1030</v>
      </c>
      <c r="H211" t="s" s="50">
        <v>1028</v>
      </c>
      <c r="I211" t="s" s="50">
        <v>50</v>
      </c>
      <c r="J211" s="55"/>
      <c r="K211" s="69"/>
      <c r="L211" s="75">
        <v>8511</v>
      </c>
      <c r="M211" s="76" cm="1">
        <f t="array" ref="M211">L211*3.7</f>
        <v>31490.7</v>
      </c>
      <c r="N211" s="4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" customHeight="1">
      <c r="A212" t="s" s="71">
        <v>1251</v>
      </c>
      <c r="B212" s="64">
        <v>46025</v>
      </c>
      <c r="C212" s="61">
        <v>78</v>
      </c>
      <c r="D212" t="s" s="59">
        <v>276</v>
      </c>
      <c r="E212" t="s" s="59">
        <v>1166</v>
      </c>
      <c r="F212" t="s" s="59">
        <v>1239</v>
      </c>
      <c r="G212" t="s" s="59">
        <v>1021</v>
      </c>
      <c r="H212" t="s" s="59">
        <v>1022</v>
      </c>
      <c r="I212" t="s" s="59">
        <v>49</v>
      </c>
      <c r="J212" s="64">
        <v>46031</v>
      </c>
      <c r="K212" s="72">
        <v>6</v>
      </c>
      <c r="L212" s="77">
        <v>913</v>
      </c>
      <c r="M212" s="78" cm="1">
        <f t="array" ref="M212">L212*3.7</f>
        <v>3378.1</v>
      </c>
      <c r="N212" s="4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" customHeight="1">
      <c r="A213" t="s" s="68">
        <v>1252</v>
      </c>
      <c r="B213" s="55">
        <v>45914</v>
      </c>
      <c r="C213" s="52">
        <v>78</v>
      </c>
      <c r="D213" t="s" s="50">
        <v>276</v>
      </c>
      <c r="E213" t="s" s="50">
        <v>37</v>
      </c>
      <c r="F213" t="s" s="50">
        <v>1245</v>
      </c>
      <c r="G213" t="s" s="50">
        <v>1021</v>
      </c>
      <c r="H213" t="s" s="50">
        <v>1022</v>
      </c>
      <c r="I213" t="s" s="50">
        <v>50</v>
      </c>
      <c r="J213" s="55">
        <v>45921</v>
      </c>
      <c r="K213" s="69">
        <v>7</v>
      </c>
      <c r="L213" s="75">
        <v>892</v>
      </c>
      <c r="M213" s="76" cm="1">
        <f t="array" ref="M213">L213*3.7</f>
        <v>3300.4</v>
      </c>
      <c r="N213" s="4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" customHeight="1">
      <c r="A214" t="s" s="71">
        <v>1253</v>
      </c>
      <c r="B214" s="64">
        <v>46002</v>
      </c>
      <c r="C214" s="61">
        <v>78</v>
      </c>
      <c r="D214" t="s" s="59">
        <v>276</v>
      </c>
      <c r="E214" t="s" s="59">
        <v>37</v>
      </c>
      <c r="F214" t="s" s="59">
        <v>1245</v>
      </c>
      <c r="G214" t="s" s="59">
        <v>1021</v>
      </c>
      <c r="H214" t="s" s="59">
        <v>1028</v>
      </c>
      <c r="I214" t="s" s="59">
        <v>50</v>
      </c>
      <c r="J214" s="64"/>
      <c r="K214" s="72"/>
      <c r="L214" s="77">
        <v>1006</v>
      </c>
      <c r="M214" s="78" cm="1">
        <f t="array" ref="M214">L214*3.7</f>
        <v>3722.2</v>
      </c>
      <c r="N214" s="4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" customHeight="1">
      <c r="A215" t="s" s="68">
        <v>1254</v>
      </c>
      <c r="B215" s="55">
        <v>45982</v>
      </c>
      <c r="C215" s="52">
        <v>79</v>
      </c>
      <c r="D215" t="s" s="50">
        <v>276</v>
      </c>
      <c r="E215" t="s" s="50">
        <v>37</v>
      </c>
      <c r="F215" t="s" s="50">
        <v>1245</v>
      </c>
      <c r="G215" t="s" s="50">
        <v>1021</v>
      </c>
      <c r="H215" t="s" s="50">
        <v>1028</v>
      </c>
      <c r="I215" t="s" s="50">
        <v>50</v>
      </c>
      <c r="J215" s="55"/>
      <c r="K215" s="69"/>
      <c r="L215" s="75">
        <v>762</v>
      </c>
      <c r="M215" s="76" cm="1">
        <f t="array" ref="M215">L215*3.7</f>
        <v>2819.4</v>
      </c>
      <c r="N215" s="48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" customHeight="1">
      <c r="A216" t="s" s="71">
        <v>1255</v>
      </c>
      <c r="B216" s="64">
        <v>45855</v>
      </c>
      <c r="C216" s="61">
        <v>79</v>
      </c>
      <c r="D216" t="s" s="59">
        <v>276</v>
      </c>
      <c r="E216" t="s" s="59">
        <v>1166</v>
      </c>
      <c r="F216" t="s" s="59">
        <v>1239</v>
      </c>
      <c r="G216" t="s" s="59">
        <v>1021</v>
      </c>
      <c r="H216" t="s" s="59">
        <v>1022</v>
      </c>
      <c r="I216" t="s" s="59">
        <v>49</v>
      </c>
      <c r="J216" s="64">
        <v>45872</v>
      </c>
      <c r="K216" s="72">
        <v>17</v>
      </c>
      <c r="L216" s="77">
        <v>783</v>
      </c>
      <c r="M216" s="78" cm="1">
        <f t="array" ref="M216">L216*3.7</f>
        <v>2897.1</v>
      </c>
      <c r="N216" s="48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" customHeight="1">
      <c r="A217" t="s" s="68">
        <v>1256</v>
      </c>
      <c r="B217" s="55">
        <v>46088</v>
      </c>
      <c r="C217" s="52">
        <v>79</v>
      </c>
      <c r="D217" t="s" s="50">
        <v>276</v>
      </c>
      <c r="E217" t="s" s="50">
        <v>1094</v>
      </c>
      <c r="F217" t="s" s="50">
        <v>1248</v>
      </c>
      <c r="G217" t="s" s="50">
        <v>1021</v>
      </c>
      <c r="H217" t="s" s="50">
        <v>1022</v>
      </c>
      <c r="I217" t="s" s="50">
        <v>51</v>
      </c>
      <c r="J217" s="55">
        <v>46094</v>
      </c>
      <c r="K217" s="69">
        <v>6</v>
      </c>
      <c r="L217" s="75">
        <v>1073</v>
      </c>
      <c r="M217" s="76" cm="1">
        <f t="array" ref="M217">L217*3.7</f>
        <v>3970.1</v>
      </c>
      <c r="N217" s="48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" customHeight="1">
      <c r="A218" t="s" s="71">
        <v>1257</v>
      </c>
      <c r="B218" s="64">
        <v>45916</v>
      </c>
      <c r="C218" s="61">
        <v>79</v>
      </c>
      <c r="D218" t="s" s="59">
        <v>276</v>
      </c>
      <c r="E218" t="s" s="59">
        <v>1094</v>
      </c>
      <c r="F218" t="s" s="59">
        <v>1248</v>
      </c>
      <c r="G218" t="s" s="59">
        <v>1033</v>
      </c>
      <c r="H218" t="s" s="59">
        <v>1022</v>
      </c>
      <c r="I218" t="s" s="59">
        <v>51</v>
      </c>
      <c r="J218" s="64">
        <v>45937</v>
      </c>
      <c r="K218" s="72">
        <v>21</v>
      </c>
      <c r="L218" s="77">
        <v>2837</v>
      </c>
      <c r="M218" s="78" cm="1">
        <f t="array" ref="M218">L218*3.7</f>
        <v>10496.9</v>
      </c>
      <c r="N218" s="48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" customHeight="1">
      <c r="A219" t="s" s="68">
        <v>1258</v>
      </c>
      <c r="B219" s="55">
        <v>45891</v>
      </c>
      <c r="C219" s="52">
        <v>79</v>
      </c>
      <c r="D219" t="s" s="50">
        <v>276</v>
      </c>
      <c r="E219" t="s" s="50">
        <v>1094</v>
      </c>
      <c r="F219" t="s" s="50">
        <v>1248</v>
      </c>
      <c r="G219" t="s" s="50">
        <v>1033</v>
      </c>
      <c r="H219" t="s" s="50">
        <v>1022</v>
      </c>
      <c r="I219" t="s" s="50">
        <v>51</v>
      </c>
      <c r="J219" s="55">
        <v>45902</v>
      </c>
      <c r="K219" s="69">
        <v>11</v>
      </c>
      <c r="L219" s="75">
        <v>2869</v>
      </c>
      <c r="M219" s="76" cm="1">
        <f t="array" ref="M219">L219*3.7</f>
        <v>10615.3</v>
      </c>
      <c r="N219" s="48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" customHeight="1">
      <c r="A220" t="s" s="71">
        <v>1259</v>
      </c>
      <c r="B220" s="64">
        <v>45863</v>
      </c>
      <c r="C220" s="61">
        <v>79</v>
      </c>
      <c r="D220" t="s" s="59">
        <v>276</v>
      </c>
      <c r="E220" t="s" s="59">
        <v>37</v>
      </c>
      <c r="F220" t="s" s="59">
        <v>1242</v>
      </c>
      <c r="G220" t="s" s="59">
        <v>1021</v>
      </c>
      <c r="H220" t="s" s="59">
        <v>1028</v>
      </c>
      <c r="I220" t="s" s="59">
        <v>50</v>
      </c>
      <c r="J220" s="64"/>
      <c r="K220" s="72"/>
      <c r="L220" s="77">
        <v>1023</v>
      </c>
      <c r="M220" s="78" cm="1">
        <f t="array" ref="M220">L220*3.7</f>
        <v>3785.1</v>
      </c>
      <c r="N220" s="48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" customHeight="1">
      <c r="A221" t="s" s="68">
        <v>1260</v>
      </c>
      <c r="B221" s="55">
        <v>46089</v>
      </c>
      <c r="C221" s="52">
        <v>80</v>
      </c>
      <c r="D221" t="s" s="50">
        <v>276</v>
      </c>
      <c r="E221" t="s" s="50">
        <v>1166</v>
      </c>
      <c r="F221" t="s" s="50">
        <v>1239</v>
      </c>
      <c r="G221" t="s" s="50">
        <v>1021</v>
      </c>
      <c r="H221" t="s" s="50">
        <v>1028</v>
      </c>
      <c r="I221" t="s" s="50">
        <v>49</v>
      </c>
      <c r="J221" s="55"/>
      <c r="K221" s="69"/>
      <c r="L221" s="75">
        <v>944</v>
      </c>
      <c r="M221" s="76" cm="1">
        <f t="array" ref="M221">L221*3.7</f>
        <v>3492.8</v>
      </c>
      <c r="N221" s="48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" customHeight="1">
      <c r="A222" t="s" s="71">
        <v>1261</v>
      </c>
      <c r="B222" s="64">
        <v>46110</v>
      </c>
      <c r="C222" s="61">
        <v>80</v>
      </c>
      <c r="D222" t="s" s="59">
        <v>276</v>
      </c>
      <c r="E222" t="s" s="59">
        <v>37</v>
      </c>
      <c r="F222" t="s" s="59">
        <v>1245</v>
      </c>
      <c r="G222" t="s" s="59">
        <v>1030</v>
      </c>
      <c r="H222" t="s" s="59">
        <v>1028</v>
      </c>
      <c r="I222" t="s" s="59">
        <v>50</v>
      </c>
      <c r="J222" s="64"/>
      <c r="K222" s="72"/>
      <c r="L222" s="77">
        <v>7650</v>
      </c>
      <c r="M222" s="78" cm="1">
        <f t="array" ref="M222">L222*3.7</f>
        <v>28305</v>
      </c>
      <c r="N222" s="48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" customHeight="1">
      <c r="A223" t="s" s="68">
        <v>1262</v>
      </c>
      <c r="B223" s="55">
        <v>45841</v>
      </c>
      <c r="C223" s="52">
        <v>80</v>
      </c>
      <c r="D223" t="s" s="50">
        <v>276</v>
      </c>
      <c r="E223" t="s" s="50">
        <v>1094</v>
      </c>
      <c r="F223" t="s" s="50">
        <v>1248</v>
      </c>
      <c r="G223" t="s" s="50">
        <v>1021</v>
      </c>
      <c r="H223" t="s" s="50">
        <v>1022</v>
      </c>
      <c r="I223" t="s" s="50">
        <v>51</v>
      </c>
      <c r="J223" s="55">
        <v>45854</v>
      </c>
      <c r="K223" s="69">
        <v>13</v>
      </c>
      <c r="L223" s="75">
        <v>819</v>
      </c>
      <c r="M223" s="76" cm="1">
        <f t="array" ref="M223">L223*3.7</f>
        <v>3030.3</v>
      </c>
      <c r="N223" s="4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" customHeight="1">
      <c r="A224" t="s" s="71">
        <v>1263</v>
      </c>
      <c r="B224" s="64">
        <v>46093</v>
      </c>
      <c r="C224" s="61">
        <v>80</v>
      </c>
      <c r="D224" t="s" s="59">
        <v>276</v>
      </c>
      <c r="E224" t="s" s="59">
        <v>1094</v>
      </c>
      <c r="F224" t="s" s="59">
        <v>1248</v>
      </c>
      <c r="G224" t="s" s="59">
        <v>1060</v>
      </c>
      <c r="H224" t="s" s="59">
        <v>1022</v>
      </c>
      <c r="I224" t="s" s="59">
        <v>51</v>
      </c>
      <c r="J224" s="64">
        <v>46112</v>
      </c>
      <c r="K224" s="72">
        <v>19</v>
      </c>
      <c r="L224" s="77">
        <v>19196</v>
      </c>
      <c r="M224" s="78" cm="1">
        <f t="array" ref="M224">L224*3.7</f>
        <v>71025.2</v>
      </c>
      <c r="N224" s="4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" customHeight="1">
      <c r="A225" t="s" s="68">
        <v>1264</v>
      </c>
      <c r="B225" s="55">
        <v>46046</v>
      </c>
      <c r="C225" s="52">
        <v>80</v>
      </c>
      <c r="D225" t="s" s="50">
        <v>276</v>
      </c>
      <c r="E225" t="s" s="50">
        <v>1166</v>
      </c>
      <c r="F225" t="s" s="50">
        <v>1239</v>
      </c>
      <c r="G225" t="s" s="50">
        <v>1021</v>
      </c>
      <c r="H225" t="s" s="50">
        <v>1022</v>
      </c>
      <c r="I225" t="s" s="50">
        <v>49</v>
      </c>
      <c r="J225" s="55">
        <v>46056</v>
      </c>
      <c r="K225" s="69">
        <v>10</v>
      </c>
      <c r="L225" s="75">
        <v>1009</v>
      </c>
      <c r="M225" s="76" cm="1">
        <f t="array" ref="M225">L225*3.7</f>
        <v>3733.3</v>
      </c>
      <c r="N225" s="4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" customHeight="1">
      <c r="A226" t="s" s="71">
        <v>1265</v>
      </c>
      <c r="B226" s="64">
        <v>45937</v>
      </c>
      <c r="C226" s="61">
        <v>81</v>
      </c>
      <c r="D226" t="s" s="59">
        <v>276</v>
      </c>
      <c r="E226" t="s" s="59">
        <v>37</v>
      </c>
      <c r="F226" t="s" s="59">
        <v>1245</v>
      </c>
      <c r="G226" t="s" s="59">
        <v>1033</v>
      </c>
      <c r="H226" t="s" s="59">
        <v>1022</v>
      </c>
      <c r="I226" t="s" s="59">
        <v>50</v>
      </c>
      <c r="J226" s="64">
        <v>45943</v>
      </c>
      <c r="K226" s="72">
        <v>6</v>
      </c>
      <c r="L226" s="77">
        <v>2236</v>
      </c>
      <c r="M226" s="78" cm="1">
        <f t="array" ref="M226">L226*3.7</f>
        <v>8273.200000000001</v>
      </c>
      <c r="N226" s="4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" customHeight="1">
      <c r="A227" t="s" s="68">
        <v>1266</v>
      </c>
      <c r="B227" s="55">
        <v>46033</v>
      </c>
      <c r="C227" s="52">
        <v>81</v>
      </c>
      <c r="D227" t="s" s="50">
        <v>276</v>
      </c>
      <c r="E227" t="s" s="50">
        <v>1166</v>
      </c>
      <c r="F227" t="s" s="50">
        <v>1239</v>
      </c>
      <c r="G227" t="s" s="50">
        <v>1030</v>
      </c>
      <c r="H227" t="s" s="50">
        <v>1028</v>
      </c>
      <c r="I227" t="s" s="50">
        <v>49</v>
      </c>
      <c r="J227" s="55"/>
      <c r="K227" s="69"/>
      <c r="L227" s="75">
        <v>6471</v>
      </c>
      <c r="M227" s="76" cm="1">
        <f t="array" ref="M227">L227*3.7</f>
        <v>23942.7</v>
      </c>
      <c r="N227" s="48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" customHeight="1">
      <c r="A228" t="s" s="71">
        <v>1267</v>
      </c>
      <c r="B228" s="64">
        <v>46002</v>
      </c>
      <c r="C228" s="61">
        <v>81</v>
      </c>
      <c r="D228" t="s" s="59">
        <v>276</v>
      </c>
      <c r="E228" t="s" s="59">
        <v>1094</v>
      </c>
      <c r="F228" t="s" s="59">
        <v>1248</v>
      </c>
      <c r="G228" t="s" s="59">
        <v>1033</v>
      </c>
      <c r="H228" t="s" s="59">
        <v>1028</v>
      </c>
      <c r="I228" t="s" s="59">
        <v>51</v>
      </c>
      <c r="J228" s="64"/>
      <c r="K228" s="72"/>
      <c r="L228" s="77">
        <v>2347</v>
      </c>
      <c r="M228" s="78" cm="1">
        <f t="array" ref="M228">L228*3.7</f>
        <v>8683.9</v>
      </c>
      <c r="N228" s="48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" customHeight="1">
      <c r="A229" t="s" s="68">
        <v>1268</v>
      </c>
      <c r="B229" s="55">
        <v>46054</v>
      </c>
      <c r="C229" s="52">
        <v>81</v>
      </c>
      <c r="D229" t="s" s="50">
        <v>276</v>
      </c>
      <c r="E229" t="s" s="50">
        <v>37</v>
      </c>
      <c r="F229" t="s" s="50">
        <v>1245</v>
      </c>
      <c r="G229" t="s" s="50">
        <v>1021</v>
      </c>
      <c r="H229" t="s" s="50">
        <v>1022</v>
      </c>
      <c r="I229" t="s" s="50">
        <v>50</v>
      </c>
      <c r="J229" s="55">
        <v>46065</v>
      </c>
      <c r="K229" s="69">
        <v>11</v>
      </c>
      <c r="L229" s="75">
        <v>795</v>
      </c>
      <c r="M229" s="76" cm="1">
        <f t="array" ref="M229">L229*3.7</f>
        <v>2941.5</v>
      </c>
      <c r="N229" s="48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" customHeight="1">
      <c r="A230" t="s" s="71">
        <v>1269</v>
      </c>
      <c r="B230" s="64">
        <v>46090</v>
      </c>
      <c r="C230" s="61">
        <v>81</v>
      </c>
      <c r="D230" t="s" s="59">
        <v>276</v>
      </c>
      <c r="E230" t="s" s="59">
        <v>1166</v>
      </c>
      <c r="F230" t="s" s="59">
        <v>1239</v>
      </c>
      <c r="G230" t="s" s="59">
        <v>1033</v>
      </c>
      <c r="H230" t="s" s="59">
        <v>1022</v>
      </c>
      <c r="I230" t="s" s="59">
        <v>49</v>
      </c>
      <c r="J230" s="64">
        <v>46104</v>
      </c>
      <c r="K230" s="72">
        <v>14</v>
      </c>
      <c r="L230" s="77">
        <v>2628</v>
      </c>
      <c r="M230" s="78" cm="1">
        <f t="array" ref="M230">L230*3.7</f>
        <v>9723.6</v>
      </c>
      <c r="N230" s="4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" customHeight="1">
      <c r="A231" t="s" s="68">
        <v>1270</v>
      </c>
      <c r="B231" s="55">
        <v>46101</v>
      </c>
      <c r="C231" s="52">
        <v>81</v>
      </c>
      <c r="D231" t="s" s="50">
        <v>276</v>
      </c>
      <c r="E231" t="s" s="50">
        <v>37</v>
      </c>
      <c r="F231" t="s" s="50">
        <v>1242</v>
      </c>
      <c r="G231" t="s" s="50">
        <v>1021</v>
      </c>
      <c r="H231" t="s" s="50">
        <v>1022</v>
      </c>
      <c r="I231" t="s" s="50">
        <v>50</v>
      </c>
      <c r="J231" s="55">
        <v>46108</v>
      </c>
      <c r="K231" s="69">
        <v>7</v>
      </c>
      <c r="L231" s="75">
        <v>968</v>
      </c>
      <c r="M231" s="76" cm="1">
        <f t="array" ref="M231">L231*3.7</f>
        <v>3581.6</v>
      </c>
      <c r="N231" s="48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" customHeight="1">
      <c r="A232" t="s" s="71">
        <v>1271</v>
      </c>
      <c r="B232" s="64">
        <v>46095</v>
      </c>
      <c r="C232" s="61">
        <v>82</v>
      </c>
      <c r="D232" t="s" s="59">
        <v>276</v>
      </c>
      <c r="E232" t="s" s="59">
        <v>37</v>
      </c>
      <c r="F232" t="s" s="59">
        <v>1245</v>
      </c>
      <c r="G232" t="s" s="59">
        <v>1033</v>
      </c>
      <c r="H232" t="s" s="59">
        <v>1022</v>
      </c>
      <c r="I232" t="s" s="59">
        <v>50</v>
      </c>
      <c r="J232" s="64">
        <v>46104</v>
      </c>
      <c r="K232" s="72">
        <v>9</v>
      </c>
      <c r="L232" s="77">
        <v>2198</v>
      </c>
      <c r="M232" s="78" cm="1">
        <f t="array" ref="M232">L232*3.7</f>
        <v>8132.6</v>
      </c>
      <c r="N232" s="48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" customHeight="1">
      <c r="A233" t="s" s="68">
        <v>1272</v>
      </c>
      <c r="B233" s="55">
        <v>46077</v>
      </c>
      <c r="C233" s="52">
        <v>82</v>
      </c>
      <c r="D233" t="s" s="50">
        <v>276</v>
      </c>
      <c r="E233" t="s" s="50">
        <v>1094</v>
      </c>
      <c r="F233" t="s" s="50">
        <v>1248</v>
      </c>
      <c r="G233" t="s" s="50">
        <v>1021</v>
      </c>
      <c r="H233" t="s" s="50">
        <v>1022</v>
      </c>
      <c r="I233" t="s" s="50">
        <v>51</v>
      </c>
      <c r="J233" s="55">
        <v>46093</v>
      </c>
      <c r="K233" s="69">
        <v>16</v>
      </c>
      <c r="L233" s="75">
        <v>891</v>
      </c>
      <c r="M233" s="76" cm="1">
        <f t="array" ref="M233">L233*3.7</f>
        <v>3296.7</v>
      </c>
      <c r="N233" s="48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" customHeight="1">
      <c r="A234" t="s" s="71">
        <v>1273</v>
      </c>
      <c r="B234" s="64">
        <v>46071</v>
      </c>
      <c r="C234" s="61">
        <v>82</v>
      </c>
      <c r="D234" t="s" s="59">
        <v>276</v>
      </c>
      <c r="E234" t="s" s="59">
        <v>37</v>
      </c>
      <c r="F234" t="s" s="59">
        <v>1242</v>
      </c>
      <c r="G234" t="s" s="59">
        <v>1030</v>
      </c>
      <c r="H234" t="s" s="59">
        <v>1022</v>
      </c>
      <c r="I234" t="s" s="59">
        <v>50</v>
      </c>
      <c r="J234" s="64">
        <v>46085</v>
      </c>
      <c r="K234" s="72">
        <v>14</v>
      </c>
      <c r="L234" s="77">
        <v>7837</v>
      </c>
      <c r="M234" s="78" cm="1">
        <f t="array" ref="M234">L234*3.7</f>
        <v>28996.9</v>
      </c>
      <c r="N234" s="48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" customHeight="1">
      <c r="A235" t="s" s="68">
        <v>1274</v>
      </c>
      <c r="B235" s="55">
        <v>46072</v>
      </c>
      <c r="C235" s="52">
        <v>82</v>
      </c>
      <c r="D235" t="s" s="50">
        <v>276</v>
      </c>
      <c r="E235" t="s" s="50">
        <v>1166</v>
      </c>
      <c r="F235" t="s" s="50">
        <v>1239</v>
      </c>
      <c r="G235" t="s" s="50">
        <v>1021</v>
      </c>
      <c r="H235" t="s" s="50">
        <v>1022</v>
      </c>
      <c r="I235" t="s" s="50">
        <v>49</v>
      </c>
      <c r="J235" s="55">
        <v>46093</v>
      </c>
      <c r="K235" s="69">
        <v>21</v>
      </c>
      <c r="L235" s="75">
        <v>898</v>
      </c>
      <c r="M235" s="76" cm="1">
        <f t="array" ref="M235">L235*3.7</f>
        <v>3322.6</v>
      </c>
      <c r="N235" s="48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" customHeight="1">
      <c r="A236" t="s" s="71">
        <v>1275</v>
      </c>
      <c r="B236" s="64">
        <v>45881</v>
      </c>
      <c r="C236" s="61">
        <v>82</v>
      </c>
      <c r="D236" t="s" s="59">
        <v>276</v>
      </c>
      <c r="E236" t="s" s="59">
        <v>1094</v>
      </c>
      <c r="F236" t="s" s="59">
        <v>1248</v>
      </c>
      <c r="G236" t="s" s="59">
        <v>1033</v>
      </c>
      <c r="H236" t="s" s="59">
        <v>1022</v>
      </c>
      <c r="I236" t="s" s="59">
        <v>51</v>
      </c>
      <c r="J236" s="64">
        <v>45892</v>
      </c>
      <c r="K236" s="72">
        <v>11</v>
      </c>
      <c r="L236" s="77">
        <v>2475</v>
      </c>
      <c r="M236" s="78" cm="1">
        <f t="array" ref="M236">L236*3.7</f>
        <v>9157.5</v>
      </c>
      <c r="N236" s="48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" customHeight="1">
      <c r="A237" t="s" s="68">
        <v>1276</v>
      </c>
      <c r="B237" s="55">
        <v>46086</v>
      </c>
      <c r="C237" s="52">
        <v>83</v>
      </c>
      <c r="D237" t="s" s="50">
        <v>276</v>
      </c>
      <c r="E237" t="s" s="50">
        <v>1166</v>
      </c>
      <c r="F237" t="s" s="50">
        <v>1239</v>
      </c>
      <c r="G237" t="s" s="50">
        <v>1021</v>
      </c>
      <c r="H237" t="s" s="50">
        <v>1028</v>
      </c>
      <c r="I237" t="s" s="50">
        <v>49</v>
      </c>
      <c r="J237" s="55"/>
      <c r="K237" s="69"/>
      <c r="L237" s="75">
        <v>861</v>
      </c>
      <c r="M237" s="76" cm="1">
        <f t="array" ref="M237">L237*3.7</f>
        <v>3185.7</v>
      </c>
      <c r="N237" s="48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" customHeight="1">
      <c r="A238" t="s" s="71">
        <v>1277</v>
      </c>
      <c r="B238" s="64">
        <v>46095</v>
      </c>
      <c r="C238" s="61">
        <v>83</v>
      </c>
      <c r="D238" t="s" s="59">
        <v>276</v>
      </c>
      <c r="E238" t="s" s="59">
        <v>1166</v>
      </c>
      <c r="F238" t="s" s="59">
        <v>1239</v>
      </c>
      <c r="G238" t="s" s="59">
        <v>1033</v>
      </c>
      <c r="H238" t="s" s="59">
        <v>1022</v>
      </c>
      <c r="I238" t="s" s="59">
        <v>49</v>
      </c>
      <c r="J238" s="64">
        <v>46099</v>
      </c>
      <c r="K238" s="72">
        <v>4</v>
      </c>
      <c r="L238" s="77">
        <v>2586</v>
      </c>
      <c r="M238" s="78" cm="1">
        <f t="array" ref="M238">L238*3.7</f>
        <v>9568.200000000001</v>
      </c>
      <c r="N238" s="48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" customHeight="1">
      <c r="A239" t="s" s="68">
        <v>1278</v>
      </c>
      <c r="B239" s="55">
        <v>46110</v>
      </c>
      <c r="C239" s="52">
        <v>83</v>
      </c>
      <c r="D239" t="s" s="50">
        <v>276</v>
      </c>
      <c r="E239" t="s" s="50">
        <v>37</v>
      </c>
      <c r="F239" t="s" s="50">
        <v>1242</v>
      </c>
      <c r="G239" t="s" s="50">
        <v>1021</v>
      </c>
      <c r="H239" t="s" s="50">
        <v>1022</v>
      </c>
      <c r="I239" t="s" s="50">
        <v>50</v>
      </c>
      <c r="J239" s="55">
        <v>46112</v>
      </c>
      <c r="K239" s="69">
        <v>2</v>
      </c>
      <c r="L239" s="75">
        <v>762</v>
      </c>
      <c r="M239" s="76" cm="1">
        <f t="array" ref="M239">L239*3.7</f>
        <v>2819.4</v>
      </c>
      <c r="N239" s="4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" customHeight="1">
      <c r="A240" t="s" s="71">
        <v>1279</v>
      </c>
      <c r="B240" s="64">
        <v>45889</v>
      </c>
      <c r="C240" s="61">
        <v>83</v>
      </c>
      <c r="D240" t="s" s="59">
        <v>276</v>
      </c>
      <c r="E240" t="s" s="59">
        <v>1094</v>
      </c>
      <c r="F240" t="s" s="59">
        <v>1248</v>
      </c>
      <c r="G240" t="s" s="59">
        <v>1021</v>
      </c>
      <c r="H240" t="s" s="59">
        <v>1022</v>
      </c>
      <c r="I240" t="s" s="59">
        <v>51</v>
      </c>
      <c r="J240" s="64">
        <v>45894</v>
      </c>
      <c r="K240" s="72">
        <v>5</v>
      </c>
      <c r="L240" s="77">
        <v>1098</v>
      </c>
      <c r="M240" s="78" cm="1">
        <f t="array" ref="M240">L240*3.7</f>
        <v>4062.6</v>
      </c>
      <c r="N240" s="48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" customHeight="1">
      <c r="A241" t="s" s="68">
        <v>1280</v>
      </c>
      <c r="B241" s="55">
        <v>45888</v>
      </c>
      <c r="C241" s="52">
        <v>84</v>
      </c>
      <c r="D241" t="s" s="50">
        <v>276</v>
      </c>
      <c r="E241" t="s" s="50">
        <v>1094</v>
      </c>
      <c r="F241" t="s" s="50">
        <v>1248</v>
      </c>
      <c r="G241" t="s" s="50">
        <v>1030</v>
      </c>
      <c r="H241" t="s" s="50">
        <v>1022</v>
      </c>
      <c r="I241" t="s" s="50">
        <v>51</v>
      </c>
      <c r="J241" s="55">
        <v>45903</v>
      </c>
      <c r="K241" s="69">
        <v>15</v>
      </c>
      <c r="L241" s="75">
        <v>7149</v>
      </c>
      <c r="M241" s="76" cm="1">
        <f t="array" ref="M241">L241*3.7</f>
        <v>26451.3</v>
      </c>
      <c r="N241" s="4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" customHeight="1">
      <c r="A242" t="s" s="71">
        <v>1281</v>
      </c>
      <c r="B242" s="64">
        <v>46079</v>
      </c>
      <c r="C242" s="61">
        <v>84</v>
      </c>
      <c r="D242" t="s" s="59">
        <v>276</v>
      </c>
      <c r="E242" t="s" s="59">
        <v>1166</v>
      </c>
      <c r="F242" t="s" s="59">
        <v>1239</v>
      </c>
      <c r="G242" t="s" s="59">
        <v>1033</v>
      </c>
      <c r="H242" t="s" s="59">
        <v>1028</v>
      </c>
      <c r="I242" t="s" s="59">
        <v>49</v>
      </c>
      <c r="J242" s="64"/>
      <c r="K242" s="72"/>
      <c r="L242" s="77">
        <v>2362</v>
      </c>
      <c r="M242" s="78" cm="1">
        <f t="array" ref="M242">L242*3.7</f>
        <v>8739.4</v>
      </c>
      <c r="N242" s="4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" customHeight="1">
      <c r="A243" t="s" s="68">
        <v>1282</v>
      </c>
      <c r="B243" s="55">
        <v>46068</v>
      </c>
      <c r="C243" s="52">
        <v>84</v>
      </c>
      <c r="D243" t="s" s="50">
        <v>276</v>
      </c>
      <c r="E243" t="s" s="50">
        <v>37</v>
      </c>
      <c r="F243" t="s" s="50">
        <v>1245</v>
      </c>
      <c r="G243" t="s" s="50">
        <v>1033</v>
      </c>
      <c r="H243" t="s" s="50">
        <v>1028</v>
      </c>
      <c r="I243" t="s" s="50">
        <v>50</v>
      </c>
      <c r="J243" s="55"/>
      <c r="K243" s="69"/>
      <c r="L243" s="75">
        <v>2730</v>
      </c>
      <c r="M243" s="76" cm="1">
        <f t="array" ref="M243">L243*3.7</f>
        <v>10101</v>
      </c>
      <c r="N243" s="4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" customHeight="1">
      <c r="A244" t="s" s="71">
        <v>1283</v>
      </c>
      <c r="B244" s="64">
        <v>45862</v>
      </c>
      <c r="C244" s="61">
        <v>84</v>
      </c>
      <c r="D244" t="s" s="59">
        <v>276</v>
      </c>
      <c r="E244" t="s" s="59">
        <v>1094</v>
      </c>
      <c r="F244" t="s" s="59">
        <v>1248</v>
      </c>
      <c r="G244" t="s" s="59">
        <v>1021</v>
      </c>
      <c r="H244" t="s" s="59">
        <v>1028</v>
      </c>
      <c r="I244" t="s" s="59">
        <v>51</v>
      </c>
      <c r="J244" s="64"/>
      <c r="K244" s="72"/>
      <c r="L244" s="77">
        <v>1026</v>
      </c>
      <c r="M244" s="78" cm="1">
        <f t="array" ref="M244">L244*3.7</f>
        <v>3796.2</v>
      </c>
      <c r="N244" s="4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" customHeight="1">
      <c r="A245" t="s" s="68">
        <v>1284</v>
      </c>
      <c r="B245" s="55">
        <v>45922</v>
      </c>
      <c r="C245" s="52">
        <v>84</v>
      </c>
      <c r="D245" t="s" s="50">
        <v>276</v>
      </c>
      <c r="E245" t="s" s="50">
        <v>1166</v>
      </c>
      <c r="F245" t="s" s="50">
        <v>1239</v>
      </c>
      <c r="G245" t="s" s="50">
        <v>1033</v>
      </c>
      <c r="H245" t="s" s="50">
        <v>1022</v>
      </c>
      <c r="I245" t="s" s="50">
        <v>49</v>
      </c>
      <c r="J245" s="55">
        <v>45934</v>
      </c>
      <c r="K245" s="69">
        <v>12</v>
      </c>
      <c r="L245" s="75">
        <v>2815</v>
      </c>
      <c r="M245" s="76" cm="1">
        <f t="array" ref="M245">L245*3.7</f>
        <v>10415.5</v>
      </c>
      <c r="N245" s="4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" customHeight="1">
      <c r="A246" t="s" s="71">
        <v>1285</v>
      </c>
      <c r="B246" s="64">
        <v>45937</v>
      </c>
      <c r="C246" s="61">
        <v>85</v>
      </c>
      <c r="D246" t="s" s="59">
        <v>276</v>
      </c>
      <c r="E246" t="s" s="59">
        <v>1166</v>
      </c>
      <c r="F246" t="s" s="59">
        <v>1239</v>
      </c>
      <c r="G246" t="s" s="59">
        <v>1033</v>
      </c>
      <c r="H246" t="s" s="59">
        <v>1022</v>
      </c>
      <c r="I246" t="s" s="59">
        <v>49</v>
      </c>
      <c r="J246" s="64">
        <v>45947</v>
      </c>
      <c r="K246" s="72">
        <v>10</v>
      </c>
      <c r="L246" s="77">
        <v>2655</v>
      </c>
      <c r="M246" s="78" cm="1">
        <f t="array" ref="M246">L246*3.7</f>
        <v>9823.5</v>
      </c>
      <c r="N246" s="4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" customHeight="1">
      <c r="A247" t="s" s="68">
        <v>1286</v>
      </c>
      <c r="B247" s="55">
        <v>46091</v>
      </c>
      <c r="C247" s="52">
        <v>85</v>
      </c>
      <c r="D247" t="s" s="50">
        <v>276</v>
      </c>
      <c r="E247" t="s" s="50">
        <v>37</v>
      </c>
      <c r="F247" t="s" s="50">
        <v>1242</v>
      </c>
      <c r="G247" t="s" s="50">
        <v>1030</v>
      </c>
      <c r="H247" t="s" s="50">
        <v>1022</v>
      </c>
      <c r="I247" t="s" s="50">
        <v>50</v>
      </c>
      <c r="J247" s="55">
        <v>46098</v>
      </c>
      <c r="K247" s="69">
        <v>7</v>
      </c>
      <c r="L247" s="75">
        <v>7212</v>
      </c>
      <c r="M247" s="76" cm="1">
        <f t="array" ref="M247">L247*3.7</f>
        <v>26684.4</v>
      </c>
      <c r="N247" s="48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" customHeight="1">
      <c r="A248" t="s" s="71">
        <v>1287</v>
      </c>
      <c r="B248" s="64">
        <v>46108</v>
      </c>
      <c r="C248" s="61">
        <v>85</v>
      </c>
      <c r="D248" t="s" s="59">
        <v>276</v>
      </c>
      <c r="E248" t="s" s="59">
        <v>1094</v>
      </c>
      <c r="F248" t="s" s="59">
        <v>1248</v>
      </c>
      <c r="G248" t="s" s="59">
        <v>1030</v>
      </c>
      <c r="H248" t="s" s="59">
        <v>1022</v>
      </c>
      <c r="I248" t="s" s="59">
        <v>51</v>
      </c>
      <c r="J248" s="64">
        <v>46112</v>
      </c>
      <c r="K248" s="72">
        <v>4</v>
      </c>
      <c r="L248" s="77">
        <v>6852</v>
      </c>
      <c r="M248" s="78" cm="1">
        <f t="array" ref="M248">L248*3.7</f>
        <v>25352.4</v>
      </c>
      <c r="N248" s="48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" customHeight="1">
      <c r="A249" t="s" s="68">
        <v>1288</v>
      </c>
      <c r="B249" s="55">
        <v>45917</v>
      </c>
      <c r="C249" s="52">
        <v>85</v>
      </c>
      <c r="D249" t="s" s="50">
        <v>276</v>
      </c>
      <c r="E249" t="s" s="50">
        <v>1094</v>
      </c>
      <c r="F249" t="s" s="50">
        <v>1248</v>
      </c>
      <c r="G249" t="s" s="50">
        <v>1021</v>
      </c>
      <c r="H249" t="s" s="50">
        <v>1028</v>
      </c>
      <c r="I249" t="s" s="50">
        <v>51</v>
      </c>
      <c r="J249" s="55"/>
      <c r="K249" s="69"/>
      <c r="L249" s="75">
        <v>845</v>
      </c>
      <c r="M249" s="76" cm="1">
        <f t="array" ref="M249">L249*3.7</f>
        <v>3126.5</v>
      </c>
      <c r="N249" s="48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" customHeight="1">
      <c r="A250" t="s" s="71">
        <v>1289</v>
      </c>
      <c r="B250" s="64">
        <v>45999</v>
      </c>
      <c r="C250" s="61">
        <v>86</v>
      </c>
      <c r="D250" t="s" s="59">
        <v>276</v>
      </c>
      <c r="E250" t="s" s="59">
        <v>37</v>
      </c>
      <c r="F250" t="s" s="59">
        <v>1245</v>
      </c>
      <c r="G250" t="s" s="59">
        <v>1021</v>
      </c>
      <c r="H250" t="s" s="59">
        <v>1022</v>
      </c>
      <c r="I250" t="s" s="59">
        <v>50</v>
      </c>
      <c r="J250" s="64">
        <v>46003</v>
      </c>
      <c r="K250" s="72">
        <v>4</v>
      </c>
      <c r="L250" s="77">
        <v>1006</v>
      </c>
      <c r="M250" s="78" cm="1">
        <f t="array" ref="M250">L250*3.7</f>
        <v>3722.2</v>
      </c>
      <c r="N250" s="48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" customHeight="1">
      <c r="A251" t="s" s="68">
        <v>1290</v>
      </c>
      <c r="B251" s="55">
        <v>46105</v>
      </c>
      <c r="C251" s="52">
        <v>86</v>
      </c>
      <c r="D251" t="s" s="50">
        <v>276</v>
      </c>
      <c r="E251" t="s" s="50">
        <v>1166</v>
      </c>
      <c r="F251" t="s" s="50">
        <v>1239</v>
      </c>
      <c r="G251" t="s" s="50">
        <v>1021</v>
      </c>
      <c r="H251" t="s" s="50">
        <v>1022</v>
      </c>
      <c r="I251" t="s" s="50">
        <v>49</v>
      </c>
      <c r="J251" s="55">
        <v>46112</v>
      </c>
      <c r="K251" s="69">
        <v>7</v>
      </c>
      <c r="L251" s="75">
        <v>929</v>
      </c>
      <c r="M251" s="76" cm="1">
        <f t="array" ref="M251">L251*3.7</f>
        <v>3437.3</v>
      </c>
      <c r="N251" s="48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" customHeight="1">
      <c r="A252" t="s" s="71">
        <v>1291</v>
      </c>
      <c r="B252" s="64">
        <v>46049</v>
      </c>
      <c r="C252" s="61">
        <v>86</v>
      </c>
      <c r="D252" t="s" s="59">
        <v>276</v>
      </c>
      <c r="E252" t="s" s="59">
        <v>37</v>
      </c>
      <c r="F252" t="s" s="59">
        <v>1245</v>
      </c>
      <c r="G252" t="s" s="59">
        <v>1033</v>
      </c>
      <c r="H252" t="s" s="59">
        <v>1022</v>
      </c>
      <c r="I252" t="s" s="59">
        <v>50</v>
      </c>
      <c r="J252" s="64">
        <v>46060</v>
      </c>
      <c r="K252" s="72">
        <v>11</v>
      </c>
      <c r="L252" s="77">
        <v>2443</v>
      </c>
      <c r="M252" s="78" cm="1">
        <f t="array" ref="M252">L252*3.7</f>
        <v>9039.1</v>
      </c>
      <c r="N252" s="48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" customHeight="1">
      <c r="A253" t="s" s="68">
        <v>1292</v>
      </c>
      <c r="B253" s="55">
        <v>45944</v>
      </c>
      <c r="C253" s="52">
        <v>86</v>
      </c>
      <c r="D253" t="s" s="50">
        <v>276</v>
      </c>
      <c r="E253" t="s" s="50">
        <v>37</v>
      </c>
      <c r="F253" t="s" s="50">
        <v>1245</v>
      </c>
      <c r="G253" t="s" s="50">
        <v>1030</v>
      </c>
      <c r="H253" t="s" s="50">
        <v>1028</v>
      </c>
      <c r="I253" t="s" s="50">
        <v>50</v>
      </c>
      <c r="J253" s="55"/>
      <c r="K253" s="69"/>
      <c r="L253" s="75">
        <v>6977</v>
      </c>
      <c r="M253" s="76" cm="1">
        <f t="array" ref="M253">L253*3.7</f>
        <v>25814.9</v>
      </c>
      <c r="N253" s="48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" customHeight="1">
      <c r="A254" t="s" s="71">
        <v>1293</v>
      </c>
      <c r="B254" s="64">
        <v>46094</v>
      </c>
      <c r="C254" s="61">
        <v>86</v>
      </c>
      <c r="D254" t="s" s="59">
        <v>276</v>
      </c>
      <c r="E254" t="s" s="59">
        <v>37</v>
      </c>
      <c r="F254" t="s" s="59">
        <v>1242</v>
      </c>
      <c r="G254" t="s" s="59">
        <v>1033</v>
      </c>
      <c r="H254" t="s" s="59">
        <v>1028</v>
      </c>
      <c r="I254" t="s" s="59">
        <v>50</v>
      </c>
      <c r="J254" s="64"/>
      <c r="K254" s="72"/>
      <c r="L254" s="77">
        <v>3166</v>
      </c>
      <c r="M254" s="78" cm="1">
        <f t="array" ref="M254">L254*3.7</f>
        <v>11714.2</v>
      </c>
      <c r="N254" s="48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" customHeight="1">
      <c r="A255" t="s" s="68">
        <v>1294</v>
      </c>
      <c r="B255" s="55">
        <v>45976</v>
      </c>
      <c r="C255" s="52">
        <v>86</v>
      </c>
      <c r="D255" t="s" s="50">
        <v>276</v>
      </c>
      <c r="E255" t="s" s="50">
        <v>37</v>
      </c>
      <c r="F255" t="s" s="50">
        <v>1245</v>
      </c>
      <c r="G255" t="s" s="50">
        <v>1033</v>
      </c>
      <c r="H255" t="s" s="50">
        <v>1022</v>
      </c>
      <c r="I255" t="s" s="50">
        <v>50</v>
      </c>
      <c r="J255" s="55">
        <v>45987</v>
      </c>
      <c r="K255" s="69">
        <v>11</v>
      </c>
      <c r="L255" s="75">
        <v>2930</v>
      </c>
      <c r="M255" s="76" cm="1">
        <f t="array" ref="M255">L255*3.7</f>
        <v>10841</v>
      </c>
      <c r="N255" s="4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" customHeight="1">
      <c r="A256" t="s" s="71">
        <v>1295</v>
      </c>
      <c r="B256" s="64">
        <v>46087</v>
      </c>
      <c r="C256" s="61">
        <v>86</v>
      </c>
      <c r="D256" t="s" s="59">
        <v>276</v>
      </c>
      <c r="E256" t="s" s="59">
        <v>1094</v>
      </c>
      <c r="F256" t="s" s="59">
        <v>1248</v>
      </c>
      <c r="G256" t="s" s="59">
        <v>1030</v>
      </c>
      <c r="H256" t="s" s="59">
        <v>1022</v>
      </c>
      <c r="I256" t="s" s="59">
        <v>51</v>
      </c>
      <c r="J256" s="64">
        <v>46112</v>
      </c>
      <c r="K256" s="72">
        <v>25</v>
      </c>
      <c r="L256" s="77">
        <v>7642</v>
      </c>
      <c r="M256" s="78" cm="1">
        <f t="array" ref="M256">L256*3.7</f>
        <v>28275.4</v>
      </c>
      <c r="N256" s="4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" customHeight="1">
      <c r="A257" t="s" s="68">
        <v>1296</v>
      </c>
      <c r="B257" s="55">
        <v>46064</v>
      </c>
      <c r="C257" s="52">
        <v>87</v>
      </c>
      <c r="D257" t="s" s="50">
        <v>276</v>
      </c>
      <c r="E257" t="s" s="50">
        <v>1094</v>
      </c>
      <c r="F257" t="s" s="50">
        <v>1248</v>
      </c>
      <c r="G257" t="s" s="50">
        <v>1021</v>
      </c>
      <c r="H257" t="s" s="50">
        <v>1028</v>
      </c>
      <c r="I257" t="s" s="50">
        <v>51</v>
      </c>
      <c r="J257" s="55"/>
      <c r="K257" s="69"/>
      <c r="L257" s="75">
        <v>979</v>
      </c>
      <c r="M257" s="76" cm="1">
        <f t="array" ref="M257">L257*3.7</f>
        <v>3622.3</v>
      </c>
      <c r="N257" s="4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" customHeight="1">
      <c r="A258" t="s" s="71">
        <v>1297</v>
      </c>
      <c r="B258" s="64">
        <v>46075</v>
      </c>
      <c r="C258" s="61">
        <v>87</v>
      </c>
      <c r="D258" t="s" s="59">
        <v>276</v>
      </c>
      <c r="E258" t="s" s="59">
        <v>1094</v>
      </c>
      <c r="F258" t="s" s="59">
        <v>1248</v>
      </c>
      <c r="G258" t="s" s="59">
        <v>1021</v>
      </c>
      <c r="H258" t="s" s="59">
        <v>1028</v>
      </c>
      <c r="I258" t="s" s="59">
        <v>51</v>
      </c>
      <c r="J258" s="64"/>
      <c r="K258" s="72"/>
      <c r="L258" s="77">
        <v>826</v>
      </c>
      <c r="M258" s="78" cm="1">
        <f t="array" ref="M258">L258*3.7</f>
        <v>3056.2</v>
      </c>
      <c r="N258" s="4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" customHeight="1">
      <c r="A259" t="s" s="68">
        <v>1298</v>
      </c>
      <c r="B259" s="55">
        <v>46030</v>
      </c>
      <c r="C259" s="52">
        <v>87</v>
      </c>
      <c r="D259" t="s" s="50">
        <v>276</v>
      </c>
      <c r="E259" t="s" s="50">
        <v>1094</v>
      </c>
      <c r="F259" t="s" s="50">
        <v>1248</v>
      </c>
      <c r="G259" t="s" s="50">
        <v>1033</v>
      </c>
      <c r="H259" t="s" s="50">
        <v>1028</v>
      </c>
      <c r="I259" t="s" s="50">
        <v>51</v>
      </c>
      <c r="J259" s="55"/>
      <c r="K259" s="69"/>
      <c r="L259" s="75">
        <v>2971</v>
      </c>
      <c r="M259" s="76" cm="1">
        <f t="array" ref="M259">L259*3.7</f>
        <v>10992.7</v>
      </c>
      <c r="N259" s="4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" customHeight="1">
      <c r="A260" t="s" s="71">
        <v>1299</v>
      </c>
      <c r="B260" s="64">
        <v>46088</v>
      </c>
      <c r="C260" s="61">
        <v>87</v>
      </c>
      <c r="D260" t="s" s="59">
        <v>276</v>
      </c>
      <c r="E260" t="s" s="59">
        <v>37</v>
      </c>
      <c r="F260" t="s" s="59">
        <v>1245</v>
      </c>
      <c r="G260" t="s" s="59">
        <v>1060</v>
      </c>
      <c r="H260" t="s" s="59">
        <v>1022</v>
      </c>
      <c r="I260" t="s" s="59">
        <v>50</v>
      </c>
      <c r="J260" s="64">
        <v>46112</v>
      </c>
      <c r="K260" s="72">
        <v>24</v>
      </c>
      <c r="L260" s="77">
        <v>19028</v>
      </c>
      <c r="M260" s="78" cm="1">
        <f t="array" ref="M260">L260*3.7</f>
        <v>70403.600000000006</v>
      </c>
      <c r="N260" s="48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" customHeight="1">
      <c r="A261" t="s" s="68">
        <v>1300</v>
      </c>
      <c r="B261" s="55">
        <v>46087</v>
      </c>
      <c r="C261" s="52">
        <v>87</v>
      </c>
      <c r="D261" t="s" s="50">
        <v>276</v>
      </c>
      <c r="E261" t="s" s="50">
        <v>1094</v>
      </c>
      <c r="F261" t="s" s="50">
        <v>1248</v>
      </c>
      <c r="G261" t="s" s="50">
        <v>1021</v>
      </c>
      <c r="H261" t="s" s="50">
        <v>1022</v>
      </c>
      <c r="I261" t="s" s="50">
        <v>51</v>
      </c>
      <c r="J261" s="55">
        <v>46092</v>
      </c>
      <c r="K261" s="69">
        <v>5</v>
      </c>
      <c r="L261" s="75">
        <v>1066</v>
      </c>
      <c r="M261" s="76" cm="1">
        <f t="array" ref="M261">L261*3.7</f>
        <v>3944.2</v>
      </c>
      <c r="N261" s="4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" customHeight="1">
      <c r="A262" t="s" s="71">
        <v>1301</v>
      </c>
      <c r="B262" s="64">
        <v>45913</v>
      </c>
      <c r="C262" s="61">
        <v>87</v>
      </c>
      <c r="D262" t="s" s="59">
        <v>276</v>
      </c>
      <c r="E262" t="s" s="59">
        <v>37</v>
      </c>
      <c r="F262" t="s" s="59">
        <v>1245</v>
      </c>
      <c r="G262" t="s" s="59">
        <v>1021</v>
      </c>
      <c r="H262" t="s" s="59">
        <v>1022</v>
      </c>
      <c r="I262" t="s" s="59">
        <v>50</v>
      </c>
      <c r="J262" s="64">
        <v>45926</v>
      </c>
      <c r="K262" s="72">
        <v>13</v>
      </c>
      <c r="L262" s="77">
        <v>827</v>
      </c>
      <c r="M262" s="78" cm="1">
        <f t="array" ref="M262">L262*3.7</f>
        <v>3059.9</v>
      </c>
      <c r="N262" s="4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" customHeight="1">
      <c r="A263" t="s" s="68">
        <v>1302</v>
      </c>
      <c r="B263" s="55">
        <v>45946</v>
      </c>
      <c r="C263" s="52">
        <v>88</v>
      </c>
      <c r="D263" t="s" s="50">
        <v>276</v>
      </c>
      <c r="E263" t="s" s="50">
        <v>37</v>
      </c>
      <c r="F263" t="s" s="50">
        <v>1245</v>
      </c>
      <c r="G263" t="s" s="50">
        <v>1021</v>
      </c>
      <c r="H263" t="s" s="50">
        <v>1022</v>
      </c>
      <c r="I263" t="s" s="50">
        <v>50</v>
      </c>
      <c r="J263" s="55">
        <v>45952</v>
      </c>
      <c r="K263" s="69">
        <v>6</v>
      </c>
      <c r="L263" s="75">
        <v>909</v>
      </c>
      <c r="M263" s="76" cm="1">
        <f t="array" ref="M263">L263*3.7</f>
        <v>3363.3</v>
      </c>
      <c r="N263" s="48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" customHeight="1">
      <c r="A264" t="s" s="71">
        <v>1303</v>
      </c>
      <c r="B264" s="64">
        <v>46014</v>
      </c>
      <c r="C264" s="61">
        <v>88</v>
      </c>
      <c r="D264" t="s" s="59">
        <v>276</v>
      </c>
      <c r="E264" t="s" s="59">
        <v>37</v>
      </c>
      <c r="F264" t="s" s="59">
        <v>1242</v>
      </c>
      <c r="G264" t="s" s="59">
        <v>1021</v>
      </c>
      <c r="H264" t="s" s="59">
        <v>1022</v>
      </c>
      <c r="I264" t="s" s="59">
        <v>50</v>
      </c>
      <c r="J264" s="64">
        <v>46032</v>
      </c>
      <c r="K264" s="72">
        <v>18</v>
      </c>
      <c r="L264" s="77">
        <v>753</v>
      </c>
      <c r="M264" s="78" cm="1">
        <f t="array" ref="M264">L264*3.7</f>
        <v>2786.1</v>
      </c>
      <c r="N264" s="48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" customHeight="1">
      <c r="A265" t="s" s="68">
        <v>1304</v>
      </c>
      <c r="B265" s="55">
        <v>46101</v>
      </c>
      <c r="C265" s="52">
        <v>88</v>
      </c>
      <c r="D265" t="s" s="50">
        <v>276</v>
      </c>
      <c r="E265" t="s" s="50">
        <v>1166</v>
      </c>
      <c r="F265" t="s" s="50">
        <v>1239</v>
      </c>
      <c r="G265" t="s" s="50">
        <v>1021</v>
      </c>
      <c r="H265" t="s" s="50">
        <v>1022</v>
      </c>
      <c r="I265" t="s" s="50">
        <v>49</v>
      </c>
      <c r="J265" s="55">
        <v>46112</v>
      </c>
      <c r="K265" s="69">
        <v>11</v>
      </c>
      <c r="L265" s="75">
        <v>832</v>
      </c>
      <c r="M265" s="76" cm="1">
        <f t="array" ref="M265">L265*3.7</f>
        <v>3078.4</v>
      </c>
      <c r="N265" s="48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" customHeight="1">
      <c r="A266" t="s" s="71">
        <v>1305</v>
      </c>
      <c r="B266" s="64">
        <v>46088</v>
      </c>
      <c r="C266" s="61">
        <v>88</v>
      </c>
      <c r="D266" t="s" s="59">
        <v>276</v>
      </c>
      <c r="E266" t="s" s="59">
        <v>37</v>
      </c>
      <c r="F266" t="s" s="59">
        <v>1245</v>
      </c>
      <c r="G266" t="s" s="59">
        <v>1021</v>
      </c>
      <c r="H266" t="s" s="59">
        <v>1022</v>
      </c>
      <c r="I266" t="s" s="59">
        <v>50</v>
      </c>
      <c r="J266" s="64">
        <v>46106</v>
      </c>
      <c r="K266" s="72">
        <v>18</v>
      </c>
      <c r="L266" s="77">
        <v>981</v>
      </c>
      <c r="M266" s="78" cm="1">
        <f t="array" ref="M266">L266*3.7</f>
        <v>3629.7</v>
      </c>
      <c r="N266" s="48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" customHeight="1">
      <c r="A267" t="s" s="68">
        <v>1306</v>
      </c>
      <c r="B267" s="55">
        <v>45877</v>
      </c>
      <c r="C267" s="52">
        <v>89</v>
      </c>
      <c r="D267" t="s" s="50">
        <v>276</v>
      </c>
      <c r="E267" t="s" s="50">
        <v>37</v>
      </c>
      <c r="F267" t="s" s="50">
        <v>1242</v>
      </c>
      <c r="G267" t="s" s="50">
        <v>1021</v>
      </c>
      <c r="H267" t="s" s="50">
        <v>1022</v>
      </c>
      <c r="I267" t="s" s="50">
        <v>50</v>
      </c>
      <c r="J267" s="55">
        <v>45887</v>
      </c>
      <c r="K267" s="69">
        <v>10</v>
      </c>
      <c r="L267" s="75">
        <v>905</v>
      </c>
      <c r="M267" s="76" cm="1">
        <f t="array" ref="M267">L267*3.7</f>
        <v>3348.5</v>
      </c>
      <c r="N267" s="48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" customHeight="1">
      <c r="A268" t="s" s="71">
        <v>1307</v>
      </c>
      <c r="B268" s="64">
        <v>45936</v>
      </c>
      <c r="C268" s="61">
        <v>89</v>
      </c>
      <c r="D268" t="s" s="59">
        <v>276</v>
      </c>
      <c r="E268" t="s" s="59">
        <v>37</v>
      </c>
      <c r="F268" t="s" s="59">
        <v>1245</v>
      </c>
      <c r="G268" t="s" s="59">
        <v>1033</v>
      </c>
      <c r="H268" t="s" s="59">
        <v>1022</v>
      </c>
      <c r="I268" t="s" s="59">
        <v>50</v>
      </c>
      <c r="J268" s="64">
        <v>45957</v>
      </c>
      <c r="K268" s="72">
        <v>21</v>
      </c>
      <c r="L268" s="77">
        <v>3134</v>
      </c>
      <c r="M268" s="78" cm="1">
        <f t="array" ref="M268">L268*3.7</f>
        <v>11595.8</v>
      </c>
      <c r="N268" s="48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" customHeight="1">
      <c r="A269" t="s" s="68">
        <v>1308</v>
      </c>
      <c r="B269" s="55">
        <v>45893</v>
      </c>
      <c r="C269" s="52">
        <v>89</v>
      </c>
      <c r="D269" t="s" s="50">
        <v>276</v>
      </c>
      <c r="E269" t="s" s="50">
        <v>1166</v>
      </c>
      <c r="F269" t="s" s="50">
        <v>1239</v>
      </c>
      <c r="G269" t="s" s="50">
        <v>1021</v>
      </c>
      <c r="H269" t="s" s="50">
        <v>1022</v>
      </c>
      <c r="I269" t="s" s="50">
        <v>49</v>
      </c>
      <c r="J269" s="55">
        <v>45903</v>
      </c>
      <c r="K269" s="69">
        <v>10</v>
      </c>
      <c r="L269" s="75">
        <v>749</v>
      </c>
      <c r="M269" s="76" cm="1">
        <f t="array" ref="M269">L269*3.7</f>
        <v>2771.3</v>
      </c>
      <c r="N269" s="48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" customHeight="1">
      <c r="A270" t="s" s="71">
        <v>1309</v>
      </c>
      <c r="B270" s="64">
        <v>45965</v>
      </c>
      <c r="C270" s="61">
        <v>89</v>
      </c>
      <c r="D270" t="s" s="59">
        <v>276</v>
      </c>
      <c r="E270" t="s" s="59">
        <v>37</v>
      </c>
      <c r="F270" t="s" s="59">
        <v>1245</v>
      </c>
      <c r="G270" t="s" s="59">
        <v>1030</v>
      </c>
      <c r="H270" t="s" s="59">
        <v>1022</v>
      </c>
      <c r="I270" t="s" s="59">
        <v>50</v>
      </c>
      <c r="J270" s="64">
        <v>45984</v>
      </c>
      <c r="K270" s="72">
        <v>19</v>
      </c>
      <c r="L270" s="77">
        <v>6548</v>
      </c>
      <c r="M270" s="78" cm="1">
        <f t="array" ref="M270">L270*3.7</f>
        <v>24227.6</v>
      </c>
      <c r="N270" s="48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" customHeight="1">
      <c r="A271" t="s" s="68">
        <v>1310</v>
      </c>
      <c r="B271" s="55">
        <v>45941</v>
      </c>
      <c r="C271" s="52">
        <v>89</v>
      </c>
      <c r="D271" t="s" s="50">
        <v>276</v>
      </c>
      <c r="E271" t="s" s="50">
        <v>1094</v>
      </c>
      <c r="F271" t="s" s="50">
        <v>1248</v>
      </c>
      <c r="G271" t="s" s="50">
        <v>1021</v>
      </c>
      <c r="H271" t="s" s="50">
        <v>1022</v>
      </c>
      <c r="I271" t="s" s="50">
        <v>51</v>
      </c>
      <c r="J271" s="55">
        <v>45952</v>
      </c>
      <c r="K271" s="69">
        <v>11</v>
      </c>
      <c r="L271" s="75">
        <v>1077</v>
      </c>
      <c r="M271" s="76" cm="1">
        <f t="array" ref="M271">L271*3.7</f>
        <v>3984.9</v>
      </c>
      <c r="N271" s="4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" customHeight="1">
      <c r="A272" t="s" s="71">
        <v>1311</v>
      </c>
      <c r="B272" s="64">
        <v>45933</v>
      </c>
      <c r="C272" s="61">
        <v>89</v>
      </c>
      <c r="D272" t="s" s="59">
        <v>276</v>
      </c>
      <c r="E272" t="s" s="59">
        <v>37</v>
      </c>
      <c r="F272" t="s" s="59">
        <v>1245</v>
      </c>
      <c r="G272" t="s" s="59">
        <v>1021</v>
      </c>
      <c r="H272" t="s" s="59">
        <v>1022</v>
      </c>
      <c r="I272" t="s" s="59">
        <v>50</v>
      </c>
      <c r="J272" s="64">
        <v>45944</v>
      </c>
      <c r="K272" s="72">
        <v>11</v>
      </c>
      <c r="L272" s="77">
        <v>1009</v>
      </c>
      <c r="M272" s="78" cm="1">
        <f t="array" ref="M272">L272*3.7</f>
        <v>3733.3</v>
      </c>
      <c r="N272" s="48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" customHeight="1">
      <c r="A273" t="s" s="68">
        <v>1312</v>
      </c>
      <c r="B273" s="55">
        <v>45912</v>
      </c>
      <c r="C273" s="52">
        <v>90</v>
      </c>
      <c r="D273" t="s" s="50">
        <v>276</v>
      </c>
      <c r="E273" t="s" s="50">
        <v>1166</v>
      </c>
      <c r="F273" t="s" s="50">
        <v>1239</v>
      </c>
      <c r="G273" t="s" s="50">
        <v>1033</v>
      </c>
      <c r="H273" t="s" s="50">
        <v>1022</v>
      </c>
      <c r="I273" t="s" s="50">
        <v>49</v>
      </c>
      <c r="J273" s="55">
        <v>45917</v>
      </c>
      <c r="K273" s="69">
        <v>5</v>
      </c>
      <c r="L273" s="75">
        <v>3166</v>
      </c>
      <c r="M273" s="76" cm="1">
        <f t="array" ref="M273">L273*3.7</f>
        <v>11714.2</v>
      </c>
      <c r="N273" s="48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" customHeight="1">
      <c r="A274" t="s" s="71">
        <v>1313</v>
      </c>
      <c r="B274" s="64">
        <v>46111</v>
      </c>
      <c r="C274" s="61">
        <v>90</v>
      </c>
      <c r="D274" t="s" s="59">
        <v>276</v>
      </c>
      <c r="E274" t="s" s="59">
        <v>1094</v>
      </c>
      <c r="F274" t="s" s="59">
        <v>1248</v>
      </c>
      <c r="G274" t="s" s="59">
        <v>1021</v>
      </c>
      <c r="H274" t="s" s="59">
        <v>1022</v>
      </c>
      <c r="I274" t="s" s="59">
        <v>51</v>
      </c>
      <c r="J274" s="64">
        <v>46112</v>
      </c>
      <c r="K274" s="72">
        <v>1</v>
      </c>
      <c r="L274" s="77">
        <v>836</v>
      </c>
      <c r="M274" s="78" cm="1">
        <f t="array" ref="M274">L274*3.7</f>
        <v>3093.2</v>
      </c>
      <c r="N274" s="4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" customHeight="1">
      <c r="A275" t="s" s="68">
        <v>1314</v>
      </c>
      <c r="B275" s="55">
        <v>46089</v>
      </c>
      <c r="C275" s="52">
        <v>90</v>
      </c>
      <c r="D275" t="s" s="50">
        <v>276</v>
      </c>
      <c r="E275" t="s" s="50">
        <v>1166</v>
      </c>
      <c r="F275" t="s" s="50">
        <v>1239</v>
      </c>
      <c r="G275" t="s" s="50">
        <v>1033</v>
      </c>
      <c r="H275" t="s" s="50">
        <v>1028</v>
      </c>
      <c r="I275" t="s" s="50">
        <v>49</v>
      </c>
      <c r="J275" s="55"/>
      <c r="K275" s="69"/>
      <c r="L275" s="75">
        <v>2429</v>
      </c>
      <c r="M275" s="76" cm="1">
        <f t="array" ref="M275">L275*3.7</f>
        <v>8987.299999999999</v>
      </c>
      <c r="N275" s="4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" customHeight="1">
      <c r="A276" t="s" s="71">
        <v>1315</v>
      </c>
      <c r="B276" s="64">
        <v>46110</v>
      </c>
      <c r="C276" s="61">
        <v>90</v>
      </c>
      <c r="D276" t="s" s="59">
        <v>276</v>
      </c>
      <c r="E276" t="s" s="59">
        <v>37</v>
      </c>
      <c r="F276" t="s" s="59">
        <v>1242</v>
      </c>
      <c r="G276" t="s" s="59">
        <v>1021</v>
      </c>
      <c r="H276" t="s" s="59">
        <v>1022</v>
      </c>
      <c r="I276" t="s" s="59">
        <v>50</v>
      </c>
      <c r="J276" s="64">
        <v>46112</v>
      </c>
      <c r="K276" s="72">
        <v>2</v>
      </c>
      <c r="L276" s="77">
        <v>1036</v>
      </c>
      <c r="M276" s="78" cm="1">
        <f t="array" ref="M276">L276*3.7</f>
        <v>3833.2</v>
      </c>
      <c r="N276" s="48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" customHeight="1">
      <c r="A277" t="s" s="68">
        <v>1316</v>
      </c>
      <c r="B277" s="55">
        <v>45863</v>
      </c>
      <c r="C277" s="52">
        <v>90</v>
      </c>
      <c r="D277" t="s" s="50">
        <v>276</v>
      </c>
      <c r="E277" t="s" s="50">
        <v>37</v>
      </c>
      <c r="F277" t="s" s="50">
        <v>1242</v>
      </c>
      <c r="G277" t="s" s="50">
        <v>1021</v>
      </c>
      <c r="H277" t="s" s="50">
        <v>1022</v>
      </c>
      <c r="I277" t="s" s="50">
        <v>50</v>
      </c>
      <c r="J277" s="55">
        <v>45870</v>
      </c>
      <c r="K277" s="69">
        <v>7</v>
      </c>
      <c r="L277" s="75">
        <v>1050</v>
      </c>
      <c r="M277" s="76" cm="1">
        <f t="array" ref="M277">L277*3.7</f>
        <v>3885</v>
      </c>
      <c r="N277" s="48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" customHeight="1">
      <c r="A278" t="s" s="71">
        <v>1317</v>
      </c>
      <c r="B278" s="64">
        <v>45919</v>
      </c>
      <c r="C278" s="61">
        <v>91</v>
      </c>
      <c r="D278" t="s" s="59">
        <v>278</v>
      </c>
      <c r="E278" t="s" s="59">
        <v>1166</v>
      </c>
      <c r="F278" t="s" s="59">
        <v>1239</v>
      </c>
      <c r="G278" t="s" s="59">
        <v>1021</v>
      </c>
      <c r="H278" t="s" s="59">
        <v>1028</v>
      </c>
      <c r="I278" t="s" s="59">
        <v>49</v>
      </c>
      <c r="J278" s="64"/>
      <c r="K278" s="72"/>
      <c r="L278" s="77">
        <v>997</v>
      </c>
      <c r="M278" s="78" cm="1">
        <f t="array" ref="M278">L278*3.7</f>
        <v>3688.9</v>
      </c>
      <c r="N278" s="48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" customHeight="1">
      <c r="A279" t="s" s="68">
        <v>1318</v>
      </c>
      <c r="B279" s="55">
        <v>46105</v>
      </c>
      <c r="C279" s="52">
        <v>91</v>
      </c>
      <c r="D279" t="s" s="50">
        <v>278</v>
      </c>
      <c r="E279" t="s" s="50">
        <v>37</v>
      </c>
      <c r="F279" t="s" s="50">
        <v>1242</v>
      </c>
      <c r="G279" t="s" s="50">
        <v>1021</v>
      </c>
      <c r="H279" t="s" s="50">
        <v>1022</v>
      </c>
      <c r="I279" t="s" s="50">
        <v>50</v>
      </c>
      <c r="J279" s="55">
        <v>46112</v>
      </c>
      <c r="K279" s="69">
        <v>7</v>
      </c>
      <c r="L279" s="75">
        <v>882</v>
      </c>
      <c r="M279" s="76" cm="1">
        <f t="array" ref="M279">L279*3.7</f>
        <v>3263.4</v>
      </c>
      <c r="N279" s="4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" customHeight="1">
      <c r="A280" t="s" s="71">
        <v>1319</v>
      </c>
      <c r="B280" s="64">
        <v>46100</v>
      </c>
      <c r="C280" s="61">
        <v>91</v>
      </c>
      <c r="D280" t="s" s="59">
        <v>278</v>
      </c>
      <c r="E280" t="s" s="59">
        <v>37</v>
      </c>
      <c r="F280" t="s" s="59">
        <v>1242</v>
      </c>
      <c r="G280" t="s" s="59">
        <v>1030</v>
      </c>
      <c r="H280" t="s" s="59">
        <v>1022</v>
      </c>
      <c r="I280" t="s" s="59">
        <v>50</v>
      </c>
      <c r="J280" s="64">
        <v>46112</v>
      </c>
      <c r="K280" s="72">
        <v>12</v>
      </c>
      <c r="L280" s="77">
        <v>6080</v>
      </c>
      <c r="M280" s="78" cm="1">
        <f t="array" ref="M280">L280*3.7</f>
        <v>22496</v>
      </c>
      <c r="N280" s="48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" customHeight="1">
      <c r="A281" t="s" s="68">
        <v>1320</v>
      </c>
      <c r="B281" s="55">
        <v>45896</v>
      </c>
      <c r="C281" s="52">
        <v>91</v>
      </c>
      <c r="D281" t="s" s="50">
        <v>278</v>
      </c>
      <c r="E281" t="s" s="50">
        <v>1166</v>
      </c>
      <c r="F281" t="s" s="50">
        <v>1239</v>
      </c>
      <c r="G281" t="s" s="50">
        <v>1021</v>
      </c>
      <c r="H281" t="s" s="50">
        <v>1022</v>
      </c>
      <c r="I281" t="s" s="50">
        <v>49</v>
      </c>
      <c r="J281" s="55">
        <v>45899</v>
      </c>
      <c r="K281" s="69">
        <v>3</v>
      </c>
      <c r="L281" s="75">
        <v>947</v>
      </c>
      <c r="M281" s="76" cm="1">
        <f t="array" ref="M281">L281*3.7</f>
        <v>3503.9</v>
      </c>
      <c r="N281" s="48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" customHeight="1">
      <c r="A282" t="s" s="71">
        <v>1321</v>
      </c>
      <c r="B282" s="64">
        <v>46086</v>
      </c>
      <c r="C282" s="61">
        <v>91</v>
      </c>
      <c r="D282" t="s" s="59">
        <v>278</v>
      </c>
      <c r="E282" t="s" s="59">
        <v>37</v>
      </c>
      <c r="F282" t="s" s="59">
        <v>1245</v>
      </c>
      <c r="G282" t="s" s="59">
        <v>1021</v>
      </c>
      <c r="H282" t="s" s="59">
        <v>1028</v>
      </c>
      <c r="I282" t="s" s="59">
        <v>50</v>
      </c>
      <c r="J282" s="64"/>
      <c r="K282" s="72"/>
      <c r="L282" s="77">
        <v>756</v>
      </c>
      <c r="M282" s="78" cm="1">
        <f t="array" ref="M282">L282*3.7</f>
        <v>2797.2</v>
      </c>
      <c r="N282" s="48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" customHeight="1">
      <c r="A283" t="s" s="68">
        <v>1322</v>
      </c>
      <c r="B283" s="55">
        <v>46016</v>
      </c>
      <c r="C283" s="52">
        <v>91</v>
      </c>
      <c r="D283" t="s" s="50">
        <v>278</v>
      </c>
      <c r="E283" t="s" s="50">
        <v>37</v>
      </c>
      <c r="F283" t="s" s="50">
        <v>1245</v>
      </c>
      <c r="G283" t="s" s="50">
        <v>1021</v>
      </c>
      <c r="H283" t="s" s="50">
        <v>1022</v>
      </c>
      <c r="I283" t="s" s="50">
        <v>50</v>
      </c>
      <c r="J283" s="55">
        <v>46024</v>
      </c>
      <c r="K283" s="69">
        <v>8</v>
      </c>
      <c r="L283" s="75">
        <v>1061</v>
      </c>
      <c r="M283" s="76" cm="1">
        <f t="array" ref="M283">L283*3.7</f>
        <v>3925.7</v>
      </c>
      <c r="N283" s="48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" customHeight="1">
      <c r="A284" t="s" s="71">
        <v>1323</v>
      </c>
      <c r="B284" s="64">
        <v>46103</v>
      </c>
      <c r="C284" s="61">
        <v>92</v>
      </c>
      <c r="D284" t="s" s="59">
        <v>278</v>
      </c>
      <c r="E284" t="s" s="59">
        <v>37</v>
      </c>
      <c r="F284" t="s" s="59">
        <v>1242</v>
      </c>
      <c r="G284" t="s" s="59">
        <v>1021</v>
      </c>
      <c r="H284" t="s" s="59">
        <v>1022</v>
      </c>
      <c r="I284" t="s" s="59">
        <v>50</v>
      </c>
      <c r="J284" s="64">
        <v>46112</v>
      </c>
      <c r="K284" s="72">
        <v>9</v>
      </c>
      <c r="L284" s="77">
        <v>943</v>
      </c>
      <c r="M284" s="78" cm="1">
        <f t="array" ref="M284">L284*3.7</f>
        <v>3489.1</v>
      </c>
      <c r="N284" s="48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" customHeight="1">
      <c r="A285" t="s" s="68">
        <v>1324</v>
      </c>
      <c r="B285" s="55">
        <v>46088</v>
      </c>
      <c r="C285" s="52">
        <v>92</v>
      </c>
      <c r="D285" t="s" s="50">
        <v>278</v>
      </c>
      <c r="E285" t="s" s="50">
        <v>37</v>
      </c>
      <c r="F285" t="s" s="50">
        <v>1245</v>
      </c>
      <c r="G285" t="s" s="50">
        <v>1033</v>
      </c>
      <c r="H285" t="s" s="50">
        <v>1022</v>
      </c>
      <c r="I285" t="s" s="50">
        <v>50</v>
      </c>
      <c r="J285" s="55">
        <v>46104</v>
      </c>
      <c r="K285" s="69">
        <v>16</v>
      </c>
      <c r="L285" s="75">
        <v>2853</v>
      </c>
      <c r="M285" s="76" cm="1">
        <f t="array" ref="M285">L285*3.7</f>
        <v>10556.1</v>
      </c>
      <c r="N285" s="48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" customHeight="1">
      <c r="A286" t="s" s="71">
        <v>1325</v>
      </c>
      <c r="B286" s="64">
        <v>46105</v>
      </c>
      <c r="C286" s="61">
        <v>92</v>
      </c>
      <c r="D286" t="s" s="59">
        <v>278</v>
      </c>
      <c r="E286" t="s" s="59">
        <v>1094</v>
      </c>
      <c r="F286" t="s" s="59">
        <v>1248</v>
      </c>
      <c r="G286" t="s" s="59">
        <v>1030</v>
      </c>
      <c r="H286" t="s" s="59">
        <v>1028</v>
      </c>
      <c r="I286" t="s" s="59">
        <v>51</v>
      </c>
      <c r="J286" s="64"/>
      <c r="K286" s="72"/>
      <c r="L286" s="77">
        <v>6237</v>
      </c>
      <c r="M286" s="78" cm="1">
        <f t="array" ref="M286">L286*3.7</f>
        <v>23076.9</v>
      </c>
      <c r="N286" s="48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" customHeight="1">
      <c r="A287" t="s" s="68">
        <v>1326</v>
      </c>
      <c r="B287" s="55">
        <v>46080</v>
      </c>
      <c r="C287" s="52">
        <v>92</v>
      </c>
      <c r="D287" t="s" s="50">
        <v>278</v>
      </c>
      <c r="E287" t="s" s="50">
        <v>1094</v>
      </c>
      <c r="F287" t="s" s="50">
        <v>1248</v>
      </c>
      <c r="G287" t="s" s="50">
        <v>1021</v>
      </c>
      <c r="H287" t="s" s="50">
        <v>1028</v>
      </c>
      <c r="I287" t="s" s="50">
        <v>51</v>
      </c>
      <c r="J287" s="55"/>
      <c r="K287" s="69"/>
      <c r="L287" s="75">
        <v>797</v>
      </c>
      <c r="M287" s="76" cm="1">
        <f t="array" ref="M287">L287*3.7</f>
        <v>2948.9</v>
      </c>
      <c r="N287" s="48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" customHeight="1">
      <c r="A288" t="s" s="71">
        <v>1327</v>
      </c>
      <c r="B288" s="64">
        <v>46094</v>
      </c>
      <c r="C288" s="61">
        <v>92</v>
      </c>
      <c r="D288" t="s" s="59">
        <v>278</v>
      </c>
      <c r="E288" t="s" s="59">
        <v>37</v>
      </c>
      <c r="F288" t="s" s="59">
        <v>1242</v>
      </c>
      <c r="G288" t="s" s="59">
        <v>1030</v>
      </c>
      <c r="H288" t="s" s="59">
        <v>1022</v>
      </c>
      <c r="I288" t="s" s="59">
        <v>50</v>
      </c>
      <c r="J288" s="64">
        <v>46112</v>
      </c>
      <c r="K288" s="72">
        <v>18</v>
      </c>
      <c r="L288" s="77">
        <v>6842</v>
      </c>
      <c r="M288" s="78" cm="1">
        <f t="array" ref="M288">L288*3.7</f>
        <v>25315.4</v>
      </c>
      <c r="N288" s="4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" customHeight="1">
      <c r="A289" t="s" s="68">
        <v>1328</v>
      </c>
      <c r="B289" s="55">
        <v>46099</v>
      </c>
      <c r="C289" s="52">
        <v>92</v>
      </c>
      <c r="D289" t="s" s="50">
        <v>278</v>
      </c>
      <c r="E289" t="s" s="50">
        <v>1166</v>
      </c>
      <c r="F289" t="s" s="50">
        <v>1239</v>
      </c>
      <c r="G289" t="s" s="50">
        <v>1030</v>
      </c>
      <c r="H289" t="s" s="50">
        <v>1022</v>
      </c>
      <c r="I289" t="s" s="50">
        <v>49</v>
      </c>
      <c r="J289" s="55">
        <v>46112</v>
      </c>
      <c r="K289" s="69">
        <v>13</v>
      </c>
      <c r="L289" s="75">
        <v>8745</v>
      </c>
      <c r="M289" s="76" cm="1">
        <f t="array" ref="M289">L289*3.7</f>
        <v>32356.5</v>
      </c>
      <c r="N289" s="4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" customHeight="1">
      <c r="A290" t="s" s="71">
        <v>1329</v>
      </c>
      <c r="B290" s="64">
        <v>45902</v>
      </c>
      <c r="C290" s="61">
        <v>92</v>
      </c>
      <c r="D290" t="s" s="59">
        <v>278</v>
      </c>
      <c r="E290" t="s" s="59">
        <v>1094</v>
      </c>
      <c r="F290" t="s" s="59">
        <v>1248</v>
      </c>
      <c r="G290" t="s" s="59">
        <v>1033</v>
      </c>
      <c r="H290" t="s" s="59">
        <v>1022</v>
      </c>
      <c r="I290" t="s" s="59">
        <v>51</v>
      </c>
      <c r="J290" s="64">
        <v>45914</v>
      </c>
      <c r="K290" s="72">
        <v>12</v>
      </c>
      <c r="L290" s="77">
        <v>3128</v>
      </c>
      <c r="M290" s="78" cm="1">
        <f t="array" ref="M290">L290*3.7</f>
        <v>11573.6</v>
      </c>
      <c r="N290" s="4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" customHeight="1">
      <c r="A291" t="s" s="68">
        <v>1330</v>
      </c>
      <c r="B291" s="55">
        <v>45917</v>
      </c>
      <c r="C291" s="52">
        <v>93</v>
      </c>
      <c r="D291" t="s" s="50">
        <v>278</v>
      </c>
      <c r="E291" t="s" s="50">
        <v>37</v>
      </c>
      <c r="F291" t="s" s="50">
        <v>1245</v>
      </c>
      <c r="G291" t="s" s="50">
        <v>1021</v>
      </c>
      <c r="H291" t="s" s="50">
        <v>1022</v>
      </c>
      <c r="I291" t="s" s="50">
        <v>50</v>
      </c>
      <c r="J291" s="55">
        <v>45923</v>
      </c>
      <c r="K291" s="69">
        <v>6</v>
      </c>
      <c r="L291" s="75">
        <v>1068</v>
      </c>
      <c r="M291" s="76" cm="1">
        <f t="array" ref="M291">L291*3.7</f>
        <v>3951.6</v>
      </c>
      <c r="N291" s="4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" customHeight="1">
      <c r="A292" t="s" s="71">
        <v>1331</v>
      </c>
      <c r="B292" s="64">
        <v>46108</v>
      </c>
      <c r="C292" s="61">
        <v>93</v>
      </c>
      <c r="D292" t="s" s="59">
        <v>278</v>
      </c>
      <c r="E292" t="s" s="59">
        <v>1166</v>
      </c>
      <c r="F292" t="s" s="59">
        <v>1239</v>
      </c>
      <c r="G292" t="s" s="59">
        <v>1021</v>
      </c>
      <c r="H292" t="s" s="59">
        <v>1028</v>
      </c>
      <c r="I292" t="s" s="59">
        <v>49</v>
      </c>
      <c r="J292" s="64"/>
      <c r="K292" s="72"/>
      <c r="L292" s="77">
        <v>775</v>
      </c>
      <c r="M292" s="78" cm="1">
        <f t="array" ref="M292">L292*3.7</f>
        <v>2867.5</v>
      </c>
      <c r="N292" s="4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" customHeight="1">
      <c r="A293" t="s" s="68">
        <v>1332</v>
      </c>
      <c r="B293" s="55">
        <v>46098</v>
      </c>
      <c r="C293" s="52">
        <v>93</v>
      </c>
      <c r="D293" t="s" s="50">
        <v>278</v>
      </c>
      <c r="E293" t="s" s="50">
        <v>37</v>
      </c>
      <c r="F293" t="s" s="50">
        <v>1245</v>
      </c>
      <c r="G293" t="s" s="50">
        <v>1030</v>
      </c>
      <c r="H293" t="s" s="50">
        <v>1028</v>
      </c>
      <c r="I293" t="s" s="50">
        <v>50</v>
      </c>
      <c r="J293" s="55"/>
      <c r="K293" s="69"/>
      <c r="L293" s="75">
        <v>5915</v>
      </c>
      <c r="M293" s="76" cm="1">
        <f t="array" ref="M293">L293*3.7</f>
        <v>21885.5</v>
      </c>
      <c r="N293" s="4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" customHeight="1">
      <c r="A294" t="s" s="71">
        <v>1333</v>
      </c>
      <c r="B294" s="64">
        <v>46100</v>
      </c>
      <c r="C294" s="61">
        <v>93</v>
      </c>
      <c r="D294" t="s" s="59">
        <v>278</v>
      </c>
      <c r="E294" t="s" s="59">
        <v>37</v>
      </c>
      <c r="F294" t="s" s="59">
        <v>1242</v>
      </c>
      <c r="G294" t="s" s="59">
        <v>1033</v>
      </c>
      <c r="H294" t="s" s="59">
        <v>1028</v>
      </c>
      <c r="I294" t="s" s="59">
        <v>50</v>
      </c>
      <c r="J294" s="64"/>
      <c r="K294" s="72"/>
      <c r="L294" s="77">
        <v>2761</v>
      </c>
      <c r="M294" s="78" cm="1">
        <f t="array" ref="M294">L294*3.7</f>
        <v>10215.7</v>
      </c>
      <c r="N294" s="48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" customHeight="1">
      <c r="A295" t="s" s="68">
        <v>1334</v>
      </c>
      <c r="B295" s="55">
        <v>46090</v>
      </c>
      <c r="C295" s="52">
        <v>94</v>
      </c>
      <c r="D295" t="s" s="50">
        <v>278</v>
      </c>
      <c r="E295" t="s" s="50">
        <v>1166</v>
      </c>
      <c r="F295" t="s" s="50">
        <v>1239</v>
      </c>
      <c r="G295" t="s" s="50">
        <v>1021</v>
      </c>
      <c r="H295" t="s" s="50">
        <v>1022</v>
      </c>
      <c r="I295" t="s" s="50">
        <v>49</v>
      </c>
      <c r="J295" s="55">
        <v>46096</v>
      </c>
      <c r="K295" s="69">
        <v>6</v>
      </c>
      <c r="L295" s="75">
        <v>866</v>
      </c>
      <c r="M295" s="76" cm="1">
        <f t="array" ref="M295">L295*3.7</f>
        <v>3204.2</v>
      </c>
      <c r="N295" s="4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" customHeight="1">
      <c r="A296" t="s" s="71">
        <v>1335</v>
      </c>
      <c r="B296" s="64">
        <v>45959</v>
      </c>
      <c r="C296" s="61">
        <v>94</v>
      </c>
      <c r="D296" t="s" s="59">
        <v>278</v>
      </c>
      <c r="E296" t="s" s="59">
        <v>1166</v>
      </c>
      <c r="F296" t="s" s="59">
        <v>1239</v>
      </c>
      <c r="G296" t="s" s="59">
        <v>1033</v>
      </c>
      <c r="H296" t="s" s="59">
        <v>1028</v>
      </c>
      <c r="I296" t="s" s="59">
        <v>49</v>
      </c>
      <c r="J296" s="64"/>
      <c r="K296" s="72"/>
      <c r="L296" s="77">
        <v>2854</v>
      </c>
      <c r="M296" s="78" cm="1">
        <f t="array" ref="M296">L296*3.7</f>
        <v>10559.8</v>
      </c>
      <c r="N296" s="4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" customHeight="1">
      <c r="A297" t="s" s="68">
        <v>1336</v>
      </c>
      <c r="B297" s="55">
        <v>46071</v>
      </c>
      <c r="C297" s="52">
        <v>94</v>
      </c>
      <c r="D297" t="s" s="50">
        <v>278</v>
      </c>
      <c r="E297" t="s" s="50">
        <v>37</v>
      </c>
      <c r="F297" t="s" s="50">
        <v>1245</v>
      </c>
      <c r="G297" t="s" s="50">
        <v>1030</v>
      </c>
      <c r="H297" t="s" s="50">
        <v>1022</v>
      </c>
      <c r="I297" t="s" s="50">
        <v>50</v>
      </c>
      <c r="J297" s="55">
        <v>46094</v>
      </c>
      <c r="K297" s="69">
        <v>23</v>
      </c>
      <c r="L297" s="75">
        <v>6137</v>
      </c>
      <c r="M297" s="76" cm="1">
        <f t="array" ref="M297">L297*3.7</f>
        <v>22706.9</v>
      </c>
      <c r="N297" s="48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" customHeight="1">
      <c r="A298" t="s" s="71">
        <v>1337</v>
      </c>
      <c r="B298" s="64">
        <v>45968</v>
      </c>
      <c r="C298" s="61">
        <v>94</v>
      </c>
      <c r="D298" t="s" s="59">
        <v>278</v>
      </c>
      <c r="E298" t="s" s="59">
        <v>37</v>
      </c>
      <c r="F298" t="s" s="59">
        <v>1245</v>
      </c>
      <c r="G298" t="s" s="59">
        <v>1033</v>
      </c>
      <c r="H298" t="s" s="59">
        <v>1022</v>
      </c>
      <c r="I298" t="s" s="59">
        <v>50</v>
      </c>
      <c r="J298" s="64">
        <v>45986</v>
      </c>
      <c r="K298" s="72">
        <v>18</v>
      </c>
      <c r="L298" s="77">
        <v>2741</v>
      </c>
      <c r="M298" s="78" cm="1">
        <f t="array" ref="M298">L298*3.7</f>
        <v>10141.7</v>
      </c>
      <c r="N298" s="48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" customHeight="1">
      <c r="A299" t="s" s="68">
        <v>1338</v>
      </c>
      <c r="B299" s="55">
        <v>46067</v>
      </c>
      <c r="C299" s="52">
        <v>94</v>
      </c>
      <c r="D299" t="s" s="50">
        <v>278</v>
      </c>
      <c r="E299" t="s" s="50">
        <v>1166</v>
      </c>
      <c r="F299" t="s" s="50">
        <v>1239</v>
      </c>
      <c r="G299" t="s" s="50">
        <v>1033</v>
      </c>
      <c r="H299" t="s" s="50">
        <v>1028</v>
      </c>
      <c r="I299" t="s" s="50">
        <v>49</v>
      </c>
      <c r="J299" s="55"/>
      <c r="K299" s="69"/>
      <c r="L299" s="75">
        <v>3075</v>
      </c>
      <c r="M299" s="76" cm="1">
        <f t="array" ref="M299">L299*3.7</f>
        <v>11377.5</v>
      </c>
      <c r="N299" s="48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" customHeight="1">
      <c r="A300" t="s" s="71">
        <v>1339</v>
      </c>
      <c r="B300" s="64">
        <v>46098</v>
      </c>
      <c r="C300" s="61">
        <v>94</v>
      </c>
      <c r="D300" t="s" s="59">
        <v>278</v>
      </c>
      <c r="E300" t="s" s="59">
        <v>37</v>
      </c>
      <c r="F300" t="s" s="59">
        <v>1245</v>
      </c>
      <c r="G300" t="s" s="59">
        <v>1033</v>
      </c>
      <c r="H300" t="s" s="59">
        <v>1022</v>
      </c>
      <c r="I300" t="s" s="59">
        <v>50</v>
      </c>
      <c r="J300" s="64">
        <v>46104</v>
      </c>
      <c r="K300" s="72">
        <v>6</v>
      </c>
      <c r="L300" s="77">
        <v>3161</v>
      </c>
      <c r="M300" s="78" cm="1">
        <f t="array" ref="M300">L300*3.7</f>
        <v>11695.7</v>
      </c>
      <c r="N300" s="48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" customHeight="1">
      <c r="A301" t="s" s="68">
        <v>1340</v>
      </c>
      <c r="B301" s="55">
        <v>46054</v>
      </c>
      <c r="C301" s="52">
        <v>94</v>
      </c>
      <c r="D301" t="s" s="50">
        <v>278</v>
      </c>
      <c r="E301" t="s" s="50">
        <v>1166</v>
      </c>
      <c r="F301" t="s" s="50">
        <v>1239</v>
      </c>
      <c r="G301" t="s" s="50">
        <v>1030</v>
      </c>
      <c r="H301" t="s" s="50">
        <v>1022</v>
      </c>
      <c r="I301" t="s" s="50">
        <v>49</v>
      </c>
      <c r="J301" s="55">
        <v>46070</v>
      </c>
      <c r="K301" s="69">
        <v>16</v>
      </c>
      <c r="L301" s="75">
        <v>7621</v>
      </c>
      <c r="M301" s="76" cm="1">
        <f t="array" ref="M301">L301*3.7</f>
        <v>28197.7</v>
      </c>
      <c r="N301" s="48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" customHeight="1">
      <c r="A302" t="s" s="71">
        <v>1341</v>
      </c>
      <c r="B302" s="64">
        <v>46033</v>
      </c>
      <c r="C302" s="61">
        <v>95</v>
      </c>
      <c r="D302" t="s" s="59">
        <v>278</v>
      </c>
      <c r="E302" t="s" s="59">
        <v>1094</v>
      </c>
      <c r="F302" t="s" s="59">
        <v>1248</v>
      </c>
      <c r="G302" t="s" s="59">
        <v>1033</v>
      </c>
      <c r="H302" t="s" s="59">
        <v>1022</v>
      </c>
      <c r="I302" t="s" s="59">
        <v>51</v>
      </c>
      <c r="J302" s="64">
        <v>46047</v>
      </c>
      <c r="K302" s="72">
        <v>14</v>
      </c>
      <c r="L302" s="77">
        <v>2790</v>
      </c>
      <c r="M302" s="78" cm="1">
        <f t="array" ref="M302">L302*3.7</f>
        <v>10323</v>
      </c>
      <c r="N302" s="48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" customHeight="1">
      <c r="A303" t="s" s="68">
        <v>1342</v>
      </c>
      <c r="B303" s="55">
        <v>46041</v>
      </c>
      <c r="C303" s="52">
        <v>95</v>
      </c>
      <c r="D303" t="s" s="50">
        <v>278</v>
      </c>
      <c r="E303" t="s" s="50">
        <v>37</v>
      </c>
      <c r="F303" t="s" s="50">
        <v>1245</v>
      </c>
      <c r="G303" t="s" s="50">
        <v>1030</v>
      </c>
      <c r="H303" t="s" s="50">
        <v>1022</v>
      </c>
      <c r="I303" t="s" s="50">
        <v>50</v>
      </c>
      <c r="J303" s="55">
        <v>46061</v>
      </c>
      <c r="K303" s="69">
        <v>20</v>
      </c>
      <c r="L303" s="75">
        <v>6196</v>
      </c>
      <c r="M303" s="76" cm="1">
        <f t="array" ref="M303">L303*3.7</f>
        <v>22925.2</v>
      </c>
      <c r="N303" s="48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" customHeight="1">
      <c r="A304" t="s" s="71">
        <v>1343</v>
      </c>
      <c r="B304" s="64">
        <v>46008</v>
      </c>
      <c r="C304" s="61">
        <v>95</v>
      </c>
      <c r="D304" t="s" s="59">
        <v>278</v>
      </c>
      <c r="E304" t="s" s="59">
        <v>1166</v>
      </c>
      <c r="F304" t="s" s="59">
        <v>1239</v>
      </c>
      <c r="G304" t="s" s="59">
        <v>1033</v>
      </c>
      <c r="H304" t="s" s="59">
        <v>1028</v>
      </c>
      <c r="I304" t="s" s="59">
        <v>49</v>
      </c>
      <c r="J304" s="64"/>
      <c r="K304" s="72"/>
      <c r="L304" s="77">
        <v>2709</v>
      </c>
      <c r="M304" s="78" cm="1">
        <f t="array" ref="M304">L304*3.7</f>
        <v>10023.3</v>
      </c>
      <c r="N304" s="48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" customHeight="1">
      <c r="A305" t="s" s="68">
        <v>1344</v>
      </c>
      <c r="B305" s="55">
        <v>46092</v>
      </c>
      <c r="C305" s="52">
        <v>95</v>
      </c>
      <c r="D305" t="s" s="50">
        <v>278</v>
      </c>
      <c r="E305" t="s" s="50">
        <v>37</v>
      </c>
      <c r="F305" t="s" s="50">
        <v>1245</v>
      </c>
      <c r="G305" t="s" s="50">
        <v>1021</v>
      </c>
      <c r="H305" t="s" s="50">
        <v>1022</v>
      </c>
      <c r="I305" t="s" s="50">
        <v>50</v>
      </c>
      <c r="J305" s="55">
        <v>46102</v>
      </c>
      <c r="K305" s="69">
        <v>10</v>
      </c>
      <c r="L305" s="75">
        <v>1029</v>
      </c>
      <c r="M305" s="76" cm="1">
        <f t="array" ref="M305">L305*3.7</f>
        <v>3807.3</v>
      </c>
      <c r="N305" s="4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" customHeight="1">
      <c r="A306" t="s" s="71">
        <v>1345</v>
      </c>
      <c r="B306" s="64">
        <v>46108</v>
      </c>
      <c r="C306" s="61">
        <v>95</v>
      </c>
      <c r="D306" t="s" s="59">
        <v>278</v>
      </c>
      <c r="E306" t="s" s="59">
        <v>1094</v>
      </c>
      <c r="F306" t="s" s="59">
        <v>1248</v>
      </c>
      <c r="G306" t="s" s="59">
        <v>1033</v>
      </c>
      <c r="H306" t="s" s="59">
        <v>1022</v>
      </c>
      <c r="I306" t="s" s="59">
        <v>51</v>
      </c>
      <c r="J306" s="64">
        <v>46112</v>
      </c>
      <c r="K306" s="72">
        <v>4</v>
      </c>
      <c r="L306" s="77">
        <v>2965</v>
      </c>
      <c r="M306" s="78" cm="1">
        <f t="array" ref="M306">L306*3.7</f>
        <v>10970.5</v>
      </c>
      <c r="N306" s="48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" customHeight="1">
      <c r="A307" t="s" s="68">
        <v>1346</v>
      </c>
      <c r="B307" s="55">
        <v>46024</v>
      </c>
      <c r="C307" s="52">
        <v>95</v>
      </c>
      <c r="D307" t="s" s="50">
        <v>278</v>
      </c>
      <c r="E307" t="s" s="50">
        <v>1166</v>
      </c>
      <c r="F307" t="s" s="50">
        <v>1239</v>
      </c>
      <c r="G307" t="s" s="50">
        <v>1060</v>
      </c>
      <c r="H307" t="s" s="50">
        <v>1022</v>
      </c>
      <c r="I307" t="s" s="50">
        <v>49</v>
      </c>
      <c r="J307" s="55">
        <v>46034</v>
      </c>
      <c r="K307" s="69">
        <v>10</v>
      </c>
      <c r="L307" s="75">
        <v>17138</v>
      </c>
      <c r="M307" s="76" cm="1">
        <f t="array" ref="M307">L307*3.7</f>
        <v>63410.6</v>
      </c>
      <c r="N307" s="4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" customHeight="1">
      <c r="A308" t="s" s="71">
        <v>1347</v>
      </c>
      <c r="B308" s="64">
        <v>46044</v>
      </c>
      <c r="C308" s="61">
        <v>95</v>
      </c>
      <c r="D308" t="s" s="59">
        <v>278</v>
      </c>
      <c r="E308" t="s" s="59">
        <v>1166</v>
      </c>
      <c r="F308" t="s" s="59">
        <v>1239</v>
      </c>
      <c r="G308" t="s" s="59">
        <v>1021</v>
      </c>
      <c r="H308" t="s" s="59">
        <v>1022</v>
      </c>
      <c r="I308" t="s" s="59">
        <v>49</v>
      </c>
      <c r="J308" s="64">
        <v>46057</v>
      </c>
      <c r="K308" s="72">
        <v>13</v>
      </c>
      <c r="L308" s="77">
        <v>799</v>
      </c>
      <c r="M308" s="78" cm="1">
        <f t="array" ref="M308">L308*3.7</f>
        <v>2956.3</v>
      </c>
      <c r="N308" s="4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" customHeight="1">
      <c r="A309" t="s" s="68">
        <v>1348</v>
      </c>
      <c r="B309" s="55">
        <v>46013</v>
      </c>
      <c r="C309" s="52">
        <v>96</v>
      </c>
      <c r="D309" t="s" s="50">
        <v>278</v>
      </c>
      <c r="E309" t="s" s="50">
        <v>37</v>
      </c>
      <c r="F309" t="s" s="50">
        <v>1242</v>
      </c>
      <c r="G309" t="s" s="50">
        <v>1033</v>
      </c>
      <c r="H309" t="s" s="50">
        <v>1022</v>
      </c>
      <c r="I309" t="s" s="50">
        <v>50</v>
      </c>
      <c r="J309" s="55">
        <v>46033</v>
      </c>
      <c r="K309" s="69">
        <v>20</v>
      </c>
      <c r="L309" s="75">
        <v>2818</v>
      </c>
      <c r="M309" s="76" cm="1">
        <f t="array" ref="M309">L309*3.7</f>
        <v>10426.6</v>
      </c>
      <c r="N309" s="4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" customHeight="1">
      <c r="A310" t="s" s="71">
        <v>1349</v>
      </c>
      <c r="B310" s="64">
        <v>45923</v>
      </c>
      <c r="C310" s="61">
        <v>96</v>
      </c>
      <c r="D310" t="s" s="59">
        <v>278</v>
      </c>
      <c r="E310" t="s" s="59">
        <v>1094</v>
      </c>
      <c r="F310" t="s" s="59">
        <v>1248</v>
      </c>
      <c r="G310" t="s" s="59">
        <v>1021</v>
      </c>
      <c r="H310" t="s" s="59">
        <v>1028</v>
      </c>
      <c r="I310" t="s" s="59">
        <v>51</v>
      </c>
      <c r="J310" s="64"/>
      <c r="K310" s="72"/>
      <c r="L310" s="77">
        <v>762</v>
      </c>
      <c r="M310" s="78" cm="1">
        <f t="array" ref="M310">L310*3.7</f>
        <v>2819.4</v>
      </c>
      <c r="N310" s="48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" customHeight="1">
      <c r="A311" t="s" s="68">
        <v>1350</v>
      </c>
      <c r="B311" s="55">
        <v>46106</v>
      </c>
      <c r="C311" s="52">
        <v>96</v>
      </c>
      <c r="D311" t="s" s="50">
        <v>278</v>
      </c>
      <c r="E311" t="s" s="50">
        <v>1094</v>
      </c>
      <c r="F311" t="s" s="50">
        <v>1248</v>
      </c>
      <c r="G311" t="s" s="50">
        <v>1033</v>
      </c>
      <c r="H311" t="s" s="50">
        <v>1022</v>
      </c>
      <c r="I311" t="s" s="50">
        <v>51</v>
      </c>
      <c r="J311" s="55">
        <v>46112</v>
      </c>
      <c r="K311" s="69">
        <v>6</v>
      </c>
      <c r="L311" s="75">
        <v>2585</v>
      </c>
      <c r="M311" s="76" cm="1">
        <f t="array" ref="M311">L311*3.7</f>
        <v>9564.5</v>
      </c>
      <c r="N311" s="4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" customHeight="1">
      <c r="A312" t="s" s="71">
        <v>1351</v>
      </c>
      <c r="B312" s="64">
        <v>45942</v>
      </c>
      <c r="C312" s="61">
        <v>96</v>
      </c>
      <c r="D312" t="s" s="59">
        <v>278</v>
      </c>
      <c r="E312" t="s" s="59">
        <v>37</v>
      </c>
      <c r="F312" t="s" s="59">
        <v>1242</v>
      </c>
      <c r="G312" t="s" s="59">
        <v>1033</v>
      </c>
      <c r="H312" t="s" s="59">
        <v>1022</v>
      </c>
      <c r="I312" t="s" s="59">
        <v>50</v>
      </c>
      <c r="J312" s="64">
        <v>45945</v>
      </c>
      <c r="K312" s="72">
        <v>3</v>
      </c>
      <c r="L312" s="77">
        <v>2432</v>
      </c>
      <c r="M312" s="78" cm="1">
        <f t="array" ref="M312">L312*3.7</f>
        <v>8998.4</v>
      </c>
      <c r="N312" s="4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" customHeight="1">
      <c r="A313" t="s" s="68">
        <v>1352</v>
      </c>
      <c r="B313" s="55">
        <v>46040</v>
      </c>
      <c r="C313" s="52">
        <v>96</v>
      </c>
      <c r="D313" t="s" s="50">
        <v>278</v>
      </c>
      <c r="E313" t="s" s="50">
        <v>1094</v>
      </c>
      <c r="F313" t="s" s="50">
        <v>1248</v>
      </c>
      <c r="G313" t="s" s="50">
        <v>1021</v>
      </c>
      <c r="H313" t="s" s="50">
        <v>1028</v>
      </c>
      <c r="I313" t="s" s="50">
        <v>51</v>
      </c>
      <c r="J313" s="55"/>
      <c r="K313" s="69"/>
      <c r="L313" s="75">
        <v>806</v>
      </c>
      <c r="M313" s="76" cm="1">
        <f t="array" ref="M313">L313*3.7</f>
        <v>2982.2</v>
      </c>
      <c r="N313" s="4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" customHeight="1">
      <c r="A314" t="s" s="71">
        <v>1353</v>
      </c>
      <c r="B314" s="64">
        <v>46089</v>
      </c>
      <c r="C314" s="61">
        <v>97</v>
      </c>
      <c r="D314" t="s" s="59">
        <v>278</v>
      </c>
      <c r="E314" t="s" s="59">
        <v>37</v>
      </c>
      <c r="F314" t="s" s="59">
        <v>1354</v>
      </c>
      <c r="G314" t="s" s="59">
        <v>1021</v>
      </c>
      <c r="H314" t="s" s="59">
        <v>1022</v>
      </c>
      <c r="I314" t="s" s="59">
        <v>50</v>
      </c>
      <c r="J314" s="64">
        <v>46101</v>
      </c>
      <c r="K314" s="72">
        <v>12</v>
      </c>
      <c r="L314" s="77">
        <v>985</v>
      </c>
      <c r="M314" s="78" cm="1">
        <f t="array" ref="M314">L314*3.7</f>
        <v>3644.5</v>
      </c>
      <c r="N314" s="48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" customHeight="1">
      <c r="A315" t="s" s="68">
        <v>1355</v>
      </c>
      <c r="B315" s="55">
        <v>45941</v>
      </c>
      <c r="C315" s="52">
        <v>97</v>
      </c>
      <c r="D315" t="s" s="50">
        <v>278</v>
      </c>
      <c r="E315" t="s" s="50">
        <v>1166</v>
      </c>
      <c r="F315" t="s" s="50">
        <v>1356</v>
      </c>
      <c r="G315" t="s" s="50">
        <v>1030</v>
      </c>
      <c r="H315" t="s" s="50">
        <v>1022</v>
      </c>
      <c r="I315" t="s" s="50">
        <v>49</v>
      </c>
      <c r="J315" s="55">
        <v>45948</v>
      </c>
      <c r="K315" s="69">
        <v>7</v>
      </c>
      <c r="L315" s="75">
        <v>8481</v>
      </c>
      <c r="M315" s="76" cm="1">
        <f t="array" ref="M315">L315*3.7</f>
        <v>31379.7</v>
      </c>
      <c r="N315" s="48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" customHeight="1">
      <c r="A316" t="s" s="71">
        <v>1357</v>
      </c>
      <c r="B316" s="64">
        <v>46054</v>
      </c>
      <c r="C316" s="61">
        <v>97</v>
      </c>
      <c r="D316" t="s" s="59">
        <v>278</v>
      </c>
      <c r="E316" t="s" s="59">
        <v>1358</v>
      </c>
      <c r="F316" t="s" s="59">
        <v>1359</v>
      </c>
      <c r="G316" t="s" s="59">
        <v>1033</v>
      </c>
      <c r="H316" t="s" s="59">
        <v>1028</v>
      </c>
      <c r="I316" t="s" s="59">
        <v>775</v>
      </c>
      <c r="J316" s="64"/>
      <c r="K316" s="72"/>
      <c r="L316" s="77">
        <v>1020</v>
      </c>
      <c r="M316" s="78" cm="1">
        <f t="array" ref="M316">L316*3.7</f>
        <v>3774</v>
      </c>
      <c r="N316" s="48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" customHeight="1">
      <c r="A317" t="s" s="68">
        <v>1360</v>
      </c>
      <c r="B317" s="55">
        <v>46003</v>
      </c>
      <c r="C317" s="52">
        <v>97</v>
      </c>
      <c r="D317" t="s" s="50">
        <v>278</v>
      </c>
      <c r="E317" t="s" s="50">
        <v>1358</v>
      </c>
      <c r="F317" t="s" s="50">
        <v>1359</v>
      </c>
      <c r="G317" t="s" s="50">
        <v>1021</v>
      </c>
      <c r="H317" t="s" s="50">
        <v>1022</v>
      </c>
      <c r="I317" t="s" s="50">
        <v>775</v>
      </c>
      <c r="J317" s="55">
        <v>46023</v>
      </c>
      <c r="K317" s="69">
        <v>20</v>
      </c>
      <c r="L317" s="75">
        <v>383</v>
      </c>
      <c r="M317" s="76" cm="1">
        <f t="array" ref="M317">L317*3.7</f>
        <v>1417.1</v>
      </c>
      <c r="N317" s="48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" customHeight="1">
      <c r="A318" t="s" s="71">
        <v>1361</v>
      </c>
      <c r="B318" s="64">
        <v>46091</v>
      </c>
      <c r="C318" s="61">
        <v>97</v>
      </c>
      <c r="D318" t="s" s="59">
        <v>278</v>
      </c>
      <c r="E318" t="s" s="59">
        <v>1024</v>
      </c>
      <c r="F318" t="s" s="59">
        <v>1362</v>
      </c>
      <c r="G318" t="s" s="59">
        <v>1033</v>
      </c>
      <c r="H318" t="s" s="59">
        <v>1022</v>
      </c>
      <c r="I318" t="s" s="59">
        <v>1026</v>
      </c>
      <c r="J318" s="64">
        <v>46094</v>
      </c>
      <c r="K318" s="72">
        <v>3</v>
      </c>
      <c r="L318" s="77">
        <v>1562</v>
      </c>
      <c r="M318" s="78" cm="1">
        <f t="array" ref="M318">L318*3.7</f>
        <v>5779.4</v>
      </c>
      <c r="N318" s="48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" customHeight="1">
      <c r="A319" t="s" s="68">
        <v>1363</v>
      </c>
      <c r="B319" s="55">
        <v>45938</v>
      </c>
      <c r="C319" s="52">
        <v>98</v>
      </c>
      <c r="D319" t="s" s="50">
        <v>278</v>
      </c>
      <c r="E319" t="s" s="50">
        <v>1166</v>
      </c>
      <c r="F319" t="s" s="50">
        <v>1356</v>
      </c>
      <c r="G319" t="s" s="50">
        <v>1033</v>
      </c>
      <c r="H319" t="s" s="50">
        <v>1028</v>
      </c>
      <c r="I319" t="s" s="50">
        <v>49</v>
      </c>
      <c r="J319" s="55"/>
      <c r="K319" s="69"/>
      <c r="L319" s="75">
        <v>2365</v>
      </c>
      <c r="M319" s="76" cm="1">
        <f t="array" ref="M319">L319*3.7</f>
        <v>8750.5</v>
      </c>
      <c r="N319" s="48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" customHeight="1">
      <c r="A320" t="s" s="71">
        <v>1364</v>
      </c>
      <c r="B320" s="64">
        <v>46089</v>
      </c>
      <c r="C320" s="61">
        <v>98</v>
      </c>
      <c r="D320" t="s" s="59">
        <v>278</v>
      </c>
      <c r="E320" t="s" s="59">
        <v>1166</v>
      </c>
      <c r="F320" t="s" s="59">
        <v>1356</v>
      </c>
      <c r="G320" t="s" s="59">
        <v>1021</v>
      </c>
      <c r="H320" t="s" s="59">
        <v>1022</v>
      </c>
      <c r="I320" t="s" s="59">
        <v>49</v>
      </c>
      <c r="J320" s="64">
        <v>46101</v>
      </c>
      <c r="K320" s="72">
        <v>12</v>
      </c>
      <c r="L320" s="77">
        <v>776</v>
      </c>
      <c r="M320" s="78" cm="1">
        <f t="array" ref="M320">L320*3.7</f>
        <v>2871.2</v>
      </c>
      <c r="N320" s="48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" customHeight="1">
      <c r="A321" t="s" s="68">
        <v>1365</v>
      </c>
      <c r="B321" s="55">
        <v>46111</v>
      </c>
      <c r="C321" s="52">
        <v>98</v>
      </c>
      <c r="D321" t="s" s="50">
        <v>278</v>
      </c>
      <c r="E321" t="s" s="50">
        <v>1166</v>
      </c>
      <c r="F321" t="s" s="50">
        <v>1356</v>
      </c>
      <c r="G321" t="s" s="50">
        <v>1033</v>
      </c>
      <c r="H321" t="s" s="50">
        <v>1022</v>
      </c>
      <c r="I321" t="s" s="50">
        <v>49</v>
      </c>
      <c r="J321" s="55">
        <v>46112</v>
      </c>
      <c r="K321" s="69">
        <v>1</v>
      </c>
      <c r="L321" s="75">
        <v>2946</v>
      </c>
      <c r="M321" s="76" cm="1">
        <f t="array" ref="M321">L321*3.7</f>
        <v>10900.2</v>
      </c>
      <c r="N321" s="48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" customHeight="1">
      <c r="A322" t="s" s="71">
        <v>1366</v>
      </c>
      <c r="B322" s="64">
        <v>46103</v>
      </c>
      <c r="C322" s="61">
        <v>99</v>
      </c>
      <c r="D322" t="s" s="59">
        <v>278</v>
      </c>
      <c r="E322" t="s" s="59">
        <v>1024</v>
      </c>
      <c r="F322" t="s" s="59">
        <v>1362</v>
      </c>
      <c r="G322" t="s" s="59">
        <v>1033</v>
      </c>
      <c r="H322" t="s" s="59">
        <v>1022</v>
      </c>
      <c r="I322" t="s" s="59">
        <v>1026</v>
      </c>
      <c r="J322" s="64">
        <v>46110</v>
      </c>
      <c r="K322" s="72">
        <v>7</v>
      </c>
      <c r="L322" s="77">
        <v>1502</v>
      </c>
      <c r="M322" s="78" cm="1">
        <f t="array" ref="M322">L322*3.7</f>
        <v>5557.4</v>
      </c>
      <c r="N322" s="4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" customHeight="1">
      <c r="A323" t="s" s="68">
        <v>1367</v>
      </c>
      <c r="B323" s="55">
        <v>46013</v>
      </c>
      <c r="C323" s="52">
        <v>99</v>
      </c>
      <c r="D323" t="s" s="50">
        <v>278</v>
      </c>
      <c r="E323" t="s" s="50">
        <v>1166</v>
      </c>
      <c r="F323" t="s" s="50">
        <v>1356</v>
      </c>
      <c r="G323" t="s" s="50">
        <v>1033</v>
      </c>
      <c r="H323" t="s" s="50">
        <v>1022</v>
      </c>
      <c r="I323" t="s" s="50">
        <v>49</v>
      </c>
      <c r="J323" s="55">
        <v>46030</v>
      </c>
      <c r="K323" s="69">
        <v>17</v>
      </c>
      <c r="L323" s="75">
        <v>3011</v>
      </c>
      <c r="M323" s="76" cm="1">
        <f t="array" ref="M323">L323*3.7</f>
        <v>11140.7</v>
      </c>
      <c r="N323" s="4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" customHeight="1">
      <c r="A324" t="s" s="71">
        <v>1368</v>
      </c>
      <c r="B324" s="64">
        <v>45902</v>
      </c>
      <c r="C324" s="61">
        <v>99</v>
      </c>
      <c r="D324" t="s" s="59">
        <v>278</v>
      </c>
      <c r="E324" t="s" s="59">
        <v>37</v>
      </c>
      <c r="F324" t="s" s="59">
        <v>1354</v>
      </c>
      <c r="G324" t="s" s="59">
        <v>1021</v>
      </c>
      <c r="H324" t="s" s="59">
        <v>1022</v>
      </c>
      <c r="I324" t="s" s="59">
        <v>50</v>
      </c>
      <c r="J324" s="64">
        <v>45915</v>
      </c>
      <c r="K324" s="72">
        <v>13</v>
      </c>
      <c r="L324" s="77">
        <v>972</v>
      </c>
      <c r="M324" s="78" cm="1">
        <f t="array" ref="M324">L324*3.7</f>
        <v>3596.4</v>
      </c>
      <c r="N324" s="4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" customHeight="1">
      <c r="A325" t="s" s="68">
        <v>1369</v>
      </c>
      <c r="B325" s="55">
        <v>46110</v>
      </c>
      <c r="C325" s="52">
        <v>99</v>
      </c>
      <c r="D325" t="s" s="50">
        <v>278</v>
      </c>
      <c r="E325" t="s" s="50">
        <v>1358</v>
      </c>
      <c r="F325" t="s" s="50">
        <v>1359</v>
      </c>
      <c r="G325" t="s" s="50">
        <v>1021</v>
      </c>
      <c r="H325" t="s" s="50">
        <v>1022</v>
      </c>
      <c r="I325" t="s" s="50">
        <v>775</v>
      </c>
      <c r="J325" s="55">
        <v>46112</v>
      </c>
      <c r="K325" s="69">
        <v>2</v>
      </c>
      <c r="L325" s="75">
        <v>335</v>
      </c>
      <c r="M325" s="76" cm="1">
        <f t="array" ref="M325">L325*3.7</f>
        <v>1239.5</v>
      </c>
      <c r="N325" s="4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" customHeight="1">
      <c r="A326" t="s" s="71">
        <v>1370</v>
      </c>
      <c r="B326" s="64">
        <v>46088</v>
      </c>
      <c r="C326" s="61">
        <v>99</v>
      </c>
      <c r="D326" t="s" s="59">
        <v>278</v>
      </c>
      <c r="E326" t="s" s="59">
        <v>1166</v>
      </c>
      <c r="F326" t="s" s="59">
        <v>1356</v>
      </c>
      <c r="G326" t="s" s="59">
        <v>1030</v>
      </c>
      <c r="H326" t="s" s="59">
        <v>1022</v>
      </c>
      <c r="I326" t="s" s="59">
        <v>49</v>
      </c>
      <c r="J326" s="64">
        <v>46111</v>
      </c>
      <c r="K326" s="72">
        <v>23</v>
      </c>
      <c r="L326" s="77">
        <v>6170</v>
      </c>
      <c r="M326" s="78" cm="1">
        <f t="array" ref="M326">L326*3.7</f>
        <v>22829</v>
      </c>
      <c r="N326" s="4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" customHeight="1">
      <c r="A327" t="s" s="68">
        <v>1371</v>
      </c>
      <c r="B327" s="55">
        <v>45902</v>
      </c>
      <c r="C327" s="52">
        <v>99</v>
      </c>
      <c r="D327" t="s" s="50">
        <v>278</v>
      </c>
      <c r="E327" t="s" s="50">
        <v>1166</v>
      </c>
      <c r="F327" t="s" s="50">
        <v>1356</v>
      </c>
      <c r="G327" t="s" s="50">
        <v>1021</v>
      </c>
      <c r="H327" t="s" s="50">
        <v>1028</v>
      </c>
      <c r="I327" t="s" s="50">
        <v>49</v>
      </c>
      <c r="J327" s="55"/>
      <c r="K327" s="69"/>
      <c r="L327" s="75">
        <v>753</v>
      </c>
      <c r="M327" s="76" cm="1">
        <f t="array" ref="M327">L327*3.7</f>
        <v>2786.1</v>
      </c>
      <c r="N327" s="4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" customHeight="1">
      <c r="A328" t="s" s="71">
        <v>1372</v>
      </c>
      <c r="B328" s="64">
        <v>45895</v>
      </c>
      <c r="C328" s="61">
        <v>100</v>
      </c>
      <c r="D328" t="s" s="59">
        <v>278</v>
      </c>
      <c r="E328" t="s" s="59">
        <v>37</v>
      </c>
      <c r="F328" t="s" s="59">
        <v>1354</v>
      </c>
      <c r="G328" t="s" s="59">
        <v>1021</v>
      </c>
      <c r="H328" t="s" s="59">
        <v>1022</v>
      </c>
      <c r="I328" t="s" s="59">
        <v>50</v>
      </c>
      <c r="J328" s="64">
        <v>45898</v>
      </c>
      <c r="K328" s="72">
        <v>3</v>
      </c>
      <c r="L328" s="77">
        <v>960</v>
      </c>
      <c r="M328" s="78" cm="1">
        <f t="array" ref="M328">L328*3.7</f>
        <v>3552</v>
      </c>
      <c r="N328" s="4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" customHeight="1">
      <c r="A329" t="s" s="68">
        <v>1373</v>
      </c>
      <c r="B329" s="55">
        <v>46093</v>
      </c>
      <c r="C329" s="52">
        <v>100</v>
      </c>
      <c r="D329" t="s" s="50">
        <v>278</v>
      </c>
      <c r="E329" t="s" s="50">
        <v>37</v>
      </c>
      <c r="F329" t="s" s="50">
        <v>1354</v>
      </c>
      <c r="G329" t="s" s="50">
        <v>1033</v>
      </c>
      <c r="H329" t="s" s="50">
        <v>1022</v>
      </c>
      <c r="I329" t="s" s="50">
        <v>50</v>
      </c>
      <c r="J329" s="55">
        <v>46103</v>
      </c>
      <c r="K329" s="69">
        <v>10</v>
      </c>
      <c r="L329" s="75">
        <v>2628</v>
      </c>
      <c r="M329" s="76" cm="1">
        <f t="array" ref="M329">L329*3.7</f>
        <v>9723.6</v>
      </c>
      <c r="N329" s="4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" customHeight="1">
      <c r="A330" t="s" s="71">
        <v>1374</v>
      </c>
      <c r="B330" s="64">
        <v>46084</v>
      </c>
      <c r="C330" s="61">
        <v>100</v>
      </c>
      <c r="D330" t="s" s="59">
        <v>278</v>
      </c>
      <c r="E330" t="s" s="59">
        <v>1358</v>
      </c>
      <c r="F330" t="s" s="59">
        <v>1359</v>
      </c>
      <c r="G330" t="s" s="59">
        <v>1033</v>
      </c>
      <c r="H330" t="s" s="59">
        <v>1022</v>
      </c>
      <c r="I330" t="s" s="59">
        <v>775</v>
      </c>
      <c r="J330" s="64">
        <v>46096</v>
      </c>
      <c r="K330" s="72">
        <v>12</v>
      </c>
      <c r="L330" s="77">
        <v>1056</v>
      </c>
      <c r="M330" s="78" cm="1">
        <f t="array" ref="M330">L330*3.7</f>
        <v>3907.2</v>
      </c>
      <c r="N330" s="4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" customHeight="1">
      <c r="A331" t="s" s="68">
        <v>1375</v>
      </c>
      <c r="B331" s="55">
        <v>46078</v>
      </c>
      <c r="C331" s="52">
        <v>101</v>
      </c>
      <c r="D331" t="s" s="50">
        <v>278</v>
      </c>
      <c r="E331" t="s" s="50">
        <v>37</v>
      </c>
      <c r="F331" t="s" s="50">
        <v>1354</v>
      </c>
      <c r="G331" t="s" s="50">
        <v>1030</v>
      </c>
      <c r="H331" t="s" s="50">
        <v>1028</v>
      </c>
      <c r="I331" t="s" s="50">
        <v>50</v>
      </c>
      <c r="J331" s="55"/>
      <c r="K331" s="69"/>
      <c r="L331" s="75">
        <v>8088</v>
      </c>
      <c r="M331" s="76" cm="1">
        <f t="array" ref="M331">L331*3.7</f>
        <v>29925.6</v>
      </c>
      <c r="N331" s="48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" customHeight="1">
      <c r="A332" t="s" s="71">
        <v>1376</v>
      </c>
      <c r="B332" s="64">
        <v>45942</v>
      </c>
      <c r="C332" s="61">
        <v>101</v>
      </c>
      <c r="D332" t="s" s="59">
        <v>278</v>
      </c>
      <c r="E332" t="s" s="59">
        <v>37</v>
      </c>
      <c r="F332" t="s" s="59">
        <v>1354</v>
      </c>
      <c r="G332" t="s" s="59">
        <v>1033</v>
      </c>
      <c r="H332" t="s" s="59">
        <v>1022</v>
      </c>
      <c r="I332" t="s" s="59">
        <v>50</v>
      </c>
      <c r="J332" s="64">
        <v>45955</v>
      </c>
      <c r="K332" s="72">
        <v>13</v>
      </c>
      <c r="L332" s="77">
        <v>2573</v>
      </c>
      <c r="M332" s="78" cm="1">
        <f t="array" ref="M332">L332*3.7</f>
        <v>9520.1</v>
      </c>
      <c r="N332" s="48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" customHeight="1">
      <c r="A333" t="s" s="68">
        <v>1377</v>
      </c>
      <c r="B333" s="55">
        <v>45971</v>
      </c>
      <c r="C333" s="52">
        <v>101</v>
      </c>
      <c r="D333" t="s" s="50">
        <v>278</v>
      </c>
      <c r="E333" t="s" s="50">
        <v>37</v>
      </c>
      <c r="F333" t="s" s="50">
        <v>1354</v>
      </c>
      <c r="G333" t="s" s="50">
        <v>1021</v>
      </c>
      <c r="H333" t="s" s="50">
        <v>1022</v>
      </c>
      <c r="I333" t="s" s="50">
        <v>50</v>
      </c>
      <c r="J333" s="55">
        <v>45981</v>
      </c>
      <c r="K333" s="69">
        <v>10</v>
      </c>
      <c r="L333" s="75">
        <v>800</v>
      </c>
      <c r="M333" s="76" cm="1">
        <f t="array" ref="M333">L333*3.7</f>
        <v>2960</v>
      </c>
      <c r="N333" s="48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" customHeight="1">
      <c r="A334" t="s" s="71">
        <v>1378</v>
      </c>
      <c r="B334" s="64">
        <v>45972</v>
      </c>
      <c r="C334" s="61">
        <v>102</v>
      </c>
      <c r="D334" t="s" s="59">
        <v>278</v>
      </c>
      <c r="E334" t="s" s="59">
        <v>1358</v>
      </c>
      <c r="F334" t="s" s="59">
        <v>1359</v>
      </c>
      <c r="G334" t="s" s="59">
        <v>1021</v>
      </c>
      <c r="H334" t="s" s="59">
        <v>1022</v>
      </c>
      <c r="I334" t="s" s="59">
        <v>775</v>
      </c>
      <c r="J334" s="64">
        <v>45981</v>
      </c>
      <c r="K334" s="72">
        <v>9</v>
      </c>
      <c r="L334" s="77">
        <v>259</v>
      </c>
      <c r="M334" s="78" cm="1">
        <f t="array" ref="M334">L334*3.7</f>
        <v>958.3</v>
      </c>
      <c r="N334" s="48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" customHeight="1">
      <c r="A335" t="s" s="68">
        <v>1379</v>
      </c>
      <c r="B335" s="55">
        <v>46094</v>
      </c>
      <c r="C335" s="52">
        <v>102</v>
      </c>
      <c r="D335" t="s" s="50">
        <v>278</v>
      </c>
      <c r="E335" t="s" s="50">
        <v>1024</v>
      </c>
      <c r="F335" t="s" s="50">
        <v>1362</v>
      </c>
      <c r="G335" t="s" s="50">
        <v>1030</v>
      </c>
      <c r="H335" t="s" s="50">
        <v>1022</v>
      </c>
      <c r="I335" t="s" s="50">
        <v>1026</v>
      </c>
      <c r="J335" s="55">
        <v>46110</v>
      </c>
      <c r="K335" s="69">
        <v>16</v>
      </c>
      <c r="L335" s="75">
        <v>4590</v>
      </c>
      <c r="M335" s="76" cm="1">
        <f t="array" ref="M335">L335*3.7</f>
        <v>16983</v>
      </c>
      <c r="N335" s="48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" customHeight="1">
      <c r="A336" t="s" s="71">
        <v>1380</v>
      </c>
      <c r="B336" s="64">
        <v>46095</v>
      </c>
      <c r="C336" s="61">
        <v>102</v>
      </c>
      <c r="D336" t="s" s="59">
        <v>278</v>
      </c>
      <c r="E336" t="s" s="59">
        <v>1358</v>
      </c>
      <c r="F336" t="s" s="59">
        <v>1359</v>
      </c>
      <c r="G336" t="s" s="59">
        <v>1033</v>
      </c>
      <c r="H336" t="s" s="59">
        <v>1022</v>
      </c>
      <c r="I336" t="s" s="59">
        <v>775</v>
      </c>
      <c r="J336" s="64">
        <v>46112</v>
      </c>
      <c r="K336" s="72">
        <v>17</v>
      </c>
      <c r="L336" s="77">
        <v>753</v>
      </c>
      <c r="M336" s="78" cm="1">
        <f t="array" ref="M336">L336*3.7</f>
        <v>2786.1</v>
      </c>
      <c r="N336" s="48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" customHeight="1">
      <c r="A337" t="s" s="68">
        <v>1381</v>
      </c>
      <c r="B337" s="55">
        <v>45959</v>
      </c>
      <c r="C337" s="52">
        <v>103</v>
      </c>
      <c r="D337" t="s" s="50">
        <v>278</v>
      </c>
      <c r="E337" t="s" s="50">
        <v>1024</v>
      </c>
      <c r="F337" t="s" s="50">
        <v>1362</v>
      </c>
      <c r="G337" t="s" s="50">
        <v>1033</v>
      </c>
      <c r="H337" t="s" s="50">
        <v>1022</v>
      </c>
      <c r="I337" t="s" s="50">
        <v>1026</v>
      </c>
      <c r="J337" s="55">
        <v>45977</v>
      </c>
      <c r="K337" s="69">
        <v>18</v>
      </c>
      <c r="L337" s="75">
        <v>1659</v>
      </c>
      <c r="M337" s="76" cm="1">
        <f t="array" ref="M337">L337*3.7</f>
        <v>6138.3</v>
      </c>
      <c r="N337" s="48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" customHeight="1">
      <c r="A338" t="s" s="71">
        <v>1382</v>
      </c>
      <c r="B338" s="64">
        <v>45959</v>
      </c>
      <c r="C338" s="61">
        <v>103</v>
      </c>
      <c r="D338" t="s" s="59">
        <v>278</v>
      </c>
      <c r="E338" t="s" s="59">
        <v>37</v>
      </c>
      <c r="F338" t="s" s="59">
        <v>1354</v>
      </c>
      <c r="G338" t="s" s="59">
        <v>1033</v>
      </c>
      <c r="H338" t="s" s="59">
        <v>1022</v>
      </c>
      <c r="I338" t="s" s="59">
        <v>50</v>
      </c>
      <c r="J338" s="64">
        <v>45979</v>
      </c>
      <c r="K338" s="72">
        <v>20</v>
      </c>
      <c r="L338" s="77">
        <v>2133</v>
      </c>
      <c r="M338" s="78" cm="1">
        <f t="array" ref="M338">L338*3.7</f>
        <v>7892.1</v>
      </c>
      <c r="N338" s="48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" customHeight="1">
      <c r="A339" t="s" s="68">
        <v>1383</v>
      </c>
      <c r="B339" s="55">
        <v>45988</v>
      </c>
      <c r="C339" s="52">
        <v>103</v>
      </c>
      <c r="D339" t="s" s="50">
        <v>278</v>
      </c>
      <c r="E339" t="s" s="50">
        <v>37</v>
      </c>
      <c r="F339" t="s" s="50">
        <v>1354</v>
      </c>
      <c r="G339" t="s" s="50">
        <v>1021</v>
      </c>
      <c r="H339" t="s" s="50">
        <v>1022</v>
      </c>
      <c r="I339" t="s" s="50">
        <v>50</v>
      </c>
      <c r="J339" s="55">
        <v>45992</v>
      </c>
      <c r="K339" s="69">
        <v>4</v>
      </c>
      <c r="L339" s="75">
        <v>950</v>
      </c>
      <c r="M339" s="76" cm="1">
        <f t="array" ref="M339">L339*3.7</f>
        <v>3515</v>
      </c>
      <c r="N339" s="48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" customHeight="1">
      <c r="A340" t="s" s="71">
        <v>1384</v>
      </c>
      <c r="B340" s="64">
        <v>46105</v>
      </c>
      <c r="C340" s="61">
        <v>103</v>
      </c>
      <c r="D340" t="s" s="59">
        <v>278</v>
      </c>
      <c r="E340" t="s" s="59">
        <v>1358</v>
      </c>
      <c r="F340" t="s" s="59">
        <v>1359</v>
      </c>
      <c r="G340" t="s" s="59">
        <v>1030</v>
      </c>
      <c r="H340" t="s" s="59">
        <v>1022</v>
      </c>
      <c r="I340" t="s" s="59">
        <v>775</v>
      </c>
      <c r="J340" s="64">
        <v>46112</v>
      </c>
      <c r="K340" s="72">
        <v>7</v>
      </c>
      <c r="L340" s="77">
        <v>2237</v>
      </c>
      <c r="M340" s="78" cm="1">
        <f t="array" ref="M340">L340*3.7</f>
        <v>8276.9</v>
      </c>
      <c r="N340" s="4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" customHeight="1">
      <c r="A341" t="s" s="68">
        <v>1385</v>
      </c>
      <c r="B341" s="55">
        <v>45893</v>
      </c>
      <c r="C341" s="52">
        <v>103</v>
      </c>
      <c r="D341" t="s" s="50">
        <v>278</v>
      </c>
      <c r="E341" t="s" s="50">
        <v>1024</v>
      </c>
      <c r="F341" t="s" s="50">
        <v>1362</v>
      </c>
      <c r="G341" t="s" s="50">
        <v>1033</v>
      </c>
      <c r="H341" t="s" s="50">
        <v>1022</v>
      </c>
      <c r="I341" t="s" s="50">
        <v>1026</v>
      </c>
      <c r="J341" s="55">
        <v>45908</v>
      </c>
      <c r="K341" s="69">
        <v>15</v>
      </c>
      <c r="L341" s="75">
        <v>1445</v>
      </c>
      <c r="M341" s="76" cm="1">
        <f t="array" ref="M341">L341*3.7</f>
        <v>5346.5</v>
      </c>
      <c r="N341" s="4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" customHeight="1">
      <c r="A342" t="s" s="71">
        <v>1386</v>
      </c>
      <c r="B342" s="64">
        <v>46105</v>
      </c>
      <c r="C342" s="61">
        <v>103</v>
      </c>
      <c r="D342" t="s" s="59">
        <v>278</v>
      </c>
      <c r="E342" t="s" s="59">
        <v>37</v>
      </c>
      <c r="F342" t="s" s="59">
        <v>1354</v>
      </c>
      <c r="G342" t="s" s="59">
        <v>1033</v>
      </c>
      <c r="H342" t="s" s="59">
        <v>1022</v>
      </c>
      <c r="I342" t="s" s="59">
        <v>50</v>
      </c>
      <c r="J342" s="64">
        <v>46112</v>
      </c>
      <c r="K342" s="72">
        <v>7</v>
      </c>
      <c r="L342" s="77">
        <v>2776</v>
      </c>
      <c r="M342" s="78" cm="1">
        <f t="array" ref="M342">L342*3.7</f>
        <v>10271.2</v>
      </c>
      <c r="N342" s="4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" customHeight="1">
      <c r="A343" t="s" s="68">
        <v>1387</v>
      </c>
      <c r="B343" s="55">
        <v>46107</v>
      </c>
      <c r="C343" s="52">
        <v>104</v>
      </c>
      <c r="D343" t="s" s="50">
        <v>278</v>
      </c>
      <c r="E343" t="s" s="50">
        <v>1358</v>
      </c>
      <c r="F343" t="s" s="50">
        <v>1359</v>
      </c>
      <c r="G343" t="s" s="50">
        <v>1033</v>
      </c>
      <c r="H343" t="s" s="50">
        <v>1022</v>
      </c>
      <c r="I343" t="s" s="50">
        <v>775</v>
      </c>
      <c r="J343" s="55">
        <v>46111</v>
      </c>
      <c r="K343" s="69">
        <v>4</v>
      </c>
      <c r="L343" s="75">
        <v>1025</v>
      </c>
      <c r="M343" s="76" cm="1">
        <f t="array" ref="M343">L343*3.7</f>
        <v>3792.5</v>
      </c>
      <c r="N343" s="4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" customHeight="1">
      <c r="A344" t="s" s="71">
        <v>1388</v>
      </c>
      <c r="B344" s="64">
        <v>46056</v>
      </c>
      <c r="C344" s="61">
        <v>104</v>
      </c>
      <c r="D344" t="s" s="59">
        <v>278</v>
      </c>
      <c r="E344" t="s" s="59">
        <v>1166</v>
      </c>
      <c r="F344" t="s" s="59">
        <v>1356</v>
      </c>
      <c r="G344" t="s" s="59">
        <v>1033</v>
      </c>
      <c r="H344" t="s" s="59">
        <v>1022</v>
      </c>
      <c r="I344" t="s" s="59">
        <v>49</v>
      </c>
      <c r="J344" s="64">
        <v>46067</v>
      </c>
      <c r="K344" s="72">
        <v>11</v>
      </c>
      <c r="L344" s="77">
        <v>2634</v>
      </c>
      <c r="M344" s="78" cm="1">
        <f t="array" ref="M344">L344*3.7</f>
        <v>9745.799999999999</v>
      </c>
      <c r="N344" s="4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" customHeight="1">
      <c r="A345" t="s" s="68">
        <v>1389</v>
      </c>
      <c r="B345" s="55">
        <v>46035</v>
      </c>
      <c r="C345" s="52">
        <v>105</v>
      </c>
      <c r="D345" t="s" s="50">
        <v>278</v>
      </c>
      <c r="E345" t="s" s="50">
        <v>1358</v>
      </c>
      <c r="F345" t="s" s="50">
        <v>1359</v>
      </c>
      <c r="G345" t="s" s="50">
        <v>1021</v>
      </c>
      <c r="H345" t="s" s="50">
        <v>1022</v>
      </c>
      <c r="I345" t="s" s="50">
        <v>775</v>
      </c>
      <c r="J345" s="55">
        <v>46046</v>
      </c>
      <c r="K345" s="69">
        <v>11</v>
      </c>
      <c r="L345" s="75">
        <v>315</v>
      </c>
      <c r="M345" s="76" cm="1">
        <f t="array" ref="M345">L345*3.7</f>
        <v>1165.5</v>
      </c>
      <c r="N345" s="4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" customHeight="1">
      <c r="A346" t="s" s="71">
        <v>1390</v>
      </c>
      <c r="B346" s="64">
        <v>46111</v>
      </c>
      <c r="C346" s="61">
        <v>105</v>
      </c>
      <c r="D346" t="s" s="59">
        <v>278</v>
      </c>
      <c r="E346" t="s" s="59">
        <v>1024</v>
      </c>
      <c r="F346" t="s" s="59">
        <v>1362</v>
      </c>
      <c r="G346" t="s" s="59">
        <v>1033</v>
      </c>
      <c r="H346" t="s" s="59">
        <v>1028</v>
      </c>
      <c r="I346" t="s" s="59">
        <v>1026</v>
      </c>
      <c r="J346" s="64"/>
      <c r="K346" s="72"/>
      <c r="L346" s="77">
        <v>1668</v>
      </c>
      <c r="M346" s="78" cm="1">
        <f t="array" ref="M346">L346*3.7</f>
        <v>6171.6</v>
      </c>
      <c r="N346" s="4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" customHeight="1">
      <c r="A347" t="s" s="68">
        <v>1391</v>
      </c>
      <c r="B347" s="55">
        <v>46010</v>
      </c>
      <c r="C347" s="52">
        <v>106</v>
      </c>
      <c r="D347" t="s" s="50">
        <v>278</v>
      </c>
      <c r="E347" t="s" s="50">
        <v>37</v>
      </c>
      <c r="F347" t="s" s="50">
        <v>1354</v>
      </c>
      <c r="G347" t="s" s="50">
        <v>1033</v>
      </c>
      <c r="H347" t="s" s="50">
        <v>1022</v>
      </c>
      <c r="I347" t="s" s="50">
        <v>50</v>
      </c>
      <c r="J347" s="55">
        <v>46013</v>
      </c>
      <c r="K347" s="69">
        <v>3</v>
      </c>
      <c r="L347" s="75">
        <v>3015</v>
      </c>
      <c r="M347" s="76" cm="1">
        <f t="array" ref="M347">L347*3.7</f>
        <v>11155.5</v>
      </c>
      <c r="N347" s="4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" customHeight="1">
      <c r="A348" t="s" s="71">
        <v>1392</v>
      </c>
      <c r="B348" s="64">
        <v>46097</v>
      </c>
      <c r="C348" s="61">
        <v>106</v>
      </c>
      <c r="D348" t="s" s="59">
        <v>278</v>
      </c>
      <c r="E348" t="s" s="59">
        <v>1358</v>
      </c>
      <c r="F348" t="s" s="59">
        <v>1359</v>
      </c>
      <c r="G348" t="s" s="59">
        <v>1030</v>
      </c>
      <c r="H348" t="s" s="59">
        <v>1022</v>
      </c>
      <c r="I348" t="s" s="59">
        <v>775</v>
      </c>
      <c r="J348" s="64">
        <v>46112</v>
      </c>
      <c r="K348" s="72">
        <v>15</v>
      </c>
      <c r="L348" s="77">
        <v>2964</v>
      </c>
      <c r="M348" s="78" cm="1">
        <f t="array" ref="M348">L348*3.7</f>
        <v>10966.8</v>
      </c>
      <c r="N348" s="4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" customHeight="1">
      <c r="A349" t="s" s="68">
        <v>1393</v>
      </c>
      <c r="B349" s="55">
        <v>46091</v>
      </c>
      <c r="C349" s="52">
        <v>106</v>
      </c>
      <c r="D349" t="s" s="50">
        <v>278</v>
      </c>
      <c r="E349" t="s" s="50">
        <v>1166</v>
      </c>
      <c r="F349" t="s" s="50">
        <v>1356</v>
      </c>
      <c r="G349" t="s" s="50">
        <v>1021</v>
      </c>
      <c r="H349" t="s" s="50">
        <v>1022</v>
      </c>
      <c r="I349" t="s" s="50">
        <v>49</v>
      </c>
      <c r="J349" s="55">
        <v>46112</v>
      </c>
      <c r="K349" s="69">
        <v>21</v>
      </c>
      <c r="L349" s="75">
        <v>891</v>
      </c>
      <c r="M349" s="76" cm="1">
        <f t="array" ref="M349">L349*3.7</f>
        <v>3296.7</v>
      </c>
      <c r="N349" s="4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" customHeight="1">
      <c r="A350" t="s" s="71">
        <v>1394</v>
      </c>
      <c r="B350" s="64">
        <v>46101</v>
      </c>
      <c r="C350" s="61">
        <v>106</v>
      </c>
      <c r="D350" t="s" s="59">
        <v>278</v>
      </c>
      <c r="E350" t="s" s="59">
        <v>37</v>
      </c>
      <c r="F350" t="s" s="59">
        <v>1354</v>
      </c>
      <c r="G350" t="s" s="59">
        <v>1033</v>
      </c>
      <c r="H350" t="s" s="59">
        <v>1022</v>
      </c>
      <c r="I350" t="s" s="59">
        <v>50</v>
      </c>
      <c r="J350" s="64">
        <v>46112</v>
      </c>
      <c r="K350" s="72">
        <v>11</v>
      </c>
      <c r="L350" s="77">
        <v>2362</v>
      </c>
      <c r="M350" s="78" cm="1">
        <f t="array" ref="M350">L350*3.7</f>
        <v>8739.4</v>
      </c>
      <c r="N350" s="48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" customHeight="1">
      <c r="A351" t="s" s="68">
        <v>1395</v>
      </c>
      <c r="B351" s="55">
        <v>46090</v>
      </c>
      <c r="C351" s="52">
        <v>106</v>
      </c>
      <c r="D351" t="s" s="50">
        <v>278</v>
      </c>
      <c r="E351" t="s" s="50">
        <v>37</v>
      </c>
      <c r="F351" t="s" s="50">
        <v>1354</v>
      </c>
      <c r="G351" t="s" s="50">
        <v>1021</v>
      </c>
      <c r="H351" t="s" s="50">
        <v>1022</v>
      </c>
      <c r="I351" t="s" s="50">
        <v>50</v>
      </c>
      <c r="J351" s="55">
        <v>46109</v>
      </c>
      <c r="K351" s="69">
        <v>19</v>
      </c>
      <c r="L351" s="75">
        <v>946</v>
      </c>
      <c r="M351" s="76" cm="1">
        <f t="array" ref="M351">L351*3.7</f>
        <v>3500.2</v>
      </c>
      <c r="N351" s="48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" customHeight="1">
      <c r="A352" t="s" s="71">
        <v>1396</v>
      </c>
      <c r="B352" s="64">
        <v>46053</v>
      </c>
      <c r="C352" s="61">
        <v>107</v>
      </c>
      <c r="D352" t="s" s="59">
        <v>278</v>
      </c>
      <c r="E352" t="s" s="59">
        <v>1024</v>
      </c>
      <c r="F352" t="s" s="59">
        <v>1362</v>
      </c>
      <c r="G352" t="s" s="59">
        <v>1021</v>
      </c>
      <c r="H352" t="s" s="59">
        <v>1022</v>
      </c>
      <c r="I352" t="s" s="59">
        <v>1026</v>
      </c>
      <c r="J352" s="64">
        <v>46072</v>
      </c>
      <c r="K352" s="72">
        <v>19</v>
      </c>
      <c r="L352" s="77">
        <v>460</v>
      </c>
      <c r="M352" s="78" cm="1">
        <f t="array" ref="M352">L352*3.7</f>
        <v>1702</v>
      </c>
      <c r="N352" s="48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" customHeight="1">
      <c r="A353" t="s" s="68">
        <v>1397</v>
      </c>
      <c r="B353" s="55">
        <v>46050</v>
      </c>
      <c r="C353" s="52">
        <v>107</v>
      </c>
      <c r="D353" t="s" s="50">
        <v>278</v>
      </c>
      <c r="E353" t="s" s="50">
        <v>1358</v>
      </c>
      <c r="F353" t="s" s="50">
        <v>1359</v>
      </c>
      <c r="G353" t="s" s="50">
        <v>1033</v>
      </c>
      <c r="H353" t="s" s="50">
        <v>1022</v>
      </c>
      <c r="I353" t="s" s="50">
        <v>775</v>
      </c>
      <c r="J353" s="55">
        <v>46060</v>
      </c>
      <c r="K353" s="69">
        <v>10</v>
      </c>
      <c r="L353" s="75">
        <v>812</v>
      </c>
      <c r="M353" s="76" cm="1">
        <f t="array" ref="M353">L353*3.7</f>
        <v>3004.4</v>
      </c>
      <c r="N353" s="48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" customHeight="1">
      <c r="A354" t="s" s="71">
        <v>1398</v>
      </c>
      <c r="B354" s="64">
        <v>45955</v>
      </c>
      <c r="C354" s="61">
        <v>108</v>
      </c>
      <c r="D354" t="s" s="59">
        <v>278</v>
      </c>
      <c r="E354" t="s" s="59">
        <v>1358</v>
      </c>
      <c r="F354" t="s" s="59">
        <v>1359</v>
      </c>
      <c r="G354" t="s" s="59">
        <v>1033</v>
      </c>
      <c r="H354" t="s" s="59">
        <v>1022</v>
      </c>
      <c r="I354" t="s" s="59">
        <v>775</v>
      </c>
      <c r="J354" s="64">
        <v>45974</v>
      </c>
      <c r="K354" s="72">
        <v>19</v>
      </c>
      <c r="L354" s="77">
        <v>1003</v>
      </c>
      <c r="M354" s="78" cm="1">
        <f t="array" ref="M354">L354*3.7</f>
        <v>3711.1</v>
      </c>
      <c r="N354" s="48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" customHeight="1">
      <c r="A355" t="s" s="68">
        <v>1399</v>
      </c>
      <c r="B355" s="55">
        <v>46072</v>
      </c>
      <c r="C355" s="52">
        <v>108</v>
      </c>
      <c r="D355" t="s" s="50">
        <v>278</v>
      </c>
      <c r="E355" t="s" s="50">
        <v>1358</v>
      </c>
      <c r="F355" t="s" s="50">
        <v>1359</v>
      </c>
      <c r="G355" t="s" s="50">
        <v>1060</v>
      </c>
      <c r="H355" t="s" s="50">
        <v>1022</v>
      </c>
      <c r="I355" t="s" s="50">
        <v>775</v>
      </c>
      <c r="J355" s="55">
        <v>46106</v>
      </c>
      <c r="K355" s="69">
        <v>34</v>
      </c>
      <c r="L355" s="75">
        <v>5182</v>
      </c>
      <c r="M355" s="76" cm="1">
        <f t="array" ref="M355">L355*3.7</f>
        <v>19173.4</v>
      </c>
      <c r="N355" s="48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" customHeight="1">
      <c r="A356" t="s" s="71">
        <v>1400</v>
      </c>
      <c r="B356" s="64">
        <v>45899</v>
      </c>
      <c r="C356" s="61">
        <v>108</v>
      </c>
      <c r="D356" t="s" s="59">
        <v>278</v>
      </c>
      <c r="E356" t="s" s="59">
        <v>37</v>
      </c>
      <c r="F356" t="s" s="59">
        <v>1354</v>
      </c>
      <c r="G356" t="s" s="59">
        <v>1021</v>
      </c>
      <c r="H356" t="s" s="59">
        <v>1022</v>
      </c>
      <c r="I356" t="s" s="59">
        <v>50</v>
      </c>
      <c r="J356" s="64">
        <v>45909</v>
      </c>
      <c r="K356" s="72">
        <v>10</v>
      </c>
      <c r="L356" s="77">
        <v>756</v>
      </c>
      <c r="M356" s="78" cm="1">
        <f t="array" ref="M356">L356*3.7</f>
        <v>2797.2</v>
      </c>
      <c r="N356" s="48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" customHeight="1">
      <c r="A357" t="s" s="68">
        <v>1401</v>
      </c>
      <c r="B357" s="55">
        <v>46090</v>
      </c>
      <c r="C357" s="52">
        <v>108</v>
      </c>
      <c r="D357" t="s" s="50">
        <v>278</v>
      </c>
      <c r="E357" t="s" s="50">
        <v>1358</v>
      </c>
      <c r="F357" t="s" s="50">
        <v>1359</v>
      </c>
      <c r="G357" t="s" s="50">
        <v>1021</v>
      </c>
      <c r="H357" t="s" s="50">
        <v>1022</v>
      </c>
      <c r="I357" t="s" s="50">
        <v>775</v>
      </c>
      <c r="J357" s="55">
        <v>46111</v>
      </c>
      <c r="K357" s="69">
        <v>21</v>
      </c>
      <c r="L357" s="75">
        <v>303</v>
      </c>
      <c r="M357" s="76" cm="1">
        <f t="array" ref="M357">L357*3.7</f>
        <v>1121.1</v>
      </c>
      <c r="N357" s="48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" customHeight="1">
      <c r="A358" t="s" s="71">
        <v>1402</v>
      </c>
      <c r="B358" s="64">
        <v>46110</v>
      </c>
      <c r="C358" s="61">
        <v>108</v>
      </c>
      <c r="D358" t="s" s="59">
        <v>278</v>
      </c>
      <c r="E358" t="s" s="59">
        <v>37</v>
      </c>
      <c r="F358" t="s" s="59">
        <v>1354</v>
      </c>
      <c r="G358" t="s" s="59">
        <v>1021</v>
      </c>
      <c r="H358" t="s" s="59">
        <v>1022</v>
      </c>
      <c r="I358" t="s" s="59">
        <v>50</v>
      </c>
      <c r="J358" s="64">
        <v>46112</v>
      </c>
      <c r="K358" s="72">
        <v>2</v>
      </c>
      <c r="L358" s="77">
        <v>807</v>
      </c>
      <c r="M358" s="78" cm="1">
        <f t="array" ref="M358">L358*3.7</f>
        <v>2985.9</v>
      </c>
      <c r="N358" s="48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" customHeight="1">
      <c r="A359" t="s" s="68">
        <v>1403</v>
      </c>
      <c r="B359" s="55">
        <v>46097</v>
      </c>
      <c r="C359" s="52">
        <v>108</v>
      </c>
      <c r="D359" t="s" s="50">
        <v>278</v>
      </c>
      <c r="E359" t="s" s="50">
        <v>37</v>
      </c>
      <c r="F359" t="s" s="50">
        <v>1354</v>
      </c>
      <c r="G359" t="s" s="50">
        <v>1021</v>
      </c>
      <c r="H359" t="s" s="50">
        <v>1022</v>
      </c>
      <c r="I359" t="s" s="50">
        <v>50</v>
      </c>
      <c r="J359" s="55">
        <v>46112</v>
      </c>
      <c r="K359" s="69">
        <v>15</v>
      </c>
      <c r="L359" s="75">
        <v>843</v>
      </c>
      <c r="M359" s="76" cm="1">
        <f t="array" ref="M359">L359*3.7</f>
        <v>3119.1</v>
      </c>
      <c r="N359" s="48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" customHeight="1">
      <c r="A360" t="s" s="71">
        <v>1404</v>
      </c>
      <c r="B360" s="64">
        <v>45902</v>
      </c>
      <c r="C360" s="61">
        <v>109</v>
      </c>
      <c r="D360" t="s" s="59">
        <v>278</v>
      </c>
      <c r="E360" t="s" s="59">
        <v>37</v>
      </c>
      <c r="F360" t="s" s="59">
        <v>1354</v>
      </c>
      <c r="G360" t="s" s="59">
        <v>1021</v>
      </c>
      <c r="H360" t="s" s="59">
        <v>1022</v>
      </c>
      <c r="I360" t="s" s="59">
        <v>50</v>
      </c>
      <c r="J360" s="64">
        <v>45917</v>
      </c>
      <c r="K360" s="72">
        <v>15</v>
      </c>
      <c r="L360" s="77">
        <v>1073</v>
      </c>
      <c r="M360" s="78" cm="1">
        <f t="array" ref="M360">L360*3.7</f>
        <v>3970.1</v>
      </c>
      <c r="N360" s="48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" customHeight="1">
      <c r="A361" t="s" s="68">
        <v>1405</v>
      </c>
      <c r="B361" s="55">
        <v>46092</v>
      </c>
      <c r="C361" s="52">
        <v>109</v>
      </c>
      <c r="D361" t="s" s="50">
        <v>278</v>
      </c>
      <c r="E361" t="s" s="50">
        <v>1024</v>
      </c>
      <c r="F361" t="s" s="50">
        <v>1362</v>
      </c>
      <c r="G361" t="s" s="50">
        <v>1060</v>
      </c>
      <c r="H361" t="s" s="50">
        <v>1022</v>
      </c>
      <c r="I361" t="s" s="50">
        <v>1026</v>
      </c>
      <c r="J361" s="55">
        <v>46099</v>
      </c>
      <c r="K361" s="69">
        <v>7</v>
      </c>
      <c r="L361" s="75">
        <v>8355</v>
      </c>
      <c r="M361" s="76" cm="1">
        <f t="array" ref="M361">L361*3.7</f>
        <v>30913.5</v>
      </c>
      <c r="N361" s="48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" customHeight="1">
      <c r="A362" t="s" s="71">
        <v>1406</v>
      </c>
      <c r="B362" s="64">
        <v>46082</v>
      </c>
      <c r="C362" s="61">
        <v>109</v>
      </c>
      <c r="D362" t="s" s="59">
        <v>278</v>
      </c>
      <c r="E362" t="s" s="59">
        <v>1166</v>
      </c>
      <c r="F362" t="s" s="59">
        <v>1356</v>
      </c>
      <c r="G362" t="s" s="59">
        <v>1033</v>
      </c>
      <c r="H362" t="s" s="59">
        <v>1022</v>
      </c>
      <c r="I362" t="s" s="59">
        <v>49</v>
      </c>
      <c r="J362" s="64">
        <v>46096</v>
      </c>
      <c r="K362" s="72">
        <v>14</v>
      </c>
      <c r="L362" s="77">
        <v>2959</v>
      </c>
      <c r="M362" s="78" cm="1">
        <f t="array" ref="M362">L362*3.7</f>
        <v>10948.3</v>
      </c>
      <c r="N362" s="4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" customHeight="1">
      <c r="A363" t="s" s="68">
        <v>1407</v>
      </c>
      <c r="B363" s="55">
        <v>46108</v>
      </c>
      <c r="C363" s="52">
        <v>109</v>
      </c>
      <c r="D363" t="s" s="50">
        <v>278</v>
      </c>
      <c r="E363" t="s" s="50">
        <v>37</v>
      </c>
      <c r="F363" t="s" s="50">
        <v>1354</v>
      </c>
      <c r="G363" t="s" s="50">
        <v>1030</v>
      </c>
      <c r="H363" t="s" s="50">
        <v>1022</v>
      </c>
      <c r="I363" t="s" s="50">
        <v>50</v>
      </c>
      <c r="J363" s="55">
        <v>46112</v>
      </c>
      <c r="K363" s="69">
        <v>4</v>
      </c>
      <c r="L363" s="75">
        <v>8282</v>
      </c>
      <c r="M363" s="76" cm="1">
        <f t="array" ref="M363">L363*3.7</f>
        <v>30643.4</v>
      </c>
      <c r="N363" s="48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" customHeight="1">
      <c r="A364" t="s" s="71">
        <v>1408</v>
      </c>
      <c r="B364" s="64">
        <v>46079</v>
      </c>
      <c r="C364" s="61">
        <v>109</v>
      </c>
      <c r="D364" t="s" s="59">
        <v>278</v>
      </c>
      <c r="E364" t="s" s="59">
        <v>37</v>
      </c>
      <c r="F364" t="s" s="59">
        <v>1354</v>
      </c>
      <c r="G364" t="s" s="59">
        <v>1033</v>
      </c>
      <c r="H364" t="s" s="59">
        <v>1028</v>
      </c>
      <c r="I364" t="s" s="59">
        <v>50</v>
      </c>
      <c r="J364" s="64"/>
      <c r="K364" s="72"/>
      <c r="L364" s="77">
        <v>2831</v>
      </c>
      <c r="M364" s="78" cm="1">
        <f t="array" ref="M364">L364*3.7</f>
        <v>10474.7</v>
      </c>
      <c r="N364" s="48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" customHeight="1">
      <c r="A365" t="s" s="68">
        <v>1409</v>
      </c>
      <c r="B365" s="55">
        <v>46107</v>
      </c>
      <c r="C365" s="52">
        <v>110</v>
      </c>
      <c r="D365" t="s" s="50">
        <v>278</v>
      </c>
      <c r="E365" t="s" s="50">
        <v>1024</v>
      </c>
      <c r="F365" t="s" s="50">
        <v>1362</v>
      </c>
      <c r="G365" t="s" s="50">
        <v>1030</v>
      </c>
      <c r="H365" t="s" s="50">
        <v>1022</v>
      </c>
      <c r="I365" t="s" s="50">
        <v>1026</v>
      </c>
      <c r="J365" s="55">
        <v>46112</v>
      </c>
      <c r="K365" s="69">
        <v>5</v>
      </c>
      <c r="L365" s="75">
        <v>3972</v>
      </c>
      <c r="M365" s="76" cm="1">
        <f t="array" ref="M365">L365*3.7</f>
        <v>14696.4</v>
      </c>
      <c r="N365" s="48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" customHeight="1">
      <c r="A366" t="s" s="71">
        <v>1410</v>
      </c>
      <c r="B366" s="64">
        <v>46091</v>
      </c>
      <c r="C366" s="61">
        <v>110</v>
      </c>
      <c r="D366" t="s" s="59">
        <v>278</v>
      </c>
      <c r="E366" t="s" s="59">
        <v>1024</v>
      </c>
      <c r="F366" t="s" s="59">
        <v>1362</v>
      </c>
      <c r="G366" t="s" s="59">
        <v>1030</v>
      </c>
      <c r="H366" t="s" s="59">
        <v>1022</v>
      </c>
      <c r="I366" t="s" s="59">
        <v>1026</v>
      </c>
      <c r="J366" s="64">
        <v>46102</v>
      </c>
      <c r="K366" s="72">
        <v>11</v>
      </c>
      <c r="L366" s="77">
        <v>4105</v>
      </c>
      <c r="M366" s="78" cm="1">
        <f t="array" ref="M366">L366*3.7</f>
        <v>15188.5</v>
      </c>
      <c r="N366" s="48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" customHeight="1">
      <c r="A367" t="s" s="68">
        <v>1411</v>
      </c>
      <c r="B367" s="55">
        <v>46088</v>
      </c>
      <c r="C367" s="52">
        <v>111</v>
      </c>
      <c r="D367" t="s" s="50">
        <v>278</v>
      </c>
      <c r="E367" t="s" s="50">
        <v>37</v>
      </c>
      <c r="F367" t="s" s="50">
        <v>1354</v>
      </c>
      <c r="G367" t="s" s="50">
        <v>1030</v>
      </c>
      <c r="H367" t="s" s="50">
        <v>1022</v>
      </c>
      <c r="I367" t="s" s="50">
        <v>50</v>
      </c>
      <c r="J367" s="55">
        <v>46107</v>
      </c>
      <c r="K367" s="69">
        <v>19</v>
      </c>
      <c r="L367" s="75">
        <v>7739</v>
      </c>
      <c r="M367" s="76" cm="1">
        <f t="array" ref="M367">L367*3.7</f>
        <v>28634.3</v>
      </c>
      <c r="N367" s="48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" customHeight="1">
      <c r="A368" t="s" s="71">
        <v>1412</v>
      </c>
      <c r="B368" s="64">
        <v>46017</v>
      </c>
      <c r="C368" s="61">
        <v>111</v>
      </c>
      <c r="D368" t="s" s="59">
        <v>278</v>
      </c>
      <c r="E368" t="s" s="59">
        <v>37</v>
      </c>
      <c r="F368" t="s" s="59">
        <v>1354</v>
      </c>
      <c r="G368" t="s" s="59">
        <v>1021</v>
      </c>
      <c r="H368" t="s" s="59">
        <v>1022</v>
      </c>
      <c r="I368" t="s" s="59">
        <v>50</v>
      </c>
      <c r="J368" s="64">
        <v>46037</v>
      </c>
      <c r="K368" s="72">
        <v>20</v>
      </c>
      <c r="L368" s="77">
        <v>804</v>
      </c>
      <c r="M368" s="78" cm="1">
        <f t="array" ref="M368">L368*3.7</f>
        <v>2974.8</v>
      </c>
      <c r="N368" s="48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" customHeight="1">
      <c r="A369" t="s" s="68">
        <v>1413</v>
      </c>
      <c r="B369" s="55">
        <v>46111</v>
      </c>
      <c r="C369" s="52">
        <v>112</v>
      </c>
      <c r="D369" t="s" s="50">
        <v>278</v>
      </c>
      <c r="E369" t="s" s="50">
        <v>1166</v>
      </c>
      <c r="F369" t="s" s="50">
        <v>1356</v>
      </c>
      <c r="G369" t="s" s="50">
        <v>1033</v>
      </c>
      <c r="H369" t="s" s="50">
        <v>1022</v>
      </c>
      <c r="I369" t="s" s="50">
        <v>49</v>
      </c>
      <c r="J369" s="55">
        <v>46112</v>
      </c>
      <c r="K369" s="69">
        <v>1</v>
      </c>
      <c r="L369" s="75">
        <v>2346</v>
      </c>
      <c r="M369" s="76" cm="1">
        <f t="array" ref="M369">L369*3.7</f>
        <v>8680.200000000001</v>
      </c>
      <c r="N369" s="48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" customHeight="1">
      <c r="A370" t="s" s="71">
        <v>1414</v>
      </c>
      <c r="B370" s="64">
        <v>45982</v>
      </c>
      <c r="C370" s="61">
        <v>112</v>
      </c>
      <c r="D370" t="s" s="59">
        <v>278</v>
      </c>
      <c r="E370" t="s" s="59">
        <v>1358</v>
      </c>
      <c r="F370" t="s" s="59">
        <v>1359</v>
      </c>
      <c r="G370" t="s" s="59">
        <v>1033</v>
      </c>
      <c r="H370" t="s" s="59">
        <v>1022</v>
      </c>
      <c r="I370" t="s" s="59">
        <v>775</v>
      </c>
      <c r="J370" s="64">
        <v>46003</v>
      </c>
      <c r="K370" s="72">
        <v>21</v>
      </c>
      <c r="L370" s="77">
        <v>1078</v>
      </c>
      <c r="M370" s="78" cm="1">
        <f t="array" ref="M370">L370*3.7</f>
        <v>3988.6</v>
      </c>
      <c r="N370" s="48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" customHeight="1">
      <c r="A371" t="s" s="68">
        <v>1415</v>
      </c>
      <c r="B371" s="55">
        <v>46042</v>
      </c>
      <c r="C371" s="52">
        <v>112</v>
      </c>
      <c r="D371" t="s" s="50">
        <v>278</v>
      </c>
      <c r="E371" t="s" s="50">
        <v>1166</v>
      </c>
      <c r="F371" t="s" s="50">
        <v>1356</v>
      </c>
      <c r="G371" t="s" s="50">
        <v>1033</v>
      </c>
      <c r="H371" t="s" s="50">
        <v>1022</v>
      </c>
      <c r="I371" t="s" s="50">
        <v>49</v>
      </c>
      <c r="J371" s="55">
        <v>46063</v>
      </c>
      <c r="K371" s="69">
        <v>21</v>
      </c>
      <c r="L371" s="75">
        <v>2496</v>
      </c>
      <c r="M371" s="76" cm="1">
        <f t="array" ref="M371">L371*3.7</f>
        <v>9235.200000000001</v>
      </c>
      <c r="N371" s="48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" customHeight="1">
      <c r="A372" t="s" s="71">
        <v>1416</v>
      </c>
      <c r="B372" s="64">
        <v>46101</v>
      </c>
      <c r="C372" s="61">
        <v>113</v>
      </c>
      <c r="D372" t="s" s="59">
        <v>278</v>
      </c>
      <c r="E372" t="s" s="59">
        <v>37</v>
      </c>
      <c r="F372" t="s" s="59">
        <v>1354</v>
      </c>
      <c r="G372" t="s" s="59">
        <v>1033</v>
      </c>
      <c r="H372" t="s" s="59">
        <v>1022</v>
      </c>
      <c r="I372" t="s" s="59">
        <v>50</v>
      </c>
      <c r="J372" s="64">
        <v>46112</v>
      </c>
      <c r="K372" s="72">
        <v>11</v>
      </c>
      <c r="L372" s="77">
        <v>3139</v>
      </c>
      <c r="M372" s="78" cm="1">
        <f t="array" ref="M372">L372*3.7</f>
        <v>11614.3</v>
      </c>
      <c r="N372" s="48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" customHeight="1">
      <c r="A373" t="s" s="68">
        <v>1417</v>
      </c>
      <c r="B373" s="55">
        <v>45956</v>
      </c>
      <c r="C373" s="52">
        <v>113</v>
      </c>
      <c r="D373" t="s" s="50">
        <v>278</v>
      </c>
      <c r="E373" t="s" s="50">
        <v>1166</v>
      </c>
      <c r="F373" t="s" s="50">
        <v>1356</v>
      </c>
      <c r="G373" t="s" s="50">
        <v>1033</v>
      </c>
      <c r="H373" t="s" s="50">
        <v>1022</v>
      </c>
      <c r="I373" t="s" s="50">
        <v>49</v>
      </c>
      <c r="J373" s="55">
        <v>45970</v>
      </c>
      <c r="K373" s="69">
        <v>14</v>
      </c>
      <c r="L373" s="75">
        <v>2571</v>
      </c>
      <c r="M373" s="76" cm="1">
        <f t="array" ref="M373">L373*3.7</f>
        <v>9512.700000000001</v>
      </c>
      <c r="N373" s="48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" customHeight="1">
      <c r="A374" t="s" s="71">
        <v>1418</v>
      </c>
      <c r="B374" s="64">
        <v>46105</v>
      </c>
      <c r="C374" s="61">
        <v>113</v>
      </c>
      <c r="D374" t="s" s="59">
        <v>278</v>
      </c>
      <c r="E374" t="s" s="59">
        <v>37</v>
      </c>
      <c r="F374" t="s" s="59">
        <v>1354</v>
      </c>
      <c r="G374" t="s" s="59">
        <v>1021</v>
      </c>
      <c r="H374" t="s" s="59">
        <v>1022</v>
      </c>
      <c r="I374" t="s" s="59">
        <v>50</v>
      </c>
      <c r="J374" s="64">
        <v>46112</v>
      </c>
      <c r="K374" s="72">
        <v>7</v>
      </c>
      <c r="L374" s="77">
        <v>758</v>
      </c>
      <c r="M374" s="78" cm="1">
        <f t="array" ref="M374">L374*3.7</f>
        <v>2804.6</v>
      </c>
      <c r="N374" s="48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" customHeight="1">
      <c r="A375" t="s" s="68">
        <v>1419</v>
      </c>
      <c r="B375" s="55">
        <v>46092</v>
      </c>
      <c r="C375" s="52">
        <v>113</v>
      </c>
      <c r="D375" t="s" s="50">
        <v>278</v>
      </c>
      <c r="E375" t="s" s="50">
        <v>37</v>
      </c>
      <c r="F375" t="s" s="50">
        <v>1354</v>
      </c>
      <c r="G375" t="s" s="50">
        <v>1033</v>
      </c>
      <c r="H375" t="s" s="50">
        <v>1022</v>
      </c>
      <c r="I375" t="s" s="50">
        <v>50</v>
      </c>
      <c r="J375" s="55">
        <v>46100</v>
      </c>
      <c r="K375" s="69">
        <v>8</v>
      </c>
      <c r="L375" s="75">
        <v>2991</v>
      </c>
      <c r="M375" s="76" cm="1">
        <f t="array" ref="M375">L375*3.7</f>
        <v>11066.7</v>
      </c>
      <c r="N375" s="48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" customHeight="1">
      <c r="A376" t="s" s="71">
        <v>1420</v>
      </c>
      <c r="B376" s="64">
        <v>45929</v>
      </c>
      <c r="C376" s="61">
        <v>114</v>
      </c>
      <c r="D376" t="s" s="59">
        <v>278</v>
      </c>
      <c r="E376" t="s" s="59">
        <v>1024</v>
      </c>
      <c r="F376" t="s" s="59">
        <v>1362</v>
      </c>
      <c r="G376" t="s" s="59">
        <v>1030</v>
      </c>
      <c r="H376" t="s" s="59">
        <v>1028</v>
      </c>
      <c r="I376" t="s" s="59">
        <v>1026</v>
      </c>
      <c r="J376" s="64"/>
      <c r="K376" s="72"/>
      <c r="L376" s="77">
        <v>4228</v>
      </c>
      <c r="M376" s="78" cm="1">
        <f t="array" ref="M376">L376*3.7</f>
        <v>15643.6</v>
      </c>
      <c r="N376" s="48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" customHeight="1">
      <c r="A377" t="s" s="68">
        <v>1421</v>
      </c>
      <c r="B377" s="55">
        <v>45914</v>
      </c>
      <c r="C377" s="52">
        <v>114</v>
      </c>
      <c r="D377" t="s" s="50">
        <v>278</v>
      </c>
      <c r="E377" t="s" s="50">
        <v>1166</v>
      </c>
      <c r="F377" t="s" s="50">
        <v>1356</v>
      </c>
      <c r="G377" t="s" s="50">
        <v>1021</v>
      </c>
      <c r="H377" t="s" s="50">
        <v>1022</v>
      </c>
      <c r="I377" t="s" s="50">
        <v>49</v>
      </c>
      <c r="J377" s="55">
        <v>45932</v>
      </c>
      <c r="K377" s="69">
        <v>18</v>
      </c>
      <c r="L377" s="75">
        <v>1088</v>
      </c>
      <c r="M377" s="76" cm="1">
        <f t="array" ref="M377">L377*3.7</f>
        <v>4025.6</v>
      </c>
      <c r="N377" s="48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" customHeight="1">
      <c r="A378" t="s" s="71">
        <v>1422</v>
      </c>
      <c r="B378" s="64">
        <v>45915</v>
      </c>
      <c r="C378" s="61">
        <v>115</v>
      </c>
      <c r="D378" t="s" s="59">
        <v>278</v>
      </c>
      <c r="E378" t="s" s="59">
        <v>37</v>
      </c>
      <c r="F378" t="s" s="59">
        <v>1354</v>
      </c>
      <c r="G378" t="s" s="59">
        <v>1033</v>
      </c>
      <c r="H378" t="s" s="59">
        <v>1022</v>
      </c>
      <c r="I378" t="s" s="59">
        <v>50</v>
      </c>
      <c r="J378" s="64">
        <v>45936</v>
      </c>
      <c r="K378" s="72">
        <v>21</v>
      </c>
      <c r="L378" s="77">
        <v>2145</v>
      </c>
      <c r="M378" s="78" cm="1">
        <f t="array" ref="M378">L378*3.7</f>
        <v>7936.5</v>
      </c>
      <c r="N378" s="48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" customHeight="1">
      <c r="A379" t="s" s="68">
        <v>1423</v>
      </c>
      <c r="B379" s="55">
        <v>46096</v>
      </c>
      <c r="C379" s="52">
        <v>115</v>
      </c>
      <c r="D379" t="s" s="50">
        <v>278</v>
      </c>
      <c r="E379" t="s" s="50">
        <v>1358</v>
      </c>
      <c r="F379" t="s" s="50">
        <v>1359</v>
      </c>
      <c r="G379" t="s" s="50">
        <v>1021</v>
      </c>
      <c r="H379" t="s" s="50">
        <v>1022</v>
      </c>
      <c r="I379" t="s" s="50">
        <v>775</v>
      </c>
      <c r="J379" s="55">
        <v>46112</v>
      </c>
      <c r="K379" s="69">
        <v>16</v>
      </c>
      <c r="L379" s="75">
        <v>300</v>
      </c>
      <c r="M379" s="76" cm="1">
        <f t="array" ref="M379">L379*3.7</f>
        <v>1110</v>
      </c>
      <c r="N379" s="48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" customHeight="1">
      <c r="A380" t="s" s="71">
        <v>1424</v>
      </c>
      <c r="B380" s="64">
        <v>46101</v>
      </c>
      <c r="C380" s="61">
        <v>115</v>
      </c>
      <c r="D380" t="s" s="59">
        <v>278</v>
      </c>
      <c r="E380" t="s" s="59">
        <v>1358</v>
      </c>
      <c r="F380" t="s" s="59">
        <v>1359</v>
      </c>
      <c r="G380" t="s" s="59">
        <v>1033</v>
      </c>
      <c r="H380" t="s" s="59">
        <v>1022</v>
      </c>
      <c r="I380" t="s" s="59">
        <v>775</v>
      </c>
      <c r="J380" s="64">
        <v>46112</v>
      </c>
      <c r="K380" s="72">
        <v>11</v>
      </c>
      <c r="L380" s="77">
        <v>1017</v>
      </c>
      <c r="M380" s="78" cm="1">
        <f t="array" ref="M380">L380*3.7</f>
        <v>3762.9</v>
      </c>
      <c r="N380" s="48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" customHeight="1">
      <c r="A381" t="s" s="68">
        <v>1425</v>
      </c>
      <c r="B381" s="55">
        <v>46037</v>
      </c>
      <c r="C381" s="52">
        <v>116</v>
      </c>
      <c r="D381" t="s" s="50">
        <v>278</v>
      </c>
      <c r="E381" t="s" s="50">
        <v>1166</v>
      </c>
      <c r="F381" t="s" s="50">
        <v>1356</v>
      </c>
      <c r="G381" t="s" s="50">
        <v>1033</v>
      </c>
      <c r="H381" t="s" s="50">
        <v>1022</v>
      </c>
      <c r="I381" t="s" s="50">
        <v>49</v>
      </c>
      <c r="J381" s="55">
        <v>46051</v>
      </c>
      <c r="K381" s="69">
        <v>14</v>
      </c>
      <c r="L381" s="75">
        <v>2651</v>
      </c>
      <c r="M381" s="76" cm="1">
        <f t="array" ref="M381">L381*3.7</f>
        <v>9808.700000000001</v>
      </c>
      <c r="N381" s="48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" customHeight="1">
      <c r="A382" t="s" s="71">
        <v>1426</v>
      </c>
      <c r="B382" s="64">
        <v>45944</v>
      </c>
      <c r="C382" s="61">
        <v>116</v>
      </c>
      <c r="D382" t="s" s="59">
        <v>278</v>
      </c>
      <c r="E382" t="s" s="59">
        <v>1358</v>
      </c>
      <c r="F382" t="s" s="59">
        <v>1359</v>
      </c>
      <c r="G382" t="s" s="59">
        <v>1021</v>
      </c>
      <c r="H382" t="s" s="59">
        <v>1028</v>
      </c>
      <c r="I382" t="s" s="59">
        <v>775</v>
      </c>
      <c r="J382" s="64"/>
      <c r="K382" s="72"/>
      <c r="L382" s="77">
        <v>330</v>
      </c>
      <c r="M382" s="78" cm="1">
        <f t="array" ref="M382">L382*3.7</f>
        <v>1221</v>
      </c>
      <c r="N382" s="48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" customHeight="1">
      <c r="A383" t="s" s="68">
        <v>1427</v>
      </c>
      <c r="B383" s="55">
        <v>46111</v>
      </c>
      <c r="C383" s="52">
        <v>116</v>
      </c>
      <c r="D383" t="s" s="50">
        <v>278</v>
      </c>
      <c r="E383" t="s" s="50">
        <v>1358</v>
      </c>
      <c r="F383" t="s" s="50">
        <v>1359</v>
      </c>
      <c r="G383" t="s" s="50">
        <v>1021</v>
      </c>
      <c r="H383" t="s" s="50">
        <v>1022</v>
      </c>
      <c r="I383" t="s" s="50">
        <v>775</v>
      </c>
      <c r="J383" s="55">
        <v>46112</v>
      </c>
      <c r="K383" s="69">
        <v>1</v>
      </c>
      <c r="L383" s="75">
        <v>316</v>
      </c>
      <c r="M383" s="76" cm="1">
        <f t="array" ref="M383">L383*3.7</f>
        <v>1169.2</v>
      </c>
      <c r="N383" s="48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" customHeight="1">
      <c r="A384" t="s" s="71">
        <v>1428</v>
      </c>
      <c r="B384" s="64">
        <v>46108</v>
      </c>
      <c r="C384" s="61">
        <v>116</v>
      </c>
      <c r="D384" t="s" s="59">
        <v>278</v>
      </c>
      <c r="E384" t="s" s="59">
        <v>1024</v>
      </c>
      <c r="F384" t="s" s="59">
        <v>1362</v>
      </c>
      <c r="G384" t="s" s="59">
        <v>1033</v>
      </c>
      <c r="H384" t="s" s="59">
        <v>1022</v>
      </c>
      <c r="I384" t="s" s="59">
        <v>1026</v>
      </c>
      <c r="J384" s="64">
        <v>46112</v>
      </c>
      <c r="K384" s="72">
        <v>4</v>
      </c>
      <c r="L384" s="77">
        <v>1702</v>
      </c>
      <c r="M384" s="78" cm="1">
        <f t="array" ref="M384">L384*3.7</f>
        <v>6297.4</v>
      </c>
      <c r="N384" s="48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" customHeight="1">
      <c r="A385" t="s" s="68">
        <v>1429</v>
      </c>
      <c r="B385" s="55">
        <v>46097</v>
      </c>
      <c r="C385" s="52">
        <v>116</v>
      </c>
      <c r="D385" t="s" s="50">
        <v>278</v>
      </c>
      <c r="E385" t="s" s="50">
        <v>1024</v>
      </c>
      <c r="F385" t="s" s="50">
        <v>1362</v>
      </c>
      <c r="G385" t="s" s="50">
        <v>1033</v>
      </c>
      <c r="H385" t="s" s="50">
        <v>1022</v>
      </c>
      <c r="I385" t="s" s="50">
        <v>1026</v>
      </c>
      <c r="J385" s="55">
        <v>46106</v>
      </c>
      <c r="K385" s="69">
        <v>9</v>
      </c>
      <c r="L385" s="75">
        <v>1193</v>
      </c>
      <c r="M385" s="76" cm="1">
        <f t="array" ref="M385">L385*3.7</f>
        <v>4414.1</v>
      </c>
      <c r="N385" s="48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" customHeight="1">
      <c r="A386" t="s" s="71">
        <v>1430</v>
      </c>
      <c r="B386" s="64">
        <v>46004</v>
      </c>
      <c r="C386" s="61">
        <v>116</v>
      </c>
      <c r="D386" t="s" s="59">
        <v>278</v>
      </c>
      <c r="E386" t="s" s="59">
        <v>1024</v>
      </c>
      <c r="F386" t="s" s="59">
        <v>1362</v>
      </c>
      <c r="G386" t="s" s="59">
        <v>1033</v>
      </c>
      <c r="H386" t="s" s="59">
        <v>1022</v>
      </c>
      <c r="I386" t="s" s="59">
        <v>1026</v>
      </c>
      <c r="J386" s="64">
        <v>46020</v>
      </c>
      <c r="K386" s="72">
        <v>16</v>
      </c>
      <c r="L386" s="77">
        <v>1709</v>
      </c>
      <c r="M386" s="78" cm="1">
        <f t="array" ref="M386">L386*3.7</f>
        <v>6323.3</v>
      </c>
      <c r="N386" s="48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" customHeight="1">
      <c r="A387" t="s" s="68">
        <v>1431</v>
      </c>
      <c r="B387" s="55">
        <v>46083</v>
      </c>
      <c r="C387" s="52">
        <v>117</v>
      </c>
      <c r="D387" t="s" s="50">
        <v>278</v>
      </c>
      <c r="E387" t="s" s="50">
        <v>1166</v>
      </c>
      <c r="F387" t="s" s="50">
        <v>1356</v>
      </c>
      <c r="G387" t="s" s="50">
        <v>1021</v>
      </c>
      <c r="H387" t="s" s="50">
        <v>1022</v>
      </c>
      <c r="I387" t="s" s="50">
        <v>49</v>
      </c>
      <c r="J387" s="55">
        <v>46094</v>
      </c>
      <c r="K387" s="69">
        <v>11</v>
      </c>
      <c r="L387" s="75">
        <v>1038</v>
      </c>
      <c r="M387" s="76" cm="1">
        <f t="array" ref="M387">L387*3.7</f>
        <v>3840.6</v>
      </c>
      <c r="N387" s="48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" customHeight="1">
      <c r="A388" t="s" s="71">
        <v>1432</v>
      </c>
      <c r="B388" s="64">
        <v>45915</v>
      </c>
      <c r="C388" s="61">
        <v>117</v>
      </c>
      <c r="D388" t="s" s="59">
        <v>278</v>
      </c>
      <c r="E388" t="s" s="59">
        <v>1166</v>
      </c>
      <c r="F388" t="s" s="59">
        <v>1356</v>
      </c>
      <c r="G388" t="s" s="59">
        <v>1021</v>
      </c>
      <c r="H388" t="s" s="59">
        <v>1028</v>
      </c>
      <c r="I388" t="s" s="59">
        <v>49</v>
      </c>
      <c r="J388" s="64"/>
      <c r="K388" s="72"/>
      <c r="L388" s="77">
        <v>1037</v>
      </c>
      <c r="M388" s="78" cm="1">
        <f t="array" ref="M388">L388*3.7</f>
        <v>3836.9</v>
      </c>
      <c r="N388" s="48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" customHeight="1">
      <c r="A389" t="s" s="68">
        <v>1433</v>
      </c>
      <c r="B389" s="55">
        <v>46009</v>
      </c>
      <c r="C389" s="52">
        <v>117</v>
      </c>
      <c r="D389" t="s" s="50">
        <v>278</v>
      </c>
      <c r="E389" t="s" s="50">
        <v>1358</v>
      </c>
      <c r="F389" t="s" s="50">
        <v>1359</v>
      </c>
      <c r="G389" t="s" s="50">
        <v>1021</v>
      </c>
      <c r="H389" t="s" s="50">
        <v>1022</v>
      </c>
      <c r="I389" t="s" s="50">
        <v>775</v>
      </c>
      <c r="J389" s="55">
        <v>46019</v>
      </c>
      <c r="K389" s="69">
        <v>10</v>
      </c>
      <c r="L389" s="75">
        <v>259</v>
      </c>
      <c r="M389" s="76" cm="1">
        <f t="array" ref="M389">L389*3.7</f>
        <v>958.3</v>
      </c>
      <c r="N389" s="48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" customHeight="1">
      <c r="A390" t="s" s="71">
        <v>1434</v>
      </c>
      <c r="B390" s="64">
        <v>46104</v>
      </c>
      <c r="C390" s="61">
        <v>118</v>
      </c>
      <c r="D390" t="s" s="59">
        <v>278</v>
      </c>
      <c r="E390" t="s" s="59">
        <v>1024</v>
      </c>
      <c r="F390" t="s" s="59">
        <v>1362</v>
      </c>
      <c r="G390" t="s" s="59">
        <v>1021</v>
      </c>
      <c r="H390" t="s" s="59">
        <v>1022</v>
      </c>
      <c r="I390" t="s" s="59">
        <v>1026</v>
      </c>
      <c r="J390" s="64">
        <v>46112</v>
      </c>
      <c r="K390" s="72">
        <v>8</v>
      </c>
      <c r="L390" s="77">
        <v>468</v>
      </c>
      <c r="M390" s="78" cm="1">
        <f t="array" ref="M390">L390*3.7</f>
        <v>1731.6</v>
      </c>
      <c r="N390" s="48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" customHeight="1">
      <c r="A391" t="s" s="68">
        <v>1435</v>
      </c>
      <c r="B391" s="55">
        <v>46058</v>
      </c>
      <c r="C391" s="52">
        <v>118</v>
      </c>
      <c r="D391" t="s" s="50">
        <v>278</v>
      </c>
      <c r="E391" t="s" s="50">
        <v>1358</v>
      </c>
      <c r="F391" t="s" s="50">
        <v>1359</v>
      </c>
      <c r="G391" t="s" s="50">
        <v>1033</v>
      </c>
      <c r="H391" t="s" s="50">
        <v>1022</v>
      </c>
      <c r="I391" t="s" s="50">
        <v>775</v>
      </c>
      <c r="J391" s="55">
        <v>46066</v>
      </c>
      <c r="K391" s="69">
        <v>8</v>
      </c>
      <c r="L391" s="75">
        <v>800</v>
      </c>
      <c r="M391" s="76" cm="1">
        <f t="array" ref="M391">L391*3.7</f>
        <v>2960</v>
      </c>
      <c r="N391" s="48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" customHeight="1">
      <c r="A392" t="s" s="71">
        <v>1436</v>
      </c>
      <c r="B392" s="64">
        <v>46016</v>
      </c>
      <c r="C392" s="61">
        <v>118</v>
      </c>
      <c r="D392" t="s" s="59">
        <v>278</v>
      </c>
      <c r="E392" t="s" s="59">
        <v>1024</v>
      </c>
      <c r="F392" t="s" s="59">
        <v>1362</v>
      </c>
      <c r="G392" t="s" s="59">
        <v>1033</v>
      </c>
      <c r="H392" t="s" s="59">
        <v>1022</v>
      </c>
      <c r="I392" t="s" s="59">
        <v>1026</v>
      </c>
      <c r="J392" s="64">
        <v>46025</v>
      </c>
      <c r="K392" s="72">
        <v>9</v>
      </c>
      <c r="L392" s="77">
        <v>1511</v>
      </c>
      <c r="M392" s="78" cm="1">
        <f t="array" ref="M392">L392*3.7</f>
        <v>5590.7</v>
      </c>
      <c r="N392" s="48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" customHeight="1">
      <c r="A393" t="s" s="68">
        <v>1437</v>
      </c>
      <c r="B393" s="55">
        <v>46014</v>
      </c>
      <c r="C393" s="52">
        <v>118</v>
      </c>
      <c r="D393" t="s" s="50">
        <v>278</v>
      </c>
      <c r="E393" t="s" s="50">
        <v>37</v>
      </c>
      <c r="F393" t="s" s="50">
        <v>1354</v>
      </c>
      <c r="G393" t="s" s="50">
        <v>1033</v>
      </c>
      <c r="H393" t="s" s="50">
        <v>1022</v>
      </c>
      <c r="I393" t="s" s="50">
        <v>50</v>
      </c>
      <c r="J393" s="55">
        <v>46021</v>
      </c>
      <c r="K393" s="69">
        <v>7</v>
      </c>
      <c r="L393" s="75">
        <v>3152</v>
      </c>
      <c r="M393" s="76" cm="1">
        <f t="array" ref="M393">L393*3.7</f>
        <v>11662.4</v>
      </c>
      <c r="N393" s="48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" customHeight="1">
      <c r="A394" t="s" s="71">
        <v>1438</v>
      </c>
      <c r="B394" s="64">
        <v>46075</v>
      </c>
      <c r="C394" s="61">
        <v>118</v>
      </c>
      <c r="D394" t="s" s="59">
        <v>278</v>
      </c>
      <c r="E394" t="s" s="59">
        <v>1166</v>
      </c>
      <c r="F394" t="s" s="59">
        <v>1356</v>
      </c>
      <c r="G394" t="s" s="59">
        <v>1033</v>
      </c>
      <c r="H394" t="s" s="59">
        <v>1022</v>
      </c>
      <c r="I394" t="s" s="59">
        <v>49</v>
      </c>
      <c r="J394" s="64">
        <v>46091</v>
      </c>
      <c r="K394" s="72">
        <v>16</v>
      </c>
      <c r="L394" s="77">
        <v>2320</v>
      </c>
      <c r="M394" s="78" cm="1">
        <f t="array" ref="M394">L394*3.7</f>
        <v>8584</v>
      </c>
      <c r="N394" s="48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" customHeight="1">
      <c r="A395" t="s" s="68">
        <v>1439</v>
      </c>
      <c r="B395" s="55">
        <v>46094</v>
      </c>
      <c r="C395" s="52">
        <v>119</v>
      </c>
      <c r="D395" t="s" s="50">
        <v>278</v>
      </c>
      <c r="E395" t="s" s="50">
        <v>1358</v>
      </c>
      <c r="F395" t="s" s="50">
        <v>1359</v>
      </c>
      <c r="G395" t="s" s="50">
        <v>1021</v>
      </c>
      <c r="H395" t="s" s="50">
        <v>1022</v>
      </c>
      <c r="I395" t="s" s="50">
        <v>775</v>
      </c>
      <c r="J395" s="55">
        <v>46102</v>
      </c>
      <c r="K395" s="69">
        <v>8</v>
      </c>
      <c r="L395" s="75">
        <v>331</v>
      </c>
      <c r="M395" s="76" cm="1">
        <f t="array" ref="M395">L395*3.7</f>
        <v>1224.7</v>
      </c>
      <c r="N395" s="48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" customHeight="1">
      <c r="A396" t="s" s="71">
        <v>1440</v>
      </c>
      <c r="B396" s="64">
        <v>46039</v>
      </c>
      <c r="C396" s="61">
        <v>119</v>
      </c>
      <c r="D396" t="s" s="59">
        <v>278</v>
      </c>
      <c r="E396" t="s" s="59">
        <v>1166</v>
      </c>
      <c r="F396" t="s" s="59">
        <v>1356</v>
      </c>
      <c r="G396" t="s" s="59">
        <v>1033</v>
      </c>
      <c r="H396" t="s" s="59">
        <v>1022</v>
      </c>
      <c r="I396" t="s" s="59">
        <v>49</v>
      </c>
      <c r="J396" s="64">
        <v>46049</v>
      </c>
      <c r="K396" s="72">
        <v>10</v>
      </c>
      <c r="L396" s="77">
        <v>2632</v>
      </c>
      <c r="M396" s="78" cm="1">
        <f t="array" ref="M396">L396*3.7</f>
        <v>9738.4</v>
      </c>
      <c r="N396" s="48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" customHeight="1">
      <c r="A397" t="s" s="68">
        <v>1441</v>
      </c>
      <c r="B397" s="55">
        <v>46010</v>
      </c>
      <c r="C397" s="52">
        <v>119</v>
      </c>
      <c r="D397" t="s" s="50">
        <v>278</v>
      </c>
      <c r="E397" t="s" s="50">
        <v>1358</v>
      </c>
      <c r="F397" t="s" s="50">
        <v>1359</v>
      </c>
      <c r="G397" t="s" s="50">
        <v>1021</v>
      </c>
      <c r="H397" t="s" s="50">
        <v>1022</v>
      </c>
      <c r="I397" t="s" s="50">
        <v>775</v>
      </c>
      <c r="J397" s="55">
        <v>46013</v>
      </c>
      <c r="K397" s="69">
        <v>3</v>
      </c>
      <c r="L397" s="75">
        <v>281</v>
      </c>
      <c r="M397" s="76" cm="1">
        <f t="array" ref="M397">L397*3.7</f>
        <v>1039.7</v>
      </c>
      <c r="N397" s="48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" customHeight="1">
      <c r="A398" t="s" s="71">
        <v>1442</v>
      </c>
      <c r="B398" s="64">
        <v>45994</v>
      </c>
      <c r="C398" s="61">
        <v>120</v>
      </c>
      <c r="D398" t="s" s="59">
        <v>278</v>
      </c>
      <c r="E398" t="s" s="59">
        <v>1358</v>
      </c>
      <c r="F398" t="s" s="59">
        <v>1359</v>
      </c>
      <c r="G398" t="s" s="59">
        <v>1033</v>
      </c>
      <c r="H398" t="s" s="59">
        <v>1022</v>
      </c>
      <c r="I398" t="s" s="59">
        <v>775</v>
      </c>
      <c r="J398" s="64">
        <v>46013</v>
      </c>
      <c r="K398" s="72">
        <v>19</v>
      </c>
      <c r="L398" s="77">
        <v>796</v>
      </c>
      <c r="M398" s="78" cm="1">
        <f t="array" ref="M398">L398*3.7</f>
        <v>2945.2</v>
      </c>
      <c r="N398" s="48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" customHeight="1">
      <c r="A399" t="s" s="68">
        <v>1443</v>
      </c>
      <c r="B399" s="55">
        <v>46094</v>
      </c>
      <c r="C399" s="52">
        <v>120</v>
      </c>
      <c r="D399" t="s" s="50">
        <v>278</v>
      </c>
      <c r="E399" t="s" s="50">
        <v>1166</v>
      </c>
      <c r="F399" t="s" s="50">
        <v>1356</v>
      </c>
      <c r="G399" t="s" s="50">
        <v>1021</v>
      </c>
      <c r="H399" t="s" s="50">
        <v>1022</v>
      </c>
      <c r="I399" t="s" s="50">
        <v>49</v>
      </c>
      <c r="J399" s="55">
        <v>46100</v>
      </c>
      <c r="K399" s="69">
        <v>6</v>
      </c>
      <c r="L399" s="75">
        <v>1058</v>
      </c>
      <c r="M399" s="76" cm="1">
        <f t="array" ref="M399">L399*3.7</f>
        <v>3914.6</v>
      </c>
      <c r="N399" s="48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" customHeight="1">
      <c r="A400" t="s" s="71">
        <v>1444</v>
      </c>
      <c r="B400" s="64">
        <v>46088</v>
      </c>
      <c r="C400" s="61">
        <v>120</v>
      </c>
      <c r="D400" t="s" s="59">
        <v>278</v>
      </c>
      <c r="E400" t="s" s="59">
        <v>1024</v>
      </c>
      <c r="F400" t="s" s="59">
        <v>1362</v>
      </c>
      <c r="G400" t="s" s="59">
        <v>1033</v>
      </c>
      <c r="H400" t="s" s="59">
        <v>1022</v>
      </c>
      <c r="I400" t="s" s="59">
        <v>1026</v>
      </c>
      <c r="J400" s="64">
        <v>46092</v>
      </c>
      <c r="K400" s="72">
        <v>4</v>
      </c>
      <c r="L400" s="77">
        <v>1217</v>
      </c>
      <c r="M400" s="78" cm="1">
        <f t="array" ref="M400">L400*3.7</f>
        <v>4502.9</v>
      </c>
      <c r="N400" s="48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" customHeight="1">
      <c r="A401" t="s" s="68">
        <v>1445</v>
      </c>
      <c r="B401" s="55">
        <v>46045</v>
      </c>
      <c r="C401" s="52">
        <v>120</v>
      </c>
      <c r="D401" t="s" s="50">
        <v>278</v>
      </c>
      <c r="E401" t="s" s="50">
        <v>1166</v>
      </c>
      <c r="F401" t="s" s="50">
        <v>1356</v>
      </c>
      <c r="G401" t="s" s="50">
        <v>1021</v>
      </c>
      <c r="H401" t="s" s="50">
        <v>1022</v>
      </c>
      <c r="I401" t="s" s="50">
        <v>49</v>
      </c>
      <c r="J401" s="55">
        <v>46064</v>
      </c>
      <c r="K401" s="69">
        <v>19</v>
      </c>
      <c r="L401" s="75">
        <v>902</v>
      </c>
      <c r="M401" s="76" cm="1">
        <f t="array" ref="M401">L401*3.7</f>
        <v>3337.4</v>
      </c>
      <c r="N401" s="48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" customHeight="1">
      <c r="A402" t="s" s="71">
        <v>1446</v>
      </c>
      <c r="B402" s="64">
        <v>45921</v>
      </c>
      <c r="C402" s="61">
        <v>120</v>
      </c>
      <c r="D402" t="s" s="59">
        <v>278</v>
      </c>
      <c r="E402" t="s" s="59">
        <v>1024</v>
      </c>
      <c r="F402" t="s" s="59">
        <v>1362</v>
      </c>
      <c r="G402" t="s" s="59">
        <v>1021</v>
      </c>
      <c r="H402" t="s" s="59">
        <v>1022</v>
      </c>
      <c r="I402" t="s" s="59">
        <v>1026</v>
      </c>
      <c r="J402" s="64">
        <v>45931</v>
      </c>
      <c r="K402" s="72">
        <v>10</v>
      </c>
      <c r="L402" s="77">
        <v>470</v>
      </c>
      <c r="M402" s="78" cm="1">
        <f t="array" ref="M402">L402*3.7</f>
        <v>1739</v>
      </c>
      <c r="N402" s="48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" customHeight="1">
      <c r="A403" t="s" s="68">
        <v>1447</v>
      </c>
      <c r="B403" s="55">
        <v>46111</v>
      </c>
      <c r="C403" s="52">
        <v>120</v>
      </c>
      <c r="D403" t="s" s="50">
        <v>278</v>
      </c>
      <c r="E403" t="s" s="50">
        <v>1166</v>
      </c>
      <c r="F403" t="s" s="50">
        <v>1356</v>
      </c>
      <c r="G403" t="s" s="50">
        <v>1021</v>
      </c>
      <c r="H403" t="s" s="50">
        <v>1022</v>
      </c>
      <c r="I403" t="s" s="50">
        <v>49</v>
      </c>
      <c r="J403" s="55">
        <v>46112</v>
      </c>
      <c r="K403" s="69">
        <v>1</v>
      </c>
      <c r="L403" s="75">
        <v>789</v>
      </c>
      <c r="M403" s="76" cm="1">
        <f t="array" ref="M403">L403*3.7</f>
        <v>2919.3</v>
      </c>
      <c r="N403" s="48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79"/>
      <c r="M404" s="80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</sheetData>
  <mergeCells count="2">
    <mergeCell ref="A1:L1"/>
    <mergeCell ref="A2:L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AB14"/>
  <sheetViews>
    <sheetView workbookViewId="0" showGridLines="0" defaultGridColor="1"/>
  </sheetViews>
  <sheetFormatPr defaultColWidth="8.83333" defaultRowHeight="15" customHeight="1" outlineLevelRow="0" outlineLevelCol="0"/>
  <cols>
    <col min="1" max="1" width="22" style="81" customWidth="1"/>
    <col min="2" max="2" width="10" style="81" customWidth="1"/>
    <col min="3" max="3" width="18" style="81" customWidth="1"/>
    <col min="4" max="5" width="14" style="81" customWidth="1"/>
    <col min="6" max="6" width="18" style="81" customWidth="1"/>
    <col min="7" max="9" width="12" style="81" customWidth="1"/>
    <col min="10" max="10" width="16" style="81" customWidth="1"/>
    <col min="11" max="12" width="16.2812" style="81" customWidth="1"/>
    <col min="13" max="14" width="16" style="81" customWidth="1"/>
    <col min="15" max="28" width="8.85156" style="81" customWidth="1"/>
    <col min="29" max="16384" width="8.85156" style="81" customWidth="1"/>
  </cols>
  <sheetData>
    <row r="1" ht="24" customHeight="1">
      <c r="A1" t="s" s="2">
        <v>1448</v>
      </c>
      <c r="B1" s="3"/>
      <c r="C1" s="4"/>
      <c r="D1" s="4"/>
      <c r="E1" s="4"/>
      <c r="F1" s="4"/>
      <c r="G1" s="4"/>
      <c r="H1" s="4"/>
      <c r="I1" s="4"/>
      <c r="J1" s="4"/>
      <c r="K1" s="4"/>
      <c r="L1" s="7"/>
      <c r="M1" s="4"/>
      <c r="N1" s="8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" customHeight="1">
      <c r="A2" t="s" s="5">
        <v>1449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3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" customHeight="1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0" customHeight="1">
      <c r="A4" t="s" s="45">
        <v>1450</v>
      </c>
      <c r="B4" t="s" s="46">
        <v>1451</v>
      </c>
      <c r="C4" t="s" s="46">
        <v>1452</v>
      </c>
      <c r="D4" t="s" s="46">
        <v>1453</v>
      </c>
      <c r="E4" t="s" s="46">
        <v>1454</v>
      </c>
      <c r="F4" t="s" s="46">
        <v>1455</v>
      </c>
      <c r="G4" t="s" s="46">
        <v>1456</v>
      </c>
      <c r="H4" t="s" s="46">
        <v>1457</v>
      </c>
      <c r="I4" t="s" s="46">
        <v>1458</v>
      </c>
      <c r="J4" t="s" s="46">
        <v>1459</v>
      </c>
      <c r="K4" t="s" s="46">
        <v>1460</v>
      </c>
      <c r="L4" t="s" s="46">
        <v>1461</v>
      </c>
      <c r="M4" t="s" s="46">
        <v>1462</v>
      </c>
      <c r="N4" t="s" s="47">
        <v>1463</v>
      </c>
      <c r="O4" s="48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5" customHeight="1">
      <c r="A5" t="s" s="68">
        <v>1464</v>
      </c>
      <c r="B5" t="s" s="50">
        <v>1465</v>
      </c>
      <c r="C5" s="53">
        <v>24600</v>
      </c>
      <c r="D5" s="53">
        <v>25100</v>
      </c>
      <c r="E5" s="53">
        <v>24950</v>
      </c>
      <c r="F5" s="53">
        <v>24215</v>
      </c>
      <c r="G5" s="53">
        <v>735</v>
      </c>
      <c r="H5" s="51">
        <v>0.0294589178356713</v>
      </c>
      <c r="I5" s="51">
        <v>0.03</v>
      </c>
      <c r="J5" t="s" s="50">
        <v>15</v>
      </c>
      <c r="K5" s="75">
        <v>320</v>
      </c>
      <c r="L5" s="84" cm="1">
        <f t="array" ref="L5">K5*3.7</f>
        <v>1184</v>
      </c>
      <c r="M5" s="75">
        <v>235200</v>
      </c>
      <c r="N5" s="76" cm="1">
        <f t="array" ref="N5">M5*3.7</f>
        <v>870240</v>
      </c>
      <c r="O5" s="48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5" customHeight="1">
      <c r="A6" t="s" s="71">
        <v>1466</v>
      </c>
      <c r="B6" t="s" s="59">
        <v>1467</v>
      </c>
      <c r="C6" s="62">
        <v>3180</v>
      </c>
      <c r="D6" s="62">
        <v>3250</v>
      </c>
      <c r="E6" s="62">
        <v>3210</v>
      </c>
      <c r="F6" s="62">
        <v>3132</v>
      </c>
      <c r="G6" s="62">
        <v>78</v>
      </c>
      <c r="H6" s="60">
        <v>0.0242990654205607</v>
      </c>
      <c r="I6" s="60">
        <v>0.025</v>
      </c>
      <c r="J6" t="s" s="59">
        <v>15</v>
      </c>
      <c r="K6" s="85">
        <v>3300</v>
      </c>
      <c r="L6" s="86" cm="1">
        <f t="array" ref="L6">K6*3.7</f>
        <v>12210</v>
      </c>
      <c r="M6" s="77">
        <v>257400</v>
      </c>
      <c r="N6" s="78" cm="1">
        <f t="array" ref="N6">M6*3.7</f>
        <v>952380</v>
      </c>
      <c r="O6" s="48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5" customHeight="1">
      <c r="A7" t="s" s="68">
        <v>1468</v>
      </c>
      <c r="B7" t="s" s="50">
        <v>1469</v>
      </c>
      <c r="C7" s="53">
        <v>146000</v>
      </c>
      <c r="D7" s="53">
        <v>149200</v>
      </c>
      <c r="E7" s="53">
        <v>147500</v>
      </c>
      <c r="F7" s="53">
        <v>141850</v>
      </c>
      <c r="G7" s="53">
        <v>5650</v>
      </c>
      <c r="H7" s="51">
        <v>0.0383050847457627</v>
      </c>
      <c r="I7" s="51">
        <v>0.04</v>
      </c>
      <c r="J7" t="s" s="50">
        <v>15</v>
      </c>
      <c r="K7" s="75">
        <v>48</v>
      </c>
      <c r="L7" s="84" cm="1">
        <f t="array" ref="L7">K7*3.7</f>
        <v>177.6</v>
      </c>
      <c r="M7" s="75">
        <v>271200</v>
      </c>
      <c r="N7" s="76" cm="1">
        <f t="array" ref="N7">M7*3.7</f>
        <v>1003440</v>
      </c>
      <c r="O7" s="48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5" customHeight="1">
      <c r="A8" t="s" s="71">
        <v>1470</v>
      </c>
      <c r="B8" t="s" s="59">
        <v>1469</v>
      </c>
      <c r="C8" s="62">
        <v>31400</v>
      </c>
      <c r="D8" s="62">
        <v>32100</v>
      </c>
      <c r="E8" s="62">
        <v>31900</v>
      </c>
      <c r="F8" s="62">
        <v>30980</v>
      </c>
      <c r="G8" s="62">
        <v>920</v>
      </c>
      <c r="H8" s="60">
        <v>0.0288401253918495</v>
      </c>
      <c r="I8" s="60">
        <v>0.03</v>
      </c>
      <c r="J8" t="s" s="59">
        <v>15</v>
      </c>
      <c r="K8" s="85">
        <v>38</v>
      </c>
      <c r="L8" s="86" cm="1">
        <f t="array" ref="L8">K8*3.7</f>
        <v>140.6</v>
      </c>
      <c r="M8" s="77">
        <v>34960</v>
      </c>
      <c r="N8" s="78" cm="1">
        <f t="array" ref="N8">M8*3.7</f>
        <v>129352</v>
      </c>
      <c r="O8" s="48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5" customHeight="1">
      <c r="A9" t="s" s="68">
        <v>1471</v>
      </c>
      <c r="B9" t="s" s="50">
        <v>1469</v>
      </c>
      <c r="C9" s="53">
        <v>118000</v>
      </c>
      <c r="D9" s="53">
        <v>120400</v>
      </c>
      <c r="E9" s="53">
        <v>119100</v>
      </c>
      <c r="F9" s="53">
        <v>113980</v>
      </c>
      <c r="G9" s="53">
        <v>5120</v>
      </c>
      <c r="H9" s="51">
        <v>0.0429890848026868</v>
      </c>
      <c r="I9" s="51">
        <v>0.05</v>
      </c>
      <c r="J9" t="s" s="50">
        <v>15</v>
      </c>
      <c r="K9" s="75">
        <v>24</v>
      </c>
      <c r="L9" s="84" cm="1">
        <f t="array" ref="L9">K9*3.7</f>
        <v>88.8</v>
      </c>
      <c r="M9" s="75">
        <v>122880</v>
      </c>
      <c r="N9" s="76" cm="1">
        <f t="array" ref="N9">M9*3.7</f>
        <v>454656</v>
      </c>
      <c r="O9" s="48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5" customHeight="1">
      <c r="A10" t="s" s="71">
        <v>1472</v>
      </c>
      <c r="B10" t="s" s="59">
        <v>1469</v>
      </c>
      <c r="C10" s="62">
        <v>52600</v>
      </c>
      <c r="D10" s="62">
        <v>53900</v>
      </c>
      <c r="E10" s="62">
        <v>53100</v>
      </c>
      <c r="F10" s="62">
        <v>50760</v>
      </c>
      <c r="G10" s="62">
        <v>2340</v>
      </c>
      <c r="H10" s="60">
        <v>0.0440677966101695</v>
      </c>
      <c r="I10" s="60">
        <v>0.04</v>
      </c>
      <c r="J10" t="s" s="59">
        <v>35</v>
      </c>
      <c r="K10" s="85">
        <v>72</v>
      </c>
      <c r="L10" s="86" cm="1">
        <f t="array" ref="L10">K10*3.7</f>
        <v>266.4</v>
      </c>
      <c r="M10" s="77">
        <v>168480</v>
      </c>
      <c r="N10" s="78" cm="1">
        <f t="array" ref="N10">M10*3.7</f>
        <v>623376</v>
      </c>
      <c r="O10" s="48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5" customHeight="1">
      <c r="A11" t="s" s="68">
        <v>1473</v>
      </c>
      <c r="B11" t="s" s="50">
        <v>1469</v>
      </c>
      <c r="C11" s="53">
        <v>81700</v>
      </c>
      <c r="D11" s="53">
        <v>83000</v>
      </c>
      <c r="E11" s="53">
        <v>82500</v>
      </c>
      <c r="F11" s="53">
        <v>77880</v>
      </c>
      <c r="G11" s="53">
        <v>4620</v>
      </c>
      <c r="H11" s="51">
        <v>0.056</v>
      </c>
      <c r="I11" s="51">
        <v>0.06</v>
      </c>
      <c r="J11" t="s" s="50">
        <v>15</v>
      </c>
      <c r="K11" s="75">
        <v>18</v>
      </c>
      <c r="L11" s="84" cm="1">
        <f t="array" ref="L11">K11*3.7</f>
        <v>66.59999999999999</v>
      </c>
      <c r="M11" s="75">
        <v>83160</v>
      </c>
      <c r="N11" s="76" cm="1">
        <f t="array" ref="N11">M11*3.7</f>
        <v>307692</v>
      </c>
      <c r="O11" s="48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5" customHeight="1">
      <c r="A12" t="s" s="71">
        <v>1474</v>
      </c>
      <c r="B12" t="s" s="59">
        <v>1475</v>
      </c>
      <c r="C12" s="62">
        <v>196000</v>
      </c>
      <c r="D12" s="62">
        <v>198800</v>
      </c>
      <c r="E12" s="62">
        <v>197400</v>
      </c>
      <c r="F12" s="62">
        <v>193630</v>
      </c>
      <c r="G12" s="62">
        <v>3770</v>
      </c>
      <c r="H12" s="60">
        <v>0.0190982776089159</v>
      </c>
      <c r="I12" s="60">
        <v>0.02</v>
      </c>
      <c r="J12" t="s" s="59">
        <v>15</v>
      </c>
      <c r="K12" s="85">
        <v>14</v>
      </c>
      <c r="L12" s="86" cm="1">
        <f t="array" ref="L12">K12*3.7</f>
        <v>51.8</v>
      </c>
      <c r="M12" s="77">
        <v>52780</v>
      </c>
      <c r="N12" s="78" cm="1">
        <f t="array" ref="N12">M12*3.7</f>
        <v>195286</v>
      </c>
      <c r="O12" s="48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" customHeight="1">
      <c r="A13" t="s" s="68">
        <v>1476</v>
      </c>
      <c r="B13" t="s" s="50">
        <v>1475</v>
      </c>
      <c r="C13" s="53">
        <v>128500</v>
      </c>
      <c r="D13" s="53">
        <v>130200</v>
      </c>
      <c r="E13" s="53">
        <v>129600</v>
      </c>
      <c r="F13" s="53">
        <v>126840</v>
      </c>
      <c r="G13" s="53">
        <v>2760</v>
      </c>
      <c r="H13" s="51">
        <v>0.0212962962962963</v>
      </c>
      <c r="I13" s="51">
        <v>0.02</v>
      </c>
      <c r="J13" t="s" s="50">
        <v>35</v>
      </c>
      <c r="K13" s="75">
        <v>26</v>
      </c>
      <c r="L13" s="84" cm="1">
        <f t="array" ref="L13">K13*3.7</f>
        <v>96.2</v>
      </c>
      <c r="M13" s="75">
        <v>71760</v>
      </c>
      <c r="N13" s="76" cm="1">
        <f t="array" ref="N13">M13*3.7</f>
        <v>265512</v>
      </c>
      <c r="O13" s="48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5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</sheetData>
  <mergeCells count="2">
    <mergeCell ref="A1:M1"/>
    <mergeCell ref="A2:M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AB25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87" customWidth="1"/>
    <col min="2" max="2" width="22" style="87" customWidth="1"/>
    <col min="3" max="3" width="10" style="87" customWidth="1"/>
    <col min="4" max="5" width="14" style="87" customWidth="1"/>
    <col min="6" max="10" width="12" style="87" customWidth="1"/>
    <col min="11" max="12" width="16" style="87" customWidth="1"/>
    <col min="13" max="13" width="34" style="87" customWidth="1"/>
    <col min="14" max="28" width="8.85156" style="87" customWidth="1"/>
    <col min="29" max="16384" width="8.85156" style="87" customWidth="1"/>
  </cols>
  <sheetData>
    <row r="1" ht="24" customHeight="1">
      <c r="A1" t="s" s="2">
        <v>1477</v>
      </c>
      <c r="B1" s="3"/>
      <c r="C1" s="4"/>
      <c r="D1" s="4"/>
      <c r="E1" s="4"/>
      <c r="F1" s="4"/>
      <c r="G1" s="4"/>
      <c r="H1" s="4"/>
      <c r="I1" s="4"/>
      <c r="J1" s="7"/>
      <c r="K1" s="4"/>
      <c r="L1" s="7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8" customHeight="1">
      <c r="A2" t="s" s="5">
        <v>1478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0" customHeight="1">
      <c r="A4" t="s" s="14">
        <v>1479</v>
      </c>
      <c r="B4" t="s" s="15">
        <v>1480</v>
      </c>
      <c r="C4" t="s" s="15">
        <v>1451</v>
      </c>
      <c r="D4" t="s" s="15">
        <v>1481</v>
      </c>
      <c r="E4" t="s" s="15">
        <v>1482</v>
      </c>
      <c r="F4" t="s" s="15">
        <v>1456</v>
      </c>
      <c r="G4" t="s" s="15">
        <v>1457</v>
      </c>
      <c r="H4" t="s" s="15">
        <v>1458</v>
      </c>
      <c r="I4" t="s" s="15">
        <v>1460</v>
      </c>
      <c r="J4" t="s" s="15">
        <v>1460</v>
      </c>
      <c r="K4" t="s" s="15">
        <v>1462</v>
      </c>
      <c r="L4" t="s" s="15">
        <v>1462</v>
      </c>
      <c r="M4" t="s" s="15">
        <v>1483</v>
      </c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5" customHeight="1">
      <c r="A5" t="s" s="23">
        <v>1484</v>
      </c>
      <c r="B5" t="s" s="23">
        <v>1464</v>
      </c>
      <c r="C5" t="s" s="23">
        <v>1465</v>
      </c>
      <c r="D5" s="88">
        <v>24950</v>
      </c>
      <c r="E5" s="88">
        <v>24215</v>
      </c>
      <c r="F5" s="88">
        <v>735</v>
      </c>
      <c r="G5" s="40">
        <v>0.0294589178356713</v>
      </c>
      <c r="H5" s="40">
        <v>0.03</v>
      </c>
      <c r="I5" s="88">
        <v>320</v>
      </c>
      <c r="J5" s="89" cm="1">
        <f t="array" ref="J5">I5*3.7</f>
        <v>1184</v>
      </c>
      <c r="K5" s="88">
        <v>235200</v>
      </c>
      <c r="L5" s="89" cm="1">
        <f t="array" ref="L5">K5*3.7</f>
        <v>870240</v>
      </c>
      <c r="M5" t="s" s="23">
        <v>1485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5" customHeight="1">
      <c r="A6" t="s" s="28">
        <v>1484</v>
      </c>
      <c r="B6" t="s" s="28">
        <v>1466</v>
      </c>
      <c r="C6" t="s" s="28">
        <v>1467</v>
      </c>
      <c r="D6" s="38">
        <v>3210</v>
      </c>
      <c r="E6" s="38">
        <v>3132</v>
      </c>
      <c r="F6" s="38">
        <v>78</v>
      </c>
      <c r="G6" s="26">
        <v>0.0242990654205607</v>
      </c>
      <c r="H6" s="26">
        <v>0.025</v>
      </c>
      <c r="I6" s="38">
        <v>3300</v>
      </c>
      <c r="J6" s="90" cm="1">
        <f t="array" ref="J6">I6*3.7</f>
        <v>12210</v>
      </c>
      <c r="K6" s="38">
        <v>257400</v>
      </c>
      <c r="L6" s="90" cm="1">
        <f t="array" ref="L6">K6*3.7</f>
        <v>952380</v>
      </c>
      <c r="M6" t="s" s="28">
        <v>1485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5" customHeight="1">
      <c r="A7" t="s" s="28">
        <v>1484</v>
      </c>
      <c r="B7" t="s" s="28">
        <v>1468</v>
      </c>
      <c r="C7" t="s" s="28">
        <v>1469</v>
      </c>
      <c r="D7" s="38">
        <v>147500</v>
      </c>
      <c r="E7" s="38">
        <v>141850</v>
      </c>
      <c r="F7" s="38">
        <v>5650</v>
      </c>
      <c r="G7" s="26">
        <v>0.0383050847457627</v>
      </c>
      <c r="H7" s="26">
        <v>0.04</v>
      </c>
      <c r="I7" s="38">
        <v>48</v>
      </c>
      <c r="J7" s="90" cm="1">
        <f t="array" ref="J7">I7*3.7</f>
        <v>177.6</v>
      </c>
      <c r="K7" s="38">
        <v>271200</v>
      </c>
      <c r="L7" s="90" cm="1">
        <f t="array" ref="L7">K7*3.7</f>
        <v>1003440</v>
      </c>
      <c r="M7" t="s" s="28">
        <v>1485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5" customHeight="1">
      <c r="A8" t="s" s="28">
        <v>1484</v>
      </c>
      <c r="B8" t="s" s="28">
        <v>1470</v>
      </c>
      <c r="C8" t="s" s="28">
        <v>1469</v>
      </c>
      <c r="D8" s="38">
        <v>31900</v>
      </c>
      <c r="E8" s="38">
        <v>30980</v>
      </c>
      <c r="F8" s="38">
        <v>920</v>
      </c>
      <c r="G8" s="26">
        <v>0.0288401253918495</v>
      </c>
      <c r="H8" s="26">
        <v>0.03</v>
      </c>
      <c r="I8" s="38">
        <v>38</v>
      </c>
      <c r="J8" s="90" cm="1">
        <f t="array" ref="J8">I8*3.7</f>
        <v>140.6</v>
      </c>
      <c r="K8" s="38">
        <v>34960</v>
      </c>
      <c r="L8" s="90" cm="1">
        <f t="array" ref="L8">K8*3.7</f>
        <v>129352</v>
      </c>
      <c r="M8" t="s" s="28">
        <v>1485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5" customHeight="1">
      <c r="A9" t="s" s="28">
        <v>1484</v>
      </c>
      <c r="B9" t="s" s="28">
        <v>1471</v>
      </c>
      <c r="C9" t="s" s="28">
        <v>1469</v>
      </c>
      <c r="D9" s="38">
        <v>119100</v>
      </c>
      <c r="E9" s="38">
        <v>113980</v>
      </c>
      <c r="F9" s="38">
        <v>5120</v>
      </c>
      <c r="G9" s="26">
        <v>0.0429890848026868</v>
      </c>
      <c r="H9" s="26">
        <v>0.05</v>
      </c>
      <c r="I9" s="38">
        <v>24</v>
      </c>
      <c r="J9" s="90" cm="1">
        <f t="array" ref="J9">I9*3.7</f>
        <v>88.8</v>
      </c>
      <c r="K9" s="38">
        <v>122880</v>
      </c>
      <c r="L9" s="90" cm="1">
        <f t="array" ref="L9">K9*3.7</f>
        <v>454656</v>
      </c>
      <c r="M9" t="s" s="28">
        <v>1485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5" customHeight="1">
      <c r="A10" t="s" s="28">
        <v>1484</v>
      </c>
      <c r="B10" t="s" s="28">
        <v>1472</v>
      </c>
      <c r="C10" t="s" s="28">
        <v>1469</v>
      </c>
      <c r="D10" s="38">
        <v>53100</v>
      </c>
      <c r="E10" s="38">
        <v>50760</v>
      </c>
      <c r="F10" s="38">
        <v>2340</v>
      </c>
      <c r="G10" s="26">
        <v>0.0440677966101695</v>
      </c>
      <c r="H10" s="26">
        <v>0.04</v>
      </c>
      <c r="I10" s="38">
        <v>72</v>
      </c>
      <c r="J10" s="90" cm="1">
        <f t="array" ref="J10">I10*3.7</f>
        <v>266.4</v>
      </c>
      <c r="K10" s="38">
        <v>168480</v>
      </c>
      <c r="L10" s="90" cm="1">
        <f t="array" ref="L10">K10*3.7</f>
        <v>623376</v>
      </c>
      <c r="M10" t="s" s="28">
        <v>1485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5" customHeight="1">
      <c r="A11" t="s" s="28">
        <v>1484</v>
      </c>
      <c r="B11" t="s" s="28">
        <v>1473</v>
      </c>
      <c r="C11" t="s" s="28">
        <v>1469</v>
      </c>
      <c r="D11" s="38">
        <v>82500</v>
      </c>
      <c r="E11" s="38">
        <v>77880</v>
      </c>
      <c r="F11" s="38">
        <v>4620</v>
      </c>
      <c r="G11" s="26">
        <v>0.056</v>
      </c>
      <c r="H11" s="26">
        <v>0.06</v>
      </c>
      <c r="I11" s="38">
        <v>18</v>
      </c>
      <c r="J11" s="90" cm="1">
        <f t="array" ref="J11">I11*3.7</f>
        <v>66.59999999999999</v>
      </c>
      <c r="K11" s="38">
        <v>83160</v>
      </c>
      <c r="L11" s="90" cm="1">
        <f t="array" ref="L11">K11*3.7</f>
        <v>307692</v>
      </c>
      <c r="M11" t="s" s="28">
        <v>1485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5" customHeight="1">
      <c r="A12" t="s" s="28">
        <v>1484</v>
      </c>
      <c r="B12" t="s" s="28">
        <v>1474</v>
      </c>
      <c r="C12" t="s" s="28">
        <v>1475</v>
      </c>
      <c r="D12" s="38">
        <v>197400</v>
      </c>
      <c r="E12" s="38">
        <v>193630</v>
      </c>
      <c r="F12" s="38">
        <v>3770</v>
      </c>
      <c r="G12" s="26">
        <v>0.0190982776089159</v>
      </c>
      <c r="H12" s="26">
        <v>0.02</v>
      </c>
      <c r="I12" s="38">
        <v>14</v>
      </c>
      <c r="J12" s="90" cm="1">
        <f t="array" ref="J12">I12*3.7</f>
        <v>51.8</v>
      </c>
      <c r="K12" s="38">
        <v>52780</v>
      </c>
      <c r="L12" s="90" cm="1">
        <f t="array" ref="L12">K12*3.7</f>
        <v>195286</v>
      </c>
      <c r="M12" t="s" s="28">
        <v>1485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" customHeight="1">
      <c r="A13" t="s" s="28">
        <v>1484</v>
      </c>
      <c r="B13" t="s" s="28">
        <v>1476</v>
      </c>
      <c r="C13" t="s" s="28">
        <v>1475</v>
      </c>
      <c r="D13" s="38">
        <v>129600</v>
      </c>
      <c r="E13" s="38">
        <v>126840</v>
      </c>
      <c r="F13" s="38">
        <v>2760</v>
      </c>
      <c r="G13" s="26">
        <v>0.0212962962962963</v>
      </c>
      <c r="H13" s="26">
        <v>0.02</v>
      </c>
      <c r="I13" s="38">
        <v>26</v>
      </c>
      <c r="J13" s="90" cm="1">
        <f t="array" ref="J13">I13*3.7</f>
        <v>96.2</v>
      </c>
      <c r="K13" s="38">
        <v>71760</v>
      </c>
      <c r="L13" s="90" cm="1">
        <f t="array" ref="L13">K13*3.7</f>
        <v>265512</v>
      </c>
      <c r="M13" t="s" s="28">
        <v>1485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5" customHeight="1">
      <c r="A14" t="s" s="28">
        <v>1486</v>
      </c>
      <c r="B14" t="s" s="28">
        <v>1487</v>
      </c>
      <c r="C14" t="s" s="28">
        <v>1488</v>
      </c>
      <c r="D14" s="38">
        <v>193500</v>
      </c>
      <c r="E14" s="38">
        <v>179200</v>
      </c>
      <c r="F14" s="38">
        <v>14300</v>
      </c>
      <c r="G14" s="26">
        <v>0.0739018087855297</v>
      </c>
      <c r="H14" s="26">
        <v>0.08</v>
      </c>
      <c r="I14" s="38">
        <v>42</v>
      </c>
      <c r="J14" s="90" cm="1">
        <f t="array" ref="J14">I14*3.7</f>
        <v>155.4</v>
      </c>
      <c r="K14" s="38">
        <v>600600</v>
      </c>
      <c r="L14" s="90" cm="1">
        <f t="array" ref="L14">K14*3.7</f>
        <v>2222220</v>
      </c>
      <c r="M14" t="s" s="28">
        <v>1489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" customHeight="1">
      <c r="A15" t="s" s="28">
        <v>1490</v>
      </c>
      <c r="B15" t="s" s="28">
        <v>1491</v>
      </c>
      <c r="C15" t="s" s="28">
        <v>1488</v>
      </c>
      <c r="D15" s="38">
        <v>13050</v>
      </c>
      <c r="E15" s="38">
        <v>11860</v>
      </c>
      <c r="F15" s="38">
        <v>1190</v>
      </c>
      <c r="G15" s="26">
        <v>0.09118773946360149</v>
      </c>
      <c r="H15" s="26">
        <v>0.07000000000000001</v>
      </c>
      <c r="I15" s="38">
        <v>185</v>
      </c>
      <c r="J15" s="90" cm="1">
        <f t="array" ref="J15">I15*3.7</f>
        <v>684.5</v>
      </c>
      <c r="K15" s="38">
        <v>220150</v>
      </c>
      <c r="L15" s="90" cm="1">
        <f t="array" ref="L15">K15*3.7</f>
        <v>814555</v>
      </c>
      <c r="M15" t="s" s="28">
        <v>1492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5" customHeight="1">
      <c r="A16" t="s" s="28">
        <v>1490</v>
      </c>
      <c r="B16" t="s" s="28">
        <v>1493</v>
      </c>
      <c r="C16" t="s" s="28">
        <v>1488</v>
      </c>
      <c r="D16" s="38">
        <v>9480</v>
      </c>
      <c r="E16" s="38">
        <v>8935</v>
      </c>
      <c r="F16" s="38">
        <v>545</v>
      </c>
      <c r="G16" s="26">
        <v>0.0574894514767932</v>
      </c>
      <c r="H16" s="26">
        <v>0.06</v>
      </c>
      <c r="I16" s="38">
        <v>96</v>
      </c>
      <c r="J16" s="90" cm="1">
        <f t="array" ref="J16">I16*3.7</f>
        <v>355.2</v>
      </c>
      <c r="K16" s="38">
        <v>52320</v>
      </c>
      <c r="L16" s="90" cm="1">
        <f t="array" ref="L16">K16*3.7</f>
        <v>193584</v>
      </c>
      <c r="M16" t="s" s="28">
        <v>1494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" customHeight="1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6.5" customHeight="1">
      <c r="A19" t="s" s="10">
        <v>1495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" customHeight="1">
      <c r="A20" t="s" s="19">
        <v>1496</v>
      </c>
      <c r="B20" s="91" cm="1">
        <f t="array" ref="B20">SUM(K5:K13)</f>
        <v>1297820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" customHeight="1">
      <c r="A21" t="s" s="19">
        <v>1497</v>
      </c>
      <c r="B21" s="91" cm="1">
        <f t="array" ref="B21">SUM(K14:K16)</f>
        <v>873070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" customHeight="1">
      <c r="A22" t="s" s="19">
        <v>1498</v>
      </c>
      <c r="B22" s="91">
        <v>1070381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" customHeight="1">
      <c r="A23" t="s" s="19">
        <v>1499</v>
      </c>
      <c r="B23" s="91" cm="1">
        <f t="array" ref="B23">B20+B21</f>
        <v>2170890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" customHeight="1">
      <c r="A24" t="s" s="19">
        <v>1500</v>
      </c>
      <c r="B24" s="25" cm="1">
        <f t="array" ref="B24">B23/154800000</f>
        <v>0.0140238372093023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" customHeight="1">
      <c r="A25" t="s" s="92">
        <v>1501</v>
      </c>
      <c r="B25" s="25">
        <v>0.05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</sheetData>
  <mergeCells count="3">
    <mergeCell ref="A1:M1"/>
    <mergeCell ref="A2:M2"/>
    <mergeCell ref="A19:M1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AA10"/>
  <sheetViews>
    <sheetView workbookViewId="0" showGridLines="0" defaultGridColor="1"/>
  </sheetViews>
  <sheetFormatPr defaultColWidth="8.83333" defaultRowHeight="15" customHeight="1" outlineLevelRow="0" outlineLevelCol="0"/>
  <cols>
    <col min="1" max="1" width="24" style="93" customWidth="1"/>
    <col min="2" max="2" width="28" style="93" customWidth="1"/>
    <col min="3" max="3" width="12" style="93" customWidth="1"/>
    <col min="4" max="4" width="14" style="93" customWidth="1"/>
    <col min="5" max="6" width="12" style="93" customWidth="1"/>
    <col min="7" max="8" width="16" style="93" customWidth="1"/>
    <col min="9" max="11" width="14" style="93" customWidth="1"/>
    <col min="12" max="27" width="8.85156" style="93" customWidth="1"/>
    <col min="28" max="16384" width="8.85156" style="93" customWidth="1"/>
  </cols>
  <sheetData>
    <row r="1" ht="24" customHeight="1">
      <c r="A1" t="s" s="2">
        <v>1502</v>
      </c>
      <c r="B1" s="3"/>
      <c r="C1" s="4"/>
      <c r="D1" s="4"/>
      <c r="E1" s="4"/>
      <c r="F1" s="4"/>
      <c r="G1" s="4"/>
      <c r="H1" s="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8" customHeight="1">
      <c r="A2" t="s" s="5">
        <v>1503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" customHeight="1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0" customHeight="1">
      <c r="A4" t="s" s="45">
        <v>46</v>
      </c>
      <c r="B4" t="s" s="46">
        <v>1504</v>
      </c>
      <c r="C4" t="s" s="46">
        <v>1505</v>
      </c>
      <c r="D4" t="s" s="46">
        <v>258</v>
      </c>
      <c r="E4" t="s" s="46">
        <v>259</v>
      </c>
      <c r="F4" t="s" s="46">
        <v>41</v>
      </c>
      <c r="G4" t="s" s="46">
        <v>1016</v>
      </c>
      <c r="H4" t="s" s="46">
        <v>1506</v>
      </c>
      <c r="I4" t="s" s="46">
        <v>1507</v>
      </c>
      <c r="J4" t="s" s="46">
        <v>1508</v>
      </c>
      <c r="K4" t="s" s="47">
        <v>47</v>
      </c>
      <c r="L4" s="48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" customHeight="1">
      <c r="A5" t="s" s="68">
        <v>48</v>
      </c>
      <c r="B5" t="s" s="50">
        <v>1509</v>
      </c>
      <c r="C5" s="53" cm="1">
        <f t="array" ref="C5">COUNTIF('الفحوصات_والاختبارات'!$F$5:$F$704,A5)</f>
        <v>484</v>
      </c>
      <c r="D5" s="53" cm="1">
        <f t="array" ref="D5">_xlfn.COUNTIFS('الفحوصات_والاختبارات'!$F$5:$F$704,A5,'الفحوصات_والاختبارات'!$G$5:$G$704,"مقبول من أول مرة")</f>
        <v>430</v>
      </c>
      <c r="E5" s="51" cm="1">
        <f t="array" ref="E5">_xlfn.IFERROR(D5/C5,0)</f>
        <v>0.888429752066116</v>
      </c>
      <c r="F5" s="53">
        <v>25</v>
      </c>
      <c r="G5" s="53">
        <v>229329</v>
      </c>
      <c r="H5" s="94" cm="1">
        <f t="array" ref="H5">G5*3.7</f>
        <v>848517.3</v>
      </c>
      <c r="I5" s="51">
        <v>0.029</v>
      </c>
      <c r="J5" s="51">
        <v>0.91</v>
      </c>
      <c r="K5" s="95" cm="1">
        <f t="array" ref="K5">ROUND(((E5*0.5)+((1-MIN(1,F5/60))*0.15)+((1-MIN(1,I5/0.08))*0.15)+(J5*0.2))*100,1)</f>
        <v>80.90000000000001</v>
      </c>
      <c r="L5" s="48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" customHeight="1">
      <c r="A6" t="s" s="71">
        <v>49</v>
      </c>
      <c r="B6" t="s" s="59">
        <v>1510</v>
      </c>
      <c r="C6" s="62" cm="1">
        <f t="array" ref="C6">COUNTIF('الفحوصات_والاختبارات'!$F$5:$F$704,A6)</f>
        <v>60</v>
      </c>
      <c r="D6" s="62" cm="1">
        <f t="array" ref="D6">_xlfn.COUNTIFS('الفحوصات_والاختبارات'!$F$5:$F$704,A6,'الفحوصات_والاختبارات'!$G$5:$G$704,"مقبول من أول مرة")</f>
        <v>48</v>
      </c>
      <c r="E6" s="60" cm="1">
        <f t="array" ref="E6">_xlfn.IFERROR(D6/C6,0)</f>
        <v>0.8</v>
      </c>
      <c r="F6" s="62">
        <v>21</v>
      </c>
      <c r="G6" s="62">
        <v>245535</v>
      </c>
      <c r="H6" s="96" cm="1">
        <f t="array" ref="H6">G6*3.7</f>
        <v>908479.5</v>
      </c>
      <c r="I6" s="60">
        <v>0.02</v>
      </c>
      <c r="J6" s="60">
        <v>0.88</v>
      </c>
      <c r="K6" s="97" cm="1">
        <f t="array" ref="K6">ROUND(((E6*0.5)+((1-MIN(1,F6/60))*0.15)+((1-MIN(1,I6/0.08))*0.15)+(J6*0.2))*100,1)</f>
        <v>78.59999999999999</v>
      </c>
      <c r="L6" s="4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" customHeight="1">
      <c r="A7" t="s" s="68">
        <v>50</v>
      </c>
      <c r="B7" t="s" s="50">
        <v>1511</v>
      </c>
      <c r="C7" s="53" cm="1">
        <f t="array" ref="C7">COUNTIF('الفحوصات_والاختبارات'!$F$5:$F$704,A7)</f>
        <v>88</v>
      </c>
      <c r="D7" s="53" cm="1">
        <f t="array" ref="D7">_xlfn.COUNTIFS('الفحوصات_والاختبارات'!$F$5:$F$704,A7,'الفحوصات_والاختبارات'!$G$5:$G$704,"مقبول من أول مرة")</f>
        <v>76</v>
      </c>
      <c r="E7" s="51" cm="1">
        <f t="array" ref="E7">_xlfn.IFERROR(D7/C7,0)</f>
        <v>0.863636363636364</v>
      </c>
      <c r="F7" s="53">
        <v>15</v>
      </c>
      <c r="G7" s="53">
        <v>225378</v>
      </c>
      <c r="H7" s="94" cm="1">
        <f t="array" ref="H7">G7*3.7</f>
        <v>833898.6</v>
      </c>
      <c r="I7" s="51">
        <v>0.049</v>
      </c>
      <c r="J7" s="51">
        <v>0.86</v>
      </c>
      <c r="K7" s="95" cm="1">
        <f t="array" ref="K7">ROUND(((E7*0.5)+((1-MIN(1,F7/60))*0.15)+((1-MIN(1,I7/0.08))*0.15)+(J7*0.2))*100,1)</f>
        <v>77.40000000000001</v>
      </c>
      <c r="L7" s="48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" customHeight="1">
      <c r="A8" t="s" s="71">
        <v>51</v>
      </c>
      <c r="B8" t="s" s="59">
        <v>1512</v>
      </c>
      <c r="C8" s="62" cm="1">
        <f t="array" ref="C8">COUNTIF('الفحوصات_والاختبارات'!$F$5:$F$704,A8)</f>
        <v>44</v>
      </c>
      <c r="D8" s="62" cm="1">
        <f t="array" ref="D8">_xlfn.COUNTIFS('الفحوصات_والاختبارات'!$F$5:$F$704,A8,'الفحوصات_والاختبارات'!$G$5:$G$704,"مقبول من أول مرة")</f>
        <v>37</v>
      </c>
      <c r="E8" s="60" cm="1">
        <f t="array" ref="E8">_xlfn.IFERROR(D8/C8,0)</f>
        <v>0.8409090909090911</v>
      </c>
      <c r="F8" s="62">
        <v>27</v>
      </c>
      <c r="G8" s="62">
        <v>269262</v>
      </c>
      <c r="H8" s="96" cm="1">
        <f t="array" ref="H8">G8*3.7</f>
        <v>996269.4</v>
      </c>
      <c r="I8" s="60">
        <v>0.029</v>
      </c>
      <c r="J8" s="60">
        <v>0.89</v>
      </c>
      <c r="K8" s="97" cm="1">
        <f t="array" ref="K8">ROUND(((E8*0.5)+((1-MIN(1,F8/60))*0.15)+((1-MIN(1,I8/0.08))*0.15)+(J8*0.2))*100,1)</f>
        <v>77.7</v>
      </c>
      <c r="L8" s="48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" customHeight="1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</sheetData>
  <mergeCells count="2">
    <mergeCell ref="A1:K1"/>
    <mergeCell ref="A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Z14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98" customWidth="1"/>
    <col min="2" max="2" width="42" style="98" customWidth="1"/>
    <col min="3" max="3" width="14" style="98" customWidth="1"/>
    <col min="4" max="5" width="10" style="98" customWidth="1"/>
    <col min="6" max="6" width="12" style="98" customWidth="1"/>
    <col min="7" max="7" width="38" style="98" customWidth="1"/>
    <col min="8" max="8" width="14" style="98" customWidth="1"/>
    <col min="9" max="26" width="8.85156" style="98" customWidth="1"/>
    <col min="27" max="16384" width="8.85156" style="98" customWidth="1"/>
  </cols>
  <sheetData>
    <row r="1" ht="24" customHeight="1">
      <c r="A1" t="s" s="2">
        <v>1513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" customHeight="1">
      <c r="A2" t="s" s="5">
        <v>1514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" customHeight="1">
      <c r="A3" s="8"/>
      <c r="B3" s="9"/>
      <c r="C3" s="9"/>
      <c r="D3" s="9"/>
      <c r="E3" s="9"/>
      <c r="F3" s="9"/>
      <c r="G3" s="9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0" customHeight="1">
      <c r="A4" t="s" s="14">
        <v>1515</v>
      </c>
      <c r="B4" t="s" s="15">
        <v>1516</v>
      </c>
      <c r="C4" t="s" s="15">
        <v>1517</v>
      </c>
      <c r="D4" t="s" s="15">
        <v>1518</v>
      </c>
      <c r="E4" t="s" s="15">
        <v>1519</v>
      </c>
      <c r="F4" t="s" s="15">
        <v>1520</v>
      </c>
      <c r="G4" t="s" s="15">
        <v>1521</v>
      </c>
      <c r="H4" t="s" s="15">
        <v>8</v>
      </c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" customHeight="1">
      <c r="A5" t="s" s="23">
        <v>1522</v>
      </c>
      <c r="B5" t="s" s="23">
        <v>1523</v>
      </c>
      <c r="C5" t="s" s="23">
        <v>1524</v>
      </c>
      <c r="D5" s="24">
        <v>3</v>
      </c>
      <c r="E5" s="24">
        <v>4</v>
      </c>
      <c r="F5" s="24" cm="1">
        <f t="array" ref="F5">D5*E5</f>
        <v>12</v>
      </c>
      <c r="G5" t="s" s="23">
        <v>1525</v>
      </c>
      <c r="H5" t="s" s="23">
        <v>1526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" customHeight="1">
      <c r="A6" t="s" s="28">
        <v>1527</v>
      </c>
      <c r="B6" t="s" s="28">
        <v>1528</v>
      </c>
      <c r="C6" t="s" s="28">
        <v>1529</v>
      </c>
      <c r="D6" s="29">
        <v>3</v>
      </c>
      <c r="E6" s="29">
        <v>5</v>
      </c>
      <c r="F6" s="29" cm="1">
        <f t="array" ref="F6">D6*E6</f>
        <v>15</v>
      </c>
      <c r="G6" t="s" s="28">
        <v>1530</v>
      </c>
      <c r="H6" t="s" s="28">
        <v>1526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" customHeight="1">
      <c r="A7" t="s" s="28">
        <v>1531</v>
      </c>
      <c r="B7" t="s" s="28">
        <v>1532</v>
      </c>
      <c r="C7" t="s" s="28">
        <v>1533</v>
      </c>
      <c r="D7" s="29">
        <v>4</v>
      </c>
      <c r="E7" s="29">
        <v>4</v>
      </c>
      <c r="F7" s="29" cm="1">
        <f t="array" ref="F7">D7*E7</f>
        <v>16</v>
      </c>
      <c r="G7" t="s" s="28">
        <v>1534</v>
      </c>
      <c r="H7" t="s" s="28">
        <v>1535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" customHeight="1">
      <c r="A8" t="s" s="28">
        <v>1536</v>
      </c>
      <c r="B8" t="s" s="28">
        <v>1537</v>
      </c>
      <c r="C8" t="s" s="28">
        <v>1024</v>
      </c>
      <c r="D8" s="29">
        <v>3</v>
      </c>
      <c r="E8" s="29">
        <v>3</v>
      </c>
      <c r="F8" s="29" cm="1">
        <f t="array" ref="F8">D8*E8</f>
        <v>9</v>
      </c>
      <c r="G8" t="s" s="28">
        <v>1538</v>
      </c>
      <c r="H8" t="s" s="28">
        <v>1526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" customHeight="1">
      <c r="A9" t="s" s="28">
        <v>1539</v>
      </c>
      <c r="B9" t="s" s="28">
        <v>1540</v>
      </c>
      <c r="C9" t="s" s="28">
        <v>1094</v>
      </c>
      <c r="D9" s="29">
        <v>3</v>
      </c>
      <c r="E9" s="29">
        <v>4</v>
      </c>
      <c r="F9" s="29" cm="1">
        <f t="array" ref="F9">D9*E9</f>
        <v>12</v>
      </c>
      <c r="G9" t="s" s="28">
        <v>1541</v>
      </c>
      <c r="H9" t="s" s="28">
        <v>1542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" customHeight="1">
      <c r="A10" t="s" s="28">
        <v>1543</v>
      </c>
      <c r="B10" t="s" s="28">
        <v>1544</v>
      </c>
      <c r="C10" t="s" s="28">
        <v>1545</v>
      </c>
      <c r="D10" s="29">
        <v>4</v>
      </c>
      <c r="E10" s="29">
        <v>4</v>
      </c>
      <c r="F10" s="29" cm="1">
        <f t="array" ref="F10">D10*E10</f>
        <v>16</v>
      </c>
      <c r="G10" t="s" s="28">
        <v>1546</v>
      </c>
      <c r="H10" t="s" s="28">
        <v>1535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" customHeight="1">
      <c r="A11" t="s" s="28">
        <v>1547</v>
      </c>
      <c r="B11" t="s" s="28">
        <v>1548</v>
      </c>
      <c r="C11" t="s" s="28">
        <v>1549</v>
      </c>
      <c r="D11" s="29">
        <v>2</v>
      </c>
      <c r="E11" s="29">
        <v>4</v>
      </c>
      <c r="F11" s="29" cm="1">
        <f t="array" ref="F11">D11*E11</f>
        <v>8</v>
      </c>
      <c r="G11" t="s" s="28">
        <v>1550</v>
      </c>
      <c r="H11" t="s" s="28">
        <v>1526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" customHeight="1">
      <c r="A12" t="s" s="28">
        <v>1551</v>
      </c>
      <c r="B12" t="s" s="28">
        <v>1552</v>
      </c>
      <c r="C12" t="s" s="28">
        <v>1553</v>
      </c>
      <c r="D12" s="29">
        <v>3</v>
      </c>
      <c r="E12" s="29">
        <v>3</v>
      </c>
      <c r="F12" s="29" cm="1">
        <f t="array" ref="F12">D12*E12</f>
        <v>9</v>
      </c>
      <c r="G12" t="s" s="28">
        <v>1554</v>
      </c>
      <c r="H12" t="s" s="28">
        <v>1526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" customHeight="1">
      <c r="A13" t="s" s="28">
        <v>1555</v>
      </c>
      <c r="B13" t="s" s="28">
        <v>1556</v>
      </c>
      <c r="C13" t="s" s="28">
        <v>1358</v>
      </c>
      <c r="D13" s="29">
        <v>2</v>
      </c>
      <c r="E13" s="29">
        <v>5</v>
      </c>
      <c r="F13" s="29" cm="1">
        <f t="array" ref="F13">D13*E13</f>
        <v>10</v>
      </c>
      <c r="G13" t="s" s="28">
        <v>1557</v>
      </c>
      <c r="H13" t="s" s="28">
        <v>1542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" customHeight="1">
      <c r="A14" t="s" s="28">
        <v>1558</v>
      </c>
      <c r="B14" t="s" s="28">
        <v>1559</v>
      </c>
      <c r="C14" t="s" s="28">
        <v>1560</v>
      </c>
      <c r="D14" s="29">
        <v>2</v>
      </c>
      <c r="E14" s="29">
        <v>4</v>
      </c>
      <c r="F14" s="29" cm="1">
        <f t="array" ref="F14">D14*E14</f>
        <v>8</v>
      </c>
      <c r="G14" t="s" s="28">
        <v>1561</v>
      </c>
      <c r="H14" t="s" s="28">
        <v>1021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</sheetData>
  <mergeCells count="2">
    <mergeCell ref="A1:H1"/>
    <mergeCell ref="A2:H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Z124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99" customWidth="1"/>
    <col min="2" max="2" width="12" style="99" customWidth="1"/>
    <col min="3" max="3" width="16" style="99" customWidth="1"/>
    <col min="4" max="7" width="12" style="99" customWidth="1"/>
    <col min="8" max="8" width="20" style="99" customWidth="1"/>
    <col min="9" max="10" width="13" style="99" customWidth="1"/>
    <col min="11" max="26" width="8.85156" style="99" customWidth="1"/>
    <col min="27" max="16384" width="8.85156" style="99" customWidth="1"/>
  </cols>
  <sheetData>
    <row r="1" ht="24" customHeight="1">
      <c r="A1" t="s" s="2">
        <v>1562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" customHeight="1">
      <c r="A2" t="s" s="5">
        <v>1563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0" customHeight="1">
      <c r="A4" t="s" s="14">
        <v>251</v>
      </c>
      <c r="B4" t="s" s="15">
        <v>252</v>
      </c>
      <c r="C4" t="s" s="15">
        <v>254</v>
      </c>
      <c r="D4" t="s" s="15">
        <v>255</v>
      </c>
      <c r="E4" t="s" s="15">
        <v>41</v>
      </c>
      <c r="F4" t="s" s="15">
        <v>1564</v>
      </c>
      <c r="G4" t="s" s="15">
        <v>1565</v>
      </c>
      <c r="H4" t="s" s="15">
        <v>1566</v>
      </c>
      <c r="I4" t="s" s="15">
        <v>263</v>
      </c>
      <c r="J4" t="s" s="15">
        <v>264</v>
      </c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" customHeight="1">
      <c r="A5" s="24">
        <v>1</v>
      </c>
      <c r="B5" t="s" s="23">
        <v>267</v>
      </c>
      <c r="C5" t="s" s="23">
        <v>17</v>
      </c>
      <c r="D5" s="40">
        <v>0.1189</v>
      </c>
      <c r="E5" s="24">
        <v>0</v>
      </c>
      <c r="F5" s="40" cm="1">
        <f t="array" ref="F5">IF(C5="مكتملة",0.95,IF(C5="تشطيبات",0.78,IF(C5="كهروميكانيك",0.55,IF(C5="هيكل",0.35,IF(C5="أساسات",0.22,0.12)))))</f>
        <v>0.12</v>
      </c>
      <c r="G5" s="40" cm="1">
        <f t="array" ref="G5">IF(C5="مكتملة",0.96,IF(C5="تشطيبات",0.88,IF(C5="كهروميكانيك",0.72,IF(C5="هيكل",0.44,IF(C5="أساسات",0.2,0.08)))))</f>
        <v>0.08</v>
      </c>
      <c r="H5" t="str" s="22" cm="1">
        <f t="array" ref="H5">IF(AND(C5="مكتملة",E5&lt;=3,F5&gt;=0.9,G5&gt;=0.9),"جاهزة للاستلام الابتدائي",IF(OR(C5="تشطيبات",C5="مكتملة"),"قيد التجهيز","غير جاهزة"))</f>
        <v>غير جاهزة</v>
      </c>
      <c r="I5" s="100">
        <v>46052</v>
      </c>
      <c r="J5" s="100">
        <v>46135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" customHeight="1">
      <c r="A6" s="29">
        <v>2</v>
      </c>
      <c r="B6" t="s" s="28">
        <v>267</v>
      </c>
      <c r="C6" t="s" s="28">
        <v>17</v>
      </c>
      <c r="D6" s="26">
        <v>0.1423</v>
      </c>
      <c r="E6" s="29">
        <v>0</v>
      </c>
      <c r="F6" s="26" cm="1">
        <f t="array" ref="F6">IF(C6="مكتملة",0.95,IF(C6="تشطيبات",0.78,IF(C6="كهروميكانيك",0.55,IF(C6="هيكل",0.35,IF(C6="أساسات",0.22,0.12)))))</f>
        <v>0.12</v>
      </c>
      <c r="G6" s="26" cm="1">
        <f t="array" ref="G6">IF(C6="مكتملة",0.96,IF(C6="تشطيبات",0.88,IF(C6="كهروميكانيك",0.72,IF(C6="هيكل",0.44,IF(C6="أساسات",0.2,0.08)))))</f>
        <v>0.08</v>
      </c>
      <c r="H6" t="str" s="27" cm="1">
        <f t="array" ref="H6">IF(AND(C6="مكتملة",E6&lt;=3,F6&gt;=0.9,G6&gt;=0.9),"جاهزة للاستلام الابتدائي",IF(OR(C6="تشطيبات",C6="مكتملة"),"قيد التجهيز","غير جاهزة"))</f>
        <v>غير جاهزة</v>
      </c>
      <c r="I6" s="36">
        <v>46055</v>
      </c>
      <c r="J6" s="36">
        <v>46148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" customHeight="1">
      <c r="A7" s="29">
        <v>3</v>
      </c>
      <c r="B7" t="s" s="28">
        <v>267</v>
      </c>
      <c r="C7" t="s" s="28">
        <v>17</v>
      </c>
      <c r="D7" s="26">
        <v>0.1353</v>
      </c>
      <c r="E7" s="29">
        <v>1</v>
      </c>
      <c r="F7" s="26" cm="1">
        <f t="array" ref="F7">IF(C7="مكتملة",0.95,IF(C7="تشطيبات",0.78,IF(C7="كهروميكانيك",0.55,IF(C7="هيكل",0.35,IF(C7="أساسات",0.22,0.12)))))</f>
        <v>0.12</v>
      </c>
      <c r="G7" s="26" cm="1">
        <f t="array" ref="G7">IF(C7="مكتملة",0.96,IF(C7="تشطيبات",0.88,IF(C7="كهروميكانيك",0.72,IF(C7="هيكل",0.44,IF(C7="أساسات",0.2,0.08)))))</f>
        <v>0.08</v>
      </c>
      <c r="H7" t="str" s="27" cm="1">
        <f t="array" ref="H7">IF(AND(C7="مكتملة",E7&lt;=3,F7&gt;=0.9,G7&gt;=0.9),"جاهزة للاستلام الابتدائي",IF(OR(C7="تشطيبات",C7="مكتملة"),"قيد التجهيز","غير جاهزة"))</f>
        <v>غير جاهزة</v>
      </c>
      <c r="I7" s="36">
        <v>46058</v>
      </c>
      <c r="J7" s="36">
        <v>46165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" customHeight="1">
      <c r="A8" s="29">
        <v>4</v>
      </c>
      <c r="B8" t="s" s="28">
        <v>267</v>
      </c>
      <c r="C8" t="s" s="28">
        <v>17</v>
      </c>
      <c r="D8" s="26">
        <v>0.1419</v>
      </c>
      <c r="E8" s="29">
        <v>1</v>
      </c>
      <c r="F8" s="26" cm="1">
        <f t="array" ref="F8">IF(C8="مكتملة",0.95,IF(C8="تشطيبات",0.78,IF(C8="كهروميكانيك",0.55,IF(C8="هيكل",0.35,IF(C8="أساسات",0.22,0.12)))))</f>
        <v>0.12</v>
      </c>
      <c r="G8" s="26" cm="1">
        <f t="array" ref="G8">IF(C8="مكتملة",0.96,IF(C8="تشطيبات",0.88,IF(C8="كهروميكانيك",0.72,IF(C8="هيكل",0.44,IF(C8="أساسات",0.2,0.08)))))</f>
        <v>0.08</v>
      </c>
      <c r="H8" t="str" s="27" cm="1">
        <f t="array" ref="H8">IF(AND(C8="مكتملة",E8&lt;=3,F8&gt;=0.9,G8&gt;=0.9),"جاهزة للاستلام الابتدائي",IF(OR(C8="تشطيبات",C8="مكتملة"),"قيد التجهيز","غير جاهزة"))</f>
        <v>غير جاهزة</v>
      </c>
      <c r="I8" s="36">
        <v>46061</v>
      </c>
      <c r="J8" s="36">
        <v>46147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" customHeight="1">
      <c r="A9" s="29">
        <v>5</v>
      </c>
      <c r="B9" t="s" s="28">
        <v>267</v>
      </c>
      <c r="C9" t="s" s="28">
        <v>17</v>
      </c>
      <c r="D9" s="26">
        <v>0.1199</v>
      </c>
      <c r="E9" s="29">
        <v>1</v>
      </c>
      <c r="F9" s="26" cm="1">
        <f t="array" ref="F9">IF(C9="مكتملة",0.95,IF(C9="تشطيبات",0.78,IF(C9="كهروميكانيك",0.55,IF(C9="هيكل",0.35,IF(C9="أساسات",0.22,0.12)))))</f>
        <v>0.12</v>
      </c>
      <c r="G9" s="26" cm="1">
        <f t="array" ref="G9">IF(C9="مكتملة",0.96,IF(C9="تشطيبات",0.88,IF(C9="كهروميكانيك",0.72,IF(C9="هيكل",0.44,IF(C9="أساسات",0.2,0.08)))))</f>
        <v>0.08</v>
      </c>
      <c r="H9" t="str" s="27" cm="1">
        <f t="array" ref="H9">IF(AND(C9="مكتملة",E9&lt;=3,F9&gt;=0.9,G9&gt;=0.9),"جاهزة للاستلام الابتدائي",IF(OR(C9="تشطيبات",C9="مكتملة"),"قيد التجهيز","غير جاهزة"))</f>
        <v>غير جاهزة</v>
      </c>
      <c r="I9" s="36">
        <v>46064</v>
      </c>
      <c r="J9" s="36">
        <v>46156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" customHeight="1">
      <c r="A10" s="29">
        <v>6</v>
      </c>
      <c r="B10" t="s" s="28">
        <v>267</v>
      </c>
      <c r="C10" t="s" s="28">
        <v>17</v>
      </c>
      <c r="D10" s="26">
        <v>0.1271</v>
      </c>
      <c r="E10" s="29">
        <v>0</v>
      </c>
      <c r="F10" s="26" cm="1">
        <f t="array" ref="F10">IF(C10="مكتملة",0.95,IF(C10="تشطيبات",0.78,IF(C10="كهروميكانيك",0.55,IF(C10="هيكل",0.35,IF(C10="أساسات",0.22,0.12)))))</f>
        <v>0.12</v>
      </c>
      <c r="G10" s="26" cm="1">
        <f t="array" ref="G10">IF(C10="مكتملة",0.96,IF(C10="تشطيبات",0.88,IF(C10="كهروميكانيك",0.72,IF(C10="هيكل",0.44,IF(C10="أساسات",0.2,0.08)))))</f>
        <v>0.08</v>
      </c>
      <c r="H10" t="str" s="27" cm="1">
        <f t="array" ref="H10">IF(AND(C10="مكتملة",E10&lt;=3,F10&gt;=0.9,G10&gt;=0.9),"جاهزة للاستلام الابتدائي",IF(OR(C10="تشطيبات",C10="مكتملة"),"قيد التجهيز","غير جاهزة"))</f>
        <v>غير جاهزة</v>
      </c>
      <c r="I10" s="36">
        <v>46067</v>
      </c>
      <c r="J10" s="36">
        <v>46145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" customHeight="1">
      <c r="A11" s="29">
        <v>7</v>
      </c>
      <c r="B11" t="s" s="28">
        <v>267</v>
      </c>
      <c r="C11" t="s" s="28">
        <v>17</v>
      </c>
      <c r="D11" s="26">
        <v>0.1333</v>
      </c>
      <c r="E11" s="29">
        <v>0</v>
      </c>
      <c r="F11" s="26" cm="1">
        <f t="array" ref="F11">IF(C11="مكتملة",0.95,IF(C11="تشطيبات",0.78,IF(C11="كهروميكانيك",0.55,IF(C11="هيكل",0.35,IF(C11="أساسات",0.22,0.12)))))</f>
        <v>0.12</v>
      </c>
      <c r="G11" s="26" cm="1">
        <f t="array" ref="G11">IF(C11="مكتملة",0.96,IF(C11="تشطيبات",0.88,IF(C11="كهروميكانيك",0.72,IF(C11="هيكل",0.44,IF(C11="أساسات",0.2,0.08)))))</f>
        <v>0.08</v>
      </c>
      <c r="H11" t="str" s="27" cm="1">
        <f t="array" ref="H11">IF(AND(C11="مكتملة",E11&lt;=3,F11&gt;=0.9,G11&gt;=0.9),"جاهزة للاستلام الابتدائي",IF(OR(C11="تشطيبات",C11="مكتملة"),"قيد التجهيز","غير جاهزة"))</f>
        <v>غير جاهزة</v>
      </c>
      <c r="I11" s="36">
        <v>46070</v>
      </c>
      <c r="J11" s="36">
        <v>46155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" customHeight="1">
      <c r="A12" s="29">
        <v>8</v>
      </c>
      <c r="B12" t="s" s="28">
        <v>267</v>
      </c>
      <c r="C12" t="s" s="28">
        <v>17</v>
      </c>
      <c r="D12" s="26">
        <v>0.1079</v>
      </c>
      <c r="E12" s="29">
        <v>2</v>
      </c>
      <c r="F12" s="26" cm="1">
        <f t="array" ref="F12">IF(C12="مكتملة",0.95,IF(C12="تشطيبات",0.78,IF(C12="كهروميكانيك",0.55,IF(C12="هيكل",0.35,IF(C12="أساسات",0.22,0.12)))))</f>
        <v>0.12</v>
      </c>
      <c r="G12" s="26" cm="1">
        <f t="array" ref="G12">IF(C12="مكتملة",0.96,IF(C12="تشطيبات",0.88,IF(C12="كهروميكانيك",0.72,IF(C12="هيكل",0.44,IF(C12="أساسات",0.2,0.08)))))</f>
        <v>0.08</v>
      </c>
      <c r="H12" t="str" s="27" cm="1">
        <f t="array" ref="H12">IF(AND(C12="مكتملة",E12&lt;=3,F12&gt;=0.9,G12&gt;=0.9),"جاهزة للاستلام الابتدائي",IF(OR(C12="تشطيبات",C12="مكتملة"),"قيد التجهيز","غير جاهزة"))</f>
        <v>غير جاهزة</v>
      </c>
      <c r="I12" s="36">
        <v>46073</v>
      </c>
      <c r="J12" s="36">
        <v>46191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" customHeight="1">
      <c r="A13" s="29">
        <v>9</v>
      </c>
      <c r="B13" t="s" s="28">
        <v>267</v>
      </c>
      <c r="C13" t="s" s="28">
        <v>17</v>
      </c>
      <c r="D13" s="26">
        <v>0.141</v>
      </c>
      <c r="E13" s="29">
        <v>1</v>
      </c>
      <c r="F13" s="26" cm="1">
        <f t="array" ref="F13">IF(C13="مكتملة",0.95,IF(C13="تشطيبات",0.78,IF(C13="كهروميكانيك",0.55,IF(C13="هيكل",0.35,IF(C13="أساسات",0.22,0.12)))))</f>
        <v>0.12</v>
      </c>
      <c r="G13" s="26" cm="1">
        <f t="array" ref="G13">IF(C13="مكتملة",0.96,IF(C13="تشطيبات",0.88,IF(C13="كهروميكانيك",0.72,IF(C13="هيكل",0.44,IF(C13="أساسات",0.2,0.08)))))</f>
        <v>0.08</v>
      </c>
      <c r="H13" t="str" s="27" cm="1">
        <f t="array" ref="H13">IF(AND(C13="مكتملة",E13&lt;=3,F13&gt;=0.9,G13&gt;=0.9),"جاهزة للاستلام الابتدائي",IF(OR(C13="تشطيبات",C13="مكتملة"),"قيد التجهيز","غير جاهزة"))</f>
        <v>غير جاهزة</v>
      </c>
      <c r="I13" s="36">
        <v>46076</v>
      </c>
      <c r="J13" s="36">
        <v>46187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" customHeight="1">
      <c r="A14" s="29">
        <v>10</v>
      </c>
      <c r="B14" t="s" s="28">
        <v>267</v>
      </c>
      <c r="C14" t="s" s="28">
        <v>17</v>
      </c>
      <c r="D14" s="26">
        <v>0.1072</v>
      </c>
      <c r="E14" s="29">
        <v>0</v>
      </c>
      <c r="F14" s="26" cm="1">
        <f t="array" ref="F14">IF(C14="مكتملة",0.95,IF(C14="تشطيبات",0.78,IF(C14="كهروميكانيك",0.55,IF(C14="هيكل",0.35,IF(C14="أساسات",0.22,0.12)))))</f>
        <v>0.12</v>
      </c>
      <c r="G14" s="26" cm="1">
        <f t="array" ref="G14">IF(C14="مكتملة",0.96,IF(C14="تشطيبات",0.88,IF(C14="كهروميكانيك",0.72,IF(C14="هيكل",0.44,IF(C14="أساسات",0.2,0.08)))))</f>
        <v>0.08</v>
      </c>
      <c r="H14" t="str" s="27" cm="1">
        <f t="array" ref="H14">IF(AND(C14="مكتملة",E14&lt;=3,F14&gt;=0.9,G14&gt;=0.9),"جاهزة للاستلام الابتدائي",IF(OR(C14="تشطيبات",C14="مكتملة"),"قيد التجهيز","غير جاهزة"))</f>
        <v>غير جاهزة</v>
      </c>
      <c r="I14" s="36">
        <v>46079</v>
      </c>
      <c r="J14" s="36">
        <v>46196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" customHeight="1">
      <c r="A15" s="29">
        <v>11</v>
      </c>
      <c r="B15" t="s" s="28">
        <v>267</v>
      </c>
      <c r="C15" t="s" s="28">
        <v>17</v>
      </c>
      <c r="D15" s="26">
        <v>0.0915</v>
      </c>
      <c r="E15" s="29">
        <v>0</v>
      </c>
      <c r="F15" s="26" cm="1">
        <f t="array" ref="F15">IF(C15="مكتملة",0.95,IF(C15="تشطيبات",0.78,IF(C15="كهروميكانيك",0.55,IF(C15="هيكل",0.35,IF(C15="أساسات",0.22,0.12)))))</f>
        <v>0.12</v>
      </c>
      <c r="G15" s="26" cm="1">
        <f t="array" ref="G15">IF(C15="مكتملة",0.96,IF(C15="تشطيبات",0.88,IF(C15="كهروميكانيك",0.72,IF(C15="هيكل",0.44,IF(C15="أساسات",0.2,0.08)))))</f>
        <v>0.08</v>
      </c>
      <c r="H15" t="str" s="27" cm="1">
        <f t="array" ref="H15">IF(AND(C15="مكتملة",E15&lt;=3,F15&gt;=0.9,G15&gt;=0.9),"جاهزة للاستلام الابتدائي",IF(OR(C15="تشطيبات",C15="مكتملة"),"قيد التجهيز","غير جاهزة"))</f>
        <v>غير جاهزة</v>
      </c>
      <c r="I15" s="36">
        <v>46082</v>
      </c>
      <c r="J15" s="36">
        <v>46177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" customHeight="1">
      <c r="A16" s="29">
        <v>12</v>
      </c>
      <c r="B16" t="s" s="28">
        <v>267</v>
      </c>
      <c r="C16" t="s" s="28">
        <v>17</v>
      </c>
      <c r="D16" s="26">
        <v>0.1488</v>
      </c>
      <c r="E16" s="29">
        <v>0</v>
      </c>
      <c r="F16" s="26" cm="1">
        <f t="array" ref="F16">IF(C16="مكتملة",0.95,IF(C16="تشطيبات",0.78,IF(C16="كهروميكانيك",0.55,IF(C16="هيكل",0.35,IF(C16="أساسات",0.22,0.12)))))</f>
        <v>0.12</v>
      </c>
      <c r="G16" s="26" cm="1">
        <f t="array" ref="G16">IF(C16="مكتملة",0.96,IF(C16="تشطيبات",0.88,IF(C16="كهروميكانيك",0.72,IF(C16="هيكل",0.44,IF(C16="أساسات",0.2,0.08)))))</f>
        <v>0.08</v>
      </c>
      <c r="H16" t="str" s="27" cm="1">
        <f t="array" ref="H16">IF(AND(C16="مكتملة",E16&lt;=3,F16&gt;=0.9,G16&gt;=0.9),"جاهزة للاستلام الابتدائي",IF(OR(C16="تشطيبات",C16="مكتملة"),"قيد التجهيز","غير جاهزة"))</f>
        <v>غير جاهزة</v>
      </c>
      <c r="I16" s="36">
        <v>46085</v>
      </c>
      <c r="J16" s="36">
        <v>46196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" customHeight="1">
      <c r="A17" s="29">
        <v>13</v>
      </c>
      <c r="B17" t="s" s="28">
        <v>267</v>
      </c>
      <c r="C17" t="s" s="28">
        <v>17</v>
      </c>
      <c r="D17" s="26">
        <v>0.1055</v>
      </c>
      <c r="E17" s="29">
        <v>0</v>
      </c>
      <c r="F17" s="26" cm="1">
        <f t="array" ref="F17">IF(C17="مكتملة",0.95,IF(C17="تشطيبات",0.78,IF(C17="كهروميكانيك",0.55,IF(C17="هيكل",0.35,IF(C17="أساسات",0.22,0.12)))))</f>
        <v>0.12</v>
      </c>
      <c r="G17" s="26" cm="1">
        <f t="array" ref="G17">IF(C17="مكتملة",0.96,IF(C17="تشطيبات",0.88,IF(C17="كهروميكانيك",0.72,IF(C17="هيكل",0.44,IF(C17="أساسات",0.2,0.08)))))</f>
        <v>0.08</v>
      </c>
      <c r="H17" t="str" s="27" cm="1">
        <f t="array" ref="H17">IF(AND(C17="مكتملة",E17&lt;=3,F17&gt;=0.9,G17&gt;=0.9),"جاهزة للاستلام الابتدائي",IF(OR(C17="تشطيبات",C17="مكتملة"),"قيد التجهيز","غير جاهزة"))</f>
        <v>غير جاهزة</v>
      </c>
      <c r="I17" s="36">
        <v>46088</v>
      </c>
      <c r="J17" s="36">
        <v>46185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" customHeight="1">
      <c r="A18" s="29">
        <v>14</v>
      </c>
      <c r="B18" t="s" s="28">
        <v>267</v>
      </c>
      <c r="C18" t="s" s="28">
        <v>17</v>
      </c>
      <c r="D18" s="26">
        <v>0.112</v>
      </c>
      <c r="E18" s="29">
        <v>0</v>
      </c>
      <c r="F18" s="26" cm="1">
        <f t="array" ref="F18">IF(C18="مكتملة",0.95,IF(C18="تشطيبات",0.78,IF(C18="كهروميكانيك",0.55,IF(C18="هيكل",0.35,IF(C18="أساسات",0.22,0.12)))))</f>
        <v>0.12</v>
      </c>
      <c r="G18" s="26" cm="1">
        <f t="array" ref="G18">IF(C18="مكتملة",0.96,IF(C18="تشطيبات",0.88,IF(C18="كهروميكانيك",0.72,IF(C18="هيكل",0.44,IF(C18="أساسات",0.2,0.08)))))</f>
        <v>0.08</v>
      </c>
      <c r="H18" t="str" s="27" cm="1">
        <f t="array" ref="H18">IF(AND(C18="مكتملة",E18&lt;=3,F18&gt;=0.9,G18&gt;=0.9),"جاهزة للاستلام الابتدائي",IF(OR(C18="تشطيبات",C18="مكتملة"),"قيد التجهيز","غير جاهزة"))</f>
        <v>غير جاهزة</v>
      </c>
      <c r="I18" s="36">
        <v>46091</v>
      </c>
      <c r="J18" s="36">
        <v>46204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" customHeight="1">
      <c r="A19" s="29">
        <v>15</v>
      </c>
      <c r="B19" t="s" s="28">
        <v>267</v>
      </c>
      <c r="C19" t="s" s="28">
        <v>17</v>
      </c>
      <c r="D19" s="26">
        <v>0.1376</v>
      </c>
      <c r="E19" s="29">
        <v>0</v>
      </c>
      <c r="F19" s="26" cm="1">
        <f t="array" ref="F19">IF(C19="مكتملة",0.95,IF(C19="تشطيبات",0.78,IF(C19="كهروميكانيك",0.55,IF(C19="هيكل",0.35,IF(C19="أساسات",0.22,0.12)))))</f>
        <v>0.12</v>
      </c>
      <c r="G19" s="26" cm="1">
        <f t="array" ref="G19">IF(C19="مكتملة",0.96,IF(C19="تشطيبات",0.88,IF(C19="كهروميكانيك",0.72,IF(C19="هيكل",0.44,IF(C19="أساسات",0.2,0.08)))))</f>
        <v>0.08</v>
      </c>
      <c r="H19" t="str" s="27" cm="1">
        <f t="array" ref="H19">IF(AND(C19="مكتملة",E19&lt;=3,F19&gt;=0.9,G19&gt;=0.9),"جاهزة للاستلام الابتدائي",IF(OR(C19="تشطيبات",C19="مكتملة"),"قيد التجهيز","غير جاهزة"))</f>
        <v>غير جاهزة</v>
      </c>
      <c r="I19" s="36">
        <v>46094</v>
      </c>
      <c r="J19" s="36">
        <v>46176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" customHeight="1">
      <c r="A20" s="29">
        <v>16</v>
      </c>
      <c r="B20" t="s" s="28">
        <v>267</v>
      </c>
      <c r="C20" t="s" s="28">
        <v>17</v>
      </c>
      <c r="D20" s="26">
        <v>0.1249</v>
      </c>
      <c r="E20" s="29">
        <v>0</v>
      </c>
      <c r="F20" s="26" cm="1">
        <f t="array" ref="F20">IF(C20="مكتملة",0.95,IF(C20="تشطيبات",0.78,IF(C20="كهروميكانيك",0.55,IF(C20="هيكل",0.35,IF(C20="أساسات",0.22,0.12)))))</f>
        <v>0.12</v>
      </c>
      <c r="G20" s="26" cm="1">
        <f t="array" ref="G20">IF(C20="مكتملة",0.96,IF(C20="تشطيبات",0.88,IF(C20="كهروميكانيك",0.72,IF(C20="هيكل",0.44,IF(C20="أساسات",0.2,0.08)))))</f>
        <v>0.08</v>
      </c>
      <c r="H20" t="str" s="27" cm="1">
        <f t="array" ref="H20">IF(AND(C20="مكتملة",E20&lt;=3,F20&gt;=0.9,G20&gt;=0.9),"جاهزة للاستلام الابتدائي",IF(OR(C20="تشطيبات",C20="مكتملة"),"قيد التجهيز","غير جاهزة"))</f>
        <v>غير جاهزة</v>
      </c>
      <c r="I20" s="36">
        <v>46097</v>
      </c>
      <c r="J20" s="36">
        <v>46192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" customHeight="1">
      <c r="A21" s="29">
        <v>17</v>
      </c>
      <c r="B21" t="s" s="28">
        <v>267</v>
      </c>
      <c r="C21" t="s" s="28">
        <v>17</v>
      </c>
      <c r="D21" s="26">
        <v>0.1137</v>
      </c>
      <c r="E21" s="29">
        <v>0</v>
      </c>
      <c r="F21" s="26" cm="1">
        <f t="array" ref="F21">IF(C21="مكتملة",0.95,IF(C21="تشطيبات",0.78,IF(C21="كهروميكانيك",0.55,IF(C21="هيكل",0.35,IF(C21="أساسات",0.22,0.12)))))</f>
        <v>0.12</v>
      </c>
      <c r="G21" s="26" cm="1">
        <f t="array" ref="G21">IF(C21="مكتملة",0.96,IF(C21="تشطيبات",0.88,IF(C21="كهروميكانيك",0.72,IF(C21="هيكل",0.44,IF(C21="أساسات",0.2,0.08)))))</f>
        <v>0.08</v>
      </c>
      <c r="H21" t="str" s="27" cm="1">
        <f t="array" ref="H21">IF(AND(C21="مكتملة",E21&lt;=3,F21&gt;=0.9,G21&gt;=0.9),"جاهزة للاستلام الابتدائي",IF(OR(C21="تشطيبات",C21="مكتملة"),"قيد التجهيز","غير جاهزة"))</f>
        <v>غير جاهزة</v>
      </c>
      <c r="I21" s="36">
        <v>46100</v>
      </c>
      <c r="J21" s="36">
        <v>46179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" customHeight="1">
      <c r="A22" s="29">
        <v>18</v>
      </c>
      <c r="B22" t="s" s="28">
        <v>267</v>
      </c>
      <c r="C22" t="s" s="28">
        <v>17</v>
      </c>
      <c r="D22" s="26">
        <v>0.1325</v>
      </c>
      <c r="E22" s="29">
        <v>0</v>
      </c>
      <c r="F22" s="26" cm="1">
        <f t="array" ref="F22">IF(C22="مكتملة",0.95,IF(C22="تشطيبات",0.78,IF(C22="كهروميكانيك",0.55,IF(C22="هيكل",0.35,IF(C22="أساسات",0.22,0.12)))))</f>
        <v>0.12</v>
      </c>
      <c r="G22" s="26" cm="1">
        <f t="array" ref="G22">IF(C22="مكتملة",0.96,IF(C22="تشطيبات",0.88,IF(C22="كهروميكانيك",0.72,IF(C22="هيكل",0.44,IF(C22="أساسات",0.2,0.08)))))</f>
        <v>0.08</v>
      </c>
      <c r="H22" t="str" s="27" cm="1">
        <f t="array" ref="H22">IF(AND(C22="مكتملة",E22&lt;=3,F22&gt;=0.9,G22&gt;=0.9),"جاهزة للاستلام الابتدائي",IF(OR(C22="تشطيبات",C22="مكتملة"),"قيد التجهيز","غير جاهزة"))</f>
        <v>غير جاهزة</v>
      </c>
      <c r="I22" s="36">
        <v>46103</v>
      </c>
      <c r="J22" s="36">
        <v>46186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" customHeight="1">
      <c r="A23" s="29">
        <v>19</v>
      </c>
      <c r="B23" t="s" s="28">
        <v>267</v>
      </c>
      <c r="C23" t="s" s="28">
        <v>17</v>
      </c>
      <c r="D23" s="26">
        <v>0.1066</v>
      </c>
      <c r="E23" s="29">
        <v>0</v>
      </c>
      <c r="F23" s="26" cm="1">
        <f t="array" ref="F23">IF(C23="مكتملة",0.95,IF(C23="تشطيبات",0.78,IF(C23="كهروميكانيك",0.55,IF(C23="هيكل",0.35,IF(C23="أساسات",0.22,0.12)))))</f>
        <v>0.12</v>
      </c>
      <c r="G23" s="26" cm="1">
        <f t="array" ref="G23">IF(C23="مكتملة",0.96,IF(C23="تشطيبات",0.88,IF(C23="كهروميكانيك",0.72,IF(C23="هيكل",0.44,IF(C23="أساسات",0.2,0.08)))))</f>
        <v>0.08</v>
      </c>
      <c r="H23" t="str" s="27" cm="1">
        <f t="array" ref="H23">IF(AND(C23="مكتملة",E23&lt;=3,F23&gt;=0.9,G23&gt;=0.9),"جاهزة للاستلام الابتدائي",IF(OR(C23="تشطيبات",C23="مكتملة"),"قيد التجهيز","غير جاهزة"))</f>
        <v>غير جاهزة</v>
      </c>
      <c r="I23" s="36">
        <v>46106</v>
      </c>
      <c r="J23" s="36">
        <v>46205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" customHeight="1">
      <c r="A24" s="29">
        <v>20</v>
      </c>
      <c r="B24" t="s" s="28">
        <v>267</v>
      </c>
      <c r="C24" t="s" s="28">
        <v>17</v>
      </c>
      <c r="D24" s="26">
        <v>0.1428</v>
      </c>
      <c r="E24" s="29">
        <v>0</v>
      </c>
      <c r="F24" s="26" cm="1">
        <f t="array" ref="F24">IF(C24="مكتملة",0.95,IF(C24="تشطيبات",0.78,IF(C24="كهروميكانيك",0.55,IF(C24="هيكل",0.35,IF(C24="أساسات",0.22,0.12)))))</f>
        <v>0.12</v>
      </c>
      <c r="G24" s="26" cm="1">
        <f t="array" ref="G24">IF(C24="مكتملة",0.96,IF(C24="تشطيبات",0.88,IF(C24="كهروميكانيك",0.72,IF(C24="هيكل",0.44,IF(C24="أساسات",0.2,0.08)))))</f>
        <v>0.08</v>
      </c>
      <c r="H24" t="str" s="27" cm="1">
        <f t="array" ref="H24">IF(AND(C24="مكتملة",E24&lt;=3,F24&gt;=0.9,G24&gt;=0.9),"جاهزة للاستلام الابتدائي",IF(OR(C24="تشطيبات",C24="مكتملة"),"قيد التجهيز","غير جاهزة"))</f>
        <v>غير جاهزة</v>
      </c>
      <c r="I24" s="36">
        <v>46109</v>
      </c>
      <c r="J24" s="36">
        <v>46203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" customHeight="1">
      <c r="A25" s="29">
        <v>21</v>
      </c>
      <c r="B25" t="s" s="28">
        <v>267</v>
      </c>
      <c r="C25" t="s" s="28">
        <v>23</v>
      </c>
      <c r="D25" s="26">
        <v>0.197</v>
      </c>
      <c r="E25" s="29">
        <v>2</v>
      </c>
      <c r="F25" s="26" cm="1">
        <f t="array" ref="F25">IF(C25="مكتملة",0.95,IF(C25="تشطيبات",0.78,IF(C25="كهروميكانيك",0.55,IF(C25="هيكل",0.35,IF(C25="أساسات",0.22,0.12)))))</f>
        <v>0.22</v>
      </c>
      <c r="G25" s="26" cm="1">
        <f t="array" ref="G25">IF(C25="مكتملة",0.96,IF(C25="تشطيبات",0.88,IF(C25="كهروميكانيك",0.72,IF(C25="هيكل",0.44,IF(C25="أساسات",0.2,0.08)))))</f>
        <v>0.2</v>
      </c>
      <c r="H25" t="str" s="27" cm="1">
        <f t="array" ref="H25">IF(AND(C25="مكتملة",E25&lt;=3,F25&gt;=0.9,G25&gt;=0.9),"جاهزة للاستلام الابتدائي",IF(OR(C25="تشطيبات",C25="مكتملة"),"قيد التجهيز","غير جاهزة"))</f>
        <v>غير جاهزة</v>
      </c>
      <c r="I25" s="36">
        <v>46124</v>
      </c>
      <c r="J25" s="36">
        <v>46216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" customHeight="1">
      <c r="A26" s="29">
        <v>22</v>
      </c>
      <c r="B26" t="s" s="28">
        <v>267</v>
      </c>
      <c r="C26" t="s" s="28">
        <v>23</v>
      </c>
      <c r="D26" s="26">
        <v>0.2536</v>
      </c>
      <c r="E26" s="29">
        <v>0</v>
      </c>
      <c r="F26" s="26" cm="1">
        <f t="array" ref="F26">IF(C26="مكتملة",0.95,IF(C26="تشطيبات",0.78,IF(C26="كهروميكانيك",0.55,IF(C26="هيكل",0.35,IF(C26="أساسات",0.22,0.12)))))</f>
        <v>0.22</v>
      </c>
      <c r="G26" s="26" cm="1">
        <f t="array" ref="G26">IF(C26="مكتملة",0.96,IF(C26="تشطيبات",0.88,IF(C26="كهروميكانيك",0.72,IF(C26="هيكل",0.44,IF(C26="أساسات",0.2,0.08)))))</f>
        <v>0.2</v>
      </c>
      <c r="H26" t="str" s="27" cm="1">
        <f t="array" ref="H26">IF(AND(C26="مكتملة",E26&lt;=3,F26&gt;=0.9,G26&gt;=0.9),"جاهزة للاستلام الابتدائي",IF(OR(C26="تشطيبات",C26="مكتملة"),"قيد التجهيز","غير جاهزة"))</f>
        <v>غير جاهزة</v>
      </c>
      <c r="I26" s="36">
        <v>46127</v>
      </c>
      <c r="J26" s="36">
        <v>46203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" customHeight="1">
      <c r="A27" s="29">
        <v>23</v>
      </c>
      <c r="B27" t="s" s="28">
        <v>267</v>
      </c>
      <c r="C27" t="s" s="28">
        <v>23</v>
      </c>
      <c r="D27" s="26">
        <v>0.2746</v>
      </c>
      <c r="E27" s="29">
        <v>1</v>
      </c>
      <c r="F27" s="26" cm="1">
        <f t="array" ref="F27">IF(C27="مكتملة",0.95,IF(C27="تشطيبات",0.78,IF(C27="كهروميكانيك",0.55,IF(C27="هيكل",0.35,IF(C27="أساسات",0.22,0.12)))))</f>
        <v>0.22</v>
      </c>
      <c r="G27" s="26" cm="1">
        <f t="array" ref="G27">IF(C27="مكتملة",0.96,IF(C27="تشطيبات",0.88,IF(C27="كهروميكانيك",0.72,IF(C27="هيكل",0.44,IF(C27="أساسات",0.2,0.08)))))</f>
        <v>0.2</v>
      </c>
      <c r="H27" t="str" s="27" cm="1">
        <f t="array" ref="H27">IF(AND(C27="مكتملة",E27&lt;=3,F27&gt;=0.9,G27&gt;=0.9),"جاهزة للاستلام الابتدائي",IF(OR(C27="تشطيبات",C27="مكتملة"),"قيد التجهيز","غير جاهزة"))</f>
        <v>غير جاهزة</v>
      </c>
      <c r="I27" s="36">
        <v>46130</v>
      </c>
      <c r="J27" s="36">
        <v>46214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" customHeight="1">
      <c r="A28" s="29">
        <v>24</v>
      </c>
      <c r="B28" t="s" s="28">
        <v>267</v>
      </c>
      <c r="C28" t="s" s="28">
        <v>23</v>
      </c>
      <c r="D28" s="26">
        <v>0.2417</v>
      </c>
      <c r="E28" s="29">
        <v>2</v>
      </c>
      <c r="F28" s="26" cm="1">
        <f t="array" ref="F28">IF(C28="مكتملة",0.95,IF(C28="تشطيبات",0.78,IF(C28="كهروميكانيك",0.55,IF(C28="هيكل",0.35,IF(C28="أساسات",0.22,0.12)))))</f>
        <v>0.22</v>
      </c>
      <c r="G28" s="26" cm="1">
        <f t="array" ref="G28">IF(C28="مكتملة",0.96,IF(C28="تشطيبات",0.88,IF(C28="كهروميكانيك",0.72,IF(C28="هيكل",0.44,IF(C28="أساسات",0.2,0.08)))))</f>
        <v>0.2</v>
      </c>
      <c r="H28" t="str" s="27" cm="1">
        <f t="array" ref="H28">IF(AND(C28="مكتملة",E28&lt;=3,F28&gt;=0.9,G28&gt;=0.9),"جاهزة للاستلام الابتدائي",IF(OR(C28="تشطيبات",C28="مكتملة"),"قيد التجهيز","غير جاهزة"))</f>
        <v>غير جاهزة</v>
      </c>
      <c r="I28" s="36">
        <v>46133</v>
      </c>
      <c r="J28" s="36">
        <v>46214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" customHeight="1">
      <c r="A29" s="29">
        <v>25</v>
      </c>
      <c r="B29" t="s" s="28">
        <v>267</v>
      </c>
      <c r="C29" t="s" s="28">
        <v>23</v>
      </c>
      <c r="D29" s="26">
        <v>0.2431</v>
      </c>
      <c r="E29" s="29">
        <v>1</v>
      </c>
      <c r="F29" s="26" cm="1">
        <f t="array" ref="F29">IF(C29="مكتملة",0.95,IF(C29="تشطيبات",0.78,IF(C29="كهروميكانيك",0.55,IF(C29="هيكل",0.35,IF(C29="أساسات",0.22,0.12)))))</f>
        <v>0.22</v>
      </c>
      <c r="G29" s="26" cm="1">
        <f t="array" ref="G29">IF(C29="مكتملة",0.96,IF(C29="تشطيبات",0.88,IF(C29="كهروميكانيك",0.72,IF(C29="هيكل",0.44,IF(C29="أساسات",0.2,0.08)))))</f>
        <v>0.2</v>
      </c>
      <c r="H29" t="str" s="27" cm="1">
        <f t="array" ref="H29">IF(AND(C29="مكتملة",E29&lt;=3,F29&gt;=0.9,G29&gt;=0.9),"جاهزة للاستلام الابتدائي",IF(OR(C29="تشطيبات",C29="مكتملة"),"قيد التجهيز","غير جاهزة"))</f>
        <v>غير جاهزة</v>
      </c>
      <c r="I29" s="36">
        <v>46136</v>
      </c>
      <c r="J29" s="36">
        <v>46210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" customHeight="1">
      <c r="A30" s="29">
        <v>26</v>
      </c>
      <c r="B30" t="s" s="28">
        <v>267</v>
      </c>
      <c r="C30" t="s" s="28">
        <v>23</v>
      </c>
      <c r="D30" s="26">
        <v>0.2177</v>
      </c>
      <c r="E30" s="29">
        <v>1</v>
      </c>
      <c r="F30" s="26" cm="1">
        <f t="array" ref="F30">IF(C30="مكتملة",0.95,IF(C30="تشطيبات",0.78,IF(C30="كهروميكانيك",0.55,IF(C30="هيكل",0.35,IF(C30="أساسات",0.22,0.12)))))</f>
        <v>0.22</v>
      </c>
      <c r="G30" s="26" cm="1">
        <f t="array" ref="G30">IF(C30="مكتملة",0.96,IF(C30="تشطيبات",0.88,IF(C30="كهروميكانيك",0.72,IF(C30="هيكل",0.44,IF(C30="أساسات",0.2,0.08)))))</f>
        <v>0.2</v>
      </c>
      <c r="H30" t="str" s="27" cm="1">
        <f t="array" ref="H30">IF(AND(C30="مكتملة",E30&lt;=3,F30&gt;=0.9,G30&gt;=0.9),"جاهزة للاستلام الابتدائي",IF(OR(C30="تشطيبات",C30="مكتملة"),"قيد التجهيز","غير جاهزة"))</f>
        <v>غير جاهزة</v>
      </c>
      <c r="I30" s="36">
        <v>46139</v>
      </c>
      <c r="J30" s="36">
        <v>46211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" customHeight="1">
      <c r="A31" s="29">
        <v>27</v>
      </c>
      <c r="B31" t="s" s="28">
        <v>267</v>
      </c>
      <c r="C31" t="s" s="28">
        <v>23</v>
      </c>
      <c r="D31" s="26">
        <v>0.2535</v>
      </c>
      <c r="E31" s="29">
        <v>0</v>
      </c>
      <c r="F31" s="26" cm="1">
        <f t="array" ref="F31">IF(C31="مكتملة",0.95,IF(C31="تشطيبات",0.78,IF(C31="كهروميكانيك",0.55,IF(C31="هيكل",0.35,IF(C31="أساسات",0.22,0.12)))))</f>
        <v>0.22</v>
      </c>
      <c r="G31" s="26" cm="1">
        <f t="array" ref="G31">IF(C31="مكتملة",0.96,IF(C31="تشطيبات",0.88,IF(C31="كهروميكانيك",0.72,IF(C31="هيكل",0.44,IF(C31="أساسات",0.2,0.08)))))</f>
        <v>0.2</v>
      </c>
      <c r="H31" t="str" s="27" cm="1">
        <f t="array" ref="H31">IF(AND(C31="مكتملة",E31&lt;=3,F31&gt;=0.9,G31&gt;=0.9),"جاهزة للاستلام الابتدائي",IF(OR(C31="تشطيبات",C31="مكتملة"),"قيد التجهيز","غير جاهزة"))</f>
        <v>غير جاهزة</v>
      </c>
      <c r="I31" s="36">
        <v>46142</v>
      </c>
      <c r="J31" s="36">
        <v>46205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" customHeight="1">
      <c r="A32" s="29">
        <v>28</v>
      </c>
      <c r="B32" t="s" s="28">
        <v>267</v>
      </c>
      <c r="C32" t="s" s="28">
        <v>23</v>
      </c>
      <c r="D32" s="26">
        <v>0.1889</v>
      </c>
      <c r="E32" s="29">
        <v>1</v>
      </c>
      <c r="F32" s="26" cm="1">
        <f t="array" ref="F32">IF(C32="مكتملة",0.95,IF(C32="تشطيبات",0.78,IF(C32="كهروميكانيك",0.55,IF(C32="هيكل",0.35,IF(C32="أساسات",0.22,0.12)))))</f>
        <v>0.22</v>
      </c>
      <c r="G32" s="26" cm="1">
        <f t="array" ref="G32">IF(C32="مكتملة",0.96,IF(C32="تشطيبات",0.88,IF(C32="كهروميكانيك",0.72,IF(C32="هيكل",0.44,IF(C32="أساسات",0.2,0.08)))))</f>
        <v>0.2</v>
      </c>
      <c r="H32" t="str" s="27" cm="1">
        <f t="array" ref="H32">IF(AND(C32="مكتملة",E32&lt;=3,F32&gt;=0.9,G32&gt;=0.9),"جاهزة للاستلام الابتدائي",IF(OR(C32="تشطيبات",C32="مكتملة"),"قيد التجهيز","غير جاهزة"))</f>
        <v>غير جاهزة</v>
      </c>
      <c r="I32" s="36">
        <v>46145</v>
      </c>
      <c r="J32" s="36">
        <v>46226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" customHeight="1">
      <c r="A33" s="29">
        <v>29</v>
      </c>
      <c r="B33" t="s" s="28">
        <v>267</v>
      </c>
      <c r="C33" t="s" s="28">
        <v>23</v>
      </c>
      <c r="D33" s="26">
        <v>0.2111</v>
      </c>
      <c r="E33" s="29">
        <v>0</v>
      </c>
      <c r="F33" s="26" cm="1">
        <f t="array" ref="F33">IF(C33="مكتملة",0.95,IF(C33="تشطيبات",0.78,IF(C33="كهروميكانيك",0.55,IF(C33="هيكل",0.35,IF(C33="أساسات",0.22,0.12)))))</f>
        <v>0.22</v>
      </c>
      <c r="G33" s="26" cm="1">
        <f t="array" ref="G33">IF(C33="مكتملة",0.96,IF(C33="تشطيبات",0.88,IF(C33="كهروميكانيك",0.72,IF(C33="هيكل",0.44,IF(C33="أساسات",0.2,0.08)))))</f>
        <v>0.2</v>
      </c>
      <c r="H33" t="str" s="27" cm="1">
        <f t="array" ref="H33">IF(AND(C33="مكتملة",E33&lt;=3,F33&gt;=0.9,G33&gt;=0.9),"جاهزة للاستلام الابتدائي",IF(OR(C33="تشطيبات",C33="مكتملة"),"قيد التجهيز","غير جاهزة"))</f>
        <v>غير جاهزة</v>
      </c>
      <c r="I33" s="36">
        <v>46148</v>
      </c>
      <c r="J33" s="36">
        <v>46203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" customHeight="1">
      <c r="A34" s="29">
        <v>30</v>
      </c>
      <c r="B34" t="s" s="28">
        <v>267</v>
      </c>
      <c r="C34" t="s" s="28">
        <v>23</v>
      </c>
      <c r="D34" s="26">
        <v>0.2663</v>
      </c>
      <c r="E34" s="29">
        <v>0</v>
      </c>
      <c r="F34" s="26" cm="1">
        <f t="array" ref="F34">IF(C34="مكتملة",0.95,IF(C34="تشطيبات",0.78,IF(C34="كهروميكانيك",0.55,IF(C34="هيكل",0.35,IF(C34="أساسات",0.22,0.12)))))</f>
        <v>0.22</v>
      </c>
      <c r="G34" s="26" cm="1">
        <f t="array" ref="G34">IF(C34="مكتملة",0.96,IF(C34="تشطيبات",0.88,IF(C34="كهروميكانيك",0.72,IF(C34="هيكل",0.44,IF(C34="أساسات",0.2,0.08)))))</f>
        <v>0.2</v>
      </c>
      <c r="H34" t="str" s="27" cm="1">
        <f t="array" ref="H34">IF(AND(C34="مكتملة",E34&lt;=3,F34&gt;=0.9,G34&gt;=0.9),"جاهزة للاستلام الابتدائي",IF(OR(C34="تشطيبات",C34="مكتملة"),"قيد التجهيز","غير جاهزة"))</f>
        <v>غير جاهزة</v>
      </c>
      <c r="I34" s="36">
        <v>46151</v>
      </c>
      <c r="J34" s="36">
        <v>46208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" customHeight="1">
      <c r="A35" s="29">
        <v>31</v>
      </c>
      <c r="B35" t="s" s="28">
        <v>274</v>
      </c>
      <c r="C35" t="s" s="28">
        <v>23</v>
      </c>
      <c r="D35" s="26">
        <v>0.2391</v>
      </c>
      <c r="E35" s="29">
        <v>2</v>
      </c>
      <c r="F35" s="26" cm="1">
        <f t="array" ref="F35">IF(C35="مكتملة",0.95,IF(C35="تشطيبات",0.78,IF(C35="كهروميكانيك",0.55,IF(C35="هيكل",0.35,IF(C35="أساسات",0.22,0.12)))))</f>
        <v>0.22</v>
      </c>
      <c r="G35" s="26" cm="1">
        <f t="array" ref="G35">IF(C35="مكتملة",0.96,IF(C35="تشطيبات",0.88,IF(C35="كهروميكانيك",0.72,IF(C35="هيكل",0.44,IF(C35="أساسات",0.2,0.08)))))</f>
        <v>0.2</v>
      </c>
      <c r="H35" t="str" s="27" cm="1">
        <f t="array" ref="H35">IF(AND(C35="مكتملة",E35&lt;=3,F35&gt;=0.9,G35&gt;=0.9),"جاهزة للاستلام الابتدائي",IF(OR(C35="تشطيبات",C35="مكتملة"),"قيد التجهيز","غير جاهزة"))</f>
        <v>غير جاهزة</v>
      </c>
      <c r="I35" s="36">
        <v>46154</v>
      </c>
      <c r="J35" s="36">
        <v>46221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" customHeight="1">
      <c r="A36" s="29">
        <v>32</v>
      </c>
      <c r="B36" t="s" s="28">
        <v>274</v>
      </c>
      <c r="C36" t="s" s="28">
        <v>23</v>
      </c>
      <c r="D36" s="26">
        <v>0.2566</v>
      </c>
      <c r="E36" s="29">
        <v>1</v>
      </c>
      <c r="F36" s="26" cm="1">
        <f t="array" ref="F36">IF(C36="مكتملة",0.95,IF(C36="تشطيبات",0.78,IF(C36="كهروميكانيك",0.55,IF(C36="هيكل",0.35,IF(C36="أساسات",0.22,0.12)))))</f>
        <v>0.22</v>
      </c>
      <c r="G36" s="26" cm="1">
        <f t="array" ref="G36">IF(C36="مكتملة",0.96,IF(C36="تشطيبات",0.88,IF(C36="كهروميكانيك",0.72,IF(C36="هيكل",0.44,IF(C36="أساسات",0.2,0.08)))))</f>
        <v>0.2</v>
      </c>
      <c r="H36" t="str" s="27" cm="1">
        <f t="array" ref="H36">IF(AND(C36="مكتملة",E36&lt;=3,F36&gt;=0.9,G36&gt;=0.9),"جاهزة للاستلام الابتدائي",IF(OR(C36="تشطيبات",C36="مكتملة"),"قيد التجهيز","غير جاهزة"))</f>
        <v>غير جاهزة</v>
      </c>
      <c r="I36" s="36">
        <v>46157</v>
      </c>
      <c r="J36" s="36">
        <v>46214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" customHeight="1">
      <c r="A37" s="29">
        <v>33</v>
      </c>
      <c r="B37" t="s" s="28">
        <v>274</v>
      </c>
      <c r="C37" t="s" s="28">
        <v>23</v>
      </c>
      <c r="D37" s="26">
        <v>0.2109</v>
      </c>
      <c r="E37" s="29">
        <v>0</v>
      </c>
      <c r="F37" s="26" cm="1">
        <f t="array" ref="F37">IF(C37="مكتملة",0.95,IF(C37="تشطيبات",0.78,IF(C37="كهروميكانيك",0.55,IF(C37="هيكل",0.35,IF(C37="أساسات",0.22,0.12)))))</f>
        <v>0.22</v>
      </c>
      <c r="G37" s="26" cm="1">
        <f t="array" ref="G37">IF(C37="مكتملة",0.96,IF(C37="تشطيبات",0.88,IF(C37="كهروميكانيك",0.72,IF(C37="هيكل",0.44,IF(C37="أساسات",0.2,0.08)))))</f>
        <v>0.2</v>
      </c>
      <c r="H37" t="str" s="27" cm="1">
        <f t="array" ref="H37">IF(AND(C37="مكتملة",E37&lt;=3,F37&gt;=0.9,G37&gt;=0.9),"جاهزة للاستلام الابتدائي",IF(OR(C37="تشطيبات",C37="مكتملة"),"قيد التجهيز","غير جاهزة"))</f>
        <v>غير جاهزة</v>
      </c>
      <c r="I37" s="36">
        <v>46160</v>
      </c>
      <c r="J37" s="36">
        <v>46236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" customHeight="1">
      <c r="A38" s="29">
        <v>34</v>
      </c>
      <c r="B38" t="s" s="28">
        <v>274</v>
      </c>
      <c r="C38" t="s" s="28">
        <v>23</v>
      </c>
      <c r="D38" s="26">
        <v>0.1894</v>
      </c>
      <c r="E38" s="29">
        <v>0</v>
      </c>
      <c r="F38" s="26" cm="1">
        <f t="array" ref="F38">IF(C38="مكتملة",0.95,IF(C38="تشطيبات",0.78,IF(C38="كهروميكانيك",0.55,IF(C38="هيكل",0.35,IF(C38="أساسات",0.22,0.12)))))</f>
        <v>0.22</v>
      </c>
      <c r="G38" s="26" cm="1">
        <f t="array" ref="G38">IF(C38="مكتملة",0.96,IF(C38="تشطيبات",0.88,IF(C38="كهروميكانيك",0.72,IF(C38="هيكل",0.44,IF(C38="أساسات",0.2,0.08)))))</f>
        <v>0.2</v>
      </c>
      <c r="H38" t="str" s="27" cm="1">
        <f t="array" ref="H38">IF(AND(C38="مكتملة",E38&lt;=3,F38&gt;=0.9,G38&gt;=0.9),"جاهزة للاستلام الابتدائي",IF(OR(C38="تشطيبات",C38="مكتملة"),"قيد التجهيز","غير جاهزة"))</f>
        <v>غير جاهزة</v>
      </c>
      <c r="I38" s="36">
        <v>46163</v>
      </c>
      <c r="J38" s="36">
        <v>46253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" customHeight="1">
      <c r="A39" s="29">
        <v>35</v>
      </c>
      <c r="B39" t="s" s="28">
        <v>274</v>
      </c>
      <c r="C39" t="s" s="28">
        <v>23</v>
      </c>
      <c r="D39" s="26">
        <v>0.2115</v>
      </c>
      <c r="E39" s="29">
        <v>0</v>
      </c>
      <c r="F39" s="26" cm="1">
        <f t="array" ref="F39">IF(C39="مكتملة",0.95,IF(C39="تشطيبات",0.78,IF(C39="كهروميكانيك",0.55,IF(C39="هيكل",0.35,IF(C39="أساسات",0.22,0.12)))))</f>
        <v>0.22</v>
      </c>
      <c r="G39" s="26" cm="1">
        <f t="array" ref="G39">IF(C39="مكتملة",0.96,IF(C39="تشطيبات",0.88,IF(C39="كهروميكانيك",0.72,IF(C39="هيكل",0.44,IF(C39="أساسات",0.2,0.08)))))</f>
        <v>0.2</v>
      </c>
      <c r="H39" t="str" s="27" cm="1">
        <f t="array" ref="H39">IF(AND(C39="مكتملة",E39&lt;=3,F39&gt;=0.9,G39&gt;=0.9),"جاهزة للاستلام الابتدائي",IF(OR(C39="تشطيبات",C39="مكتملة"),"قيد التجهيز","غير جاهزة"))</f>
        <v>غير جاهزة</v>
      </c>
      <c r="I39" s="36">
        <v>46166</v>
      </c>
      <c r="J39" s="36">
        <v>46221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" customHeight="1">
      <c r="A40" s="29">
        <v>36</v>
      </c>
      <c r="B40" t="s" s="28">
        <v>274</v>
      </c>
      <c r="C40" t="s" s="28">
        <v>23</v>
      </c>
      <c r="D40" s="26">
        <v>0.2047</v>
      </c>
      <c r="E40" s="29">
        <v>3</v>
      </c>
      <c r="F40" s="26" cm="1">
        <f t="array" ref="F40">IF(C40="مكتملة",0.95,IF(C40="تشطيبات",0.78,IF(C40="كهروميكانيك",0.55,IF(C40="هيكل",0.35,IF(C40="أساسات",0.22,0.12)))))</f>
        <v>0.22</v>
      </c>
      <c r="G40" s="26" cm="1">
        <f t="array" ref="G40">IF(C40="مكتملة",0.96,IF(C40="تشطيبات",0.88,IF(C40="كهروميكانيك",0.72,IF(C40="هيكل",0.44,IF(C40="أساسات",0.2,0.08)))))</f>
        <v>0.2</v>
      </c>
      <c r="H40" t="str" s="27" cm="1">
        <f t="array" ref="H40">IF(AND(C40="مكتملة",E40&lt;=3,F40&gt;=0.9,G40&gt;=0.9),"جاهزة للاستلام الابتدائي",IF(OR(C40="تشطيبات",C40="مكتملة"),"قيد التجهيز","غير جاهزة"))</f>
        <v>غير جاهزة</v>
      </c>
      <c r="I40" s="36">
        <v>46169</v>
      </c>
      <c r="J40" s="36">
        <v>46256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" customHeight="1">
      <c r="A41" s="29">
        <v>37</v>
      </c>
      <c r="B41" t="s" s="28">
        <v>274</v>
      </c>
      <c r="C41" t="s" s="28">
        <v>23</v>
      </c>
      <c r="D41" s="26">
        <v>0.2654</v>
      </c>
      <c r="E41" s="29">
        <v>1</v>
      </c>
      <c r="F41" s="26" cm="1">
        <f t="array" ref="F41">IF(C41="مكتملة",0.95,IF(C41="تشطيبات",0.78,IF(C41="كهروميكانيك",0.55,IF(C41="هيكل",0.35,IF(C41="أساسات",0.22,0.12)))))</f>
        <v>0.22</v>
      </c>
      <c r="G41" s="26" cm="1">
        <f t="array" ref="G41">IF(C41="مكتملة",0.96,IF(C41="تشطيبات",0.88,IF(C41="كهروميكانيك",0.72,IF(C41="هيكل",0.44,IF(C41="أساسات",0.2,0.08)))))</f>
        <v>0.2</v>
      </c>
      <c r="H41" t="str" s="27" cm="1">
        <f t="array" ref="H41">IF(AND(C41="مكتملة",E41&lt;=3,F41&gt;=0.9,G41&gt;=0.9),"جاهزة للاستلام الابتدائي",IF(OR(C41="تشطيبات",C41="مكتملة"),"قيد التجهيز","غير جاهزة"))</f>
        <v>غير جاهزة</v>
      </c>
      <c r="I41" s="36">
        <v>46172</v>
      </c>
      <c r="J41" s="36">
        <v>46264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" customHeight="1">
      <c r="A42" s="29">
        <v>38</v>
      </c>
      <c r="B42" t="s" s="28">
        <v>274</v>
      </c>
      <c r="C42" t="s" s="28">
        <v>23</v>
      </c>
      <c r="D42" s="26">
        <v>0.2434</v>
      </c>
      <c r="E42" s="29">
        <v>0</v>
      </c>
      <c r="F42" s="26" cm="1">
        <f t="array" ref="F42">IF(C42="مكتملة",0.95,IF(C42="تشطيبات",0.78,IF(C42="كهروميكانيك",0.55,IF(C42="هيكل",0.35,IF(C42="أساسات",0.22,0.12)))))</f>
        <v>0.22</v>
      </c>
      <c r="G42" s="26" cm="1">
        <f t="array" ref="G42">IF(C42="مكتملة",0.96,IF(C42="تشطيبات",0.88,IF(C42="كهروميكانيك",0.72,IF(C42="هيكل",0.44,IF(C42="أساسات",0.2,0.08)))))</f>
        <v>0.2</v>
      </c>
      <c r="H42" t="str" s="27" cm="1">
        <f t="array" ref="H42">IF(AND(C42="مكتملة",E42&lt;=3,F42&gt;=0.9,G42&gt;=0.9),"جاهزة للاستلام الابتدائي",IF(OR(C42="تشطيبات",C42="مكتملة"),"قيد التجهيز","غير جاهزة"))</f>
        <v>غير جاهزة</v>
      </c>
      <c r="I42" s="36">
        <v>46175</v>
      </c>
      <c r="J42" s="36">
        <v>46265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" customHeight="1">
      <c r="A43" s="29">
        <v>39</v>
      </c>
      <c r="B43" t="s" s="28">
        <v>274</v>
      </c>
      <c r="C43" t="s" s="28">
        <v>28</v>
      </c>
      <c r="D43" s="26">
        <v>0.3857</v>
      </c>
      <c r="E43" s="29">
        <v>0</v>
      </c>
      <c r="F43" s="26" cm="1">
        <f t="array" ref="F43">IF(C43="مكتملة",0.95,IF(C43="تشطيبات",0.78,IF(C43="كهروميكانيك",0.55,IF(C43="هيكل",0.35,IF(C43="أساسات",0.22,0.12)))))</f>
        <v>0.35</v>
      </c>
      <c r="G43" s="26" cm="1">
        <f t="array" ref="G43">IF(C43="مكتملة",0.96,IF(C43="تشطيبات",0.88,IF(C43="كهروميكانيك",0.72,IF(C43="هيكل",0.44,IF(C43="أساسات",0.2,0.08)))))</f>
        <v>0.44</v>
      </c>
      <c r="H43" t="str" s="27" cm="1">
        <f t="array" ref="H43">IF(AND(C43="مكتملة",E43&lt;=3,F43&gt;=0.9,G43&gt;=0.9),"جاهزة للاستلام الابتدائي",IF(OR(C43="تشطيبات",C43="مكتملة"),"قيد التجهيز","غير جاهزة"))</f>
        <v>غير جاهزة</v>
      </c>
      <c r="I43" s="36">
        <v>46190</v>
      </c>
      <c r="J43" s="36">
        <v>46229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" customHeight="1">
      <c r="A44" s="29">
        <v>40</v>
      </c>
      <c r="B44" t="s" s="28">
        <v>274</v>
      </c>
      <c r="C44" t="s" s="28">
        <v>28</v>
      </c>
      <c r="D44" s="26">
        <v>0.3992</v>
      </c>
      <c r="E44" s="29">
        <v>1</v>
      </c>
      <c r="F44" s="26" cm="1">
        <f t="array" ref="F44">IF(C44="مكتملة",0.95,IF(C44="تشطيبات",0.78,IF(C44="كهروميكانيك",0.55,IF(C44="هيكل",0.35,IF(C44="أساسات",0.22,0.12)))))</f>
        <v>0.35</v>
      </c>
      <c r="G44" s="26" cm="1">
        <f t="array" ref="G44">IF(C44="مكتملة",0.96,IF(C44="تشطيبات",0.88,IF(C44="كهروميكانيك",0.72,IF(C44="هيكل",0.44,IF(C44="أساسات",0.2,0.08)))))</f>
        <v>0.44</v>
      </c>
      <c r="H44" t="str" s="27" cm="1">
        <f t="array" ref="H44">IF(AND(C44="مكتملة",E44&lt;=3,F44&gt;=0.9,G44&gt;=0.9),"جاهزة للاستلام الابتدائي",IF(OR(C44="تشطيبات",C44="مكتملة"),"قيد التجهيز","غير جاهزة"))</f>
        <v>غير جاهزة</v>
      </c>
      <c r="I44" s="36">
        <v>46193</v>
      </c>
      <c r="J44" s="36">
        <v>46246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" customHeight="1">
      <c r="A45" s="29">
        <v>41</v>
      </c>
      <c r="B45" t="s" s="28">
        <v>274</v>
      </c>
      <c r="C45" t="s" s="28">
        <v>28</v>
      </c>
      <c r="D45" s="26">
        <v>0.3872</v>
      </c>
      <c r="E45" s="29">
        <v>3</v>
      </c>
      <c r="F45" s="26" cm="1">
        <f t="array" ref="F45">IF(C45="مكتملة",0.95,IF(C45="تشطيبات",0.78,IF(C45="كهروميكانيك",0.55,IF(C45="هيكل",0.35,IF(C45="أساسات",0.22,0.12)))))</f>
        <v>0.35</v>
      </c>
      <c r="G45" s="26" cm="1">
        <f t="array" ref="G45">IF(C45="مكتملة",0.96,IF(C45="تشطيبات",0.88,IF(C45="كهروميكانيك",0.72,IF(C45="هيكل",0.44,IF(C45="أساسات",0.2,0.08)))))</f>
        <v>0.44</v>
      </c>
      <c r="H45" t="str" s="27" cm="1">
        <f t="array" ref="H45">IF(AND(C45="مكتملة",E45&lt;=3,F45&gt;=0.9,G45&gt;=0.9),"جاهزة للاستلام الابتدائي",IF(OR(C45="تشطيبات",C45="مكتملة"),"قيد التجهيز","غير جاهزة"))</f>
        <v>غير جاهزة</v>
      </c>
      <c r="I45" s="36">
        <v>46196</v>
      </c>
      <c r="J45" s="36">
        <v>46238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" customHeight="1">
      <c r="A46" s="29">
        <v>42</v>
      </c>
      <c r="B46" t="s" s="28">
        <v>274</v>
      </c>
      <c r="C46" t="s" s="28">
        <v>28</v>
      </c>
      <c r="D46" s="26">
        <v>0.4292</v>
      </c>
      <c r="E46" s="29">
        <v>2</v>
      </c>
      <c r="F46" s="26" cm="1">
        <f t="array" ref="F46">IF(C46="مكتملة",0.95,IF(C46="تشطيبات",0.78,IF(C46="كهروميكانيك",0.55,IF(C46="هيكل",0.35,IF(C46="أساسات",0.22,0.12)))))</f>
        <v>0.35</v>
      </c>
      <c r="G46" s="26" cm="1">
        <f t="array" ref="G46">IF(C46="مكتملة",0.96,IF(C46="تشطيبات",0.88,IF(C46="كهروميكانيك",0.72,IF(C46="هيكل",0.44,IF(C46="أساسات",0.2,0.08)))))</f>
        <v>0.44</v>
      </c>
      <c r="H46" t="str" s="27" cm="1">
        <f t="array" ref="H46">IF(AND(C46="مكتملة",E46&lt;=3,F46&gt;=0.9,G46&gt;=0.9),"جاهزة للاستلام الابتدائي",IF(OR(C46="تشطيبات",C46="مكتملة"),"قيد التجهيز","غير جاهزة"))</f>
        <v>غير جاهزة</v>
      </c>
      <c r="I46" s="36">
        <v>46199</v>
      </c>
      <c r="J46" s="36">
        <v>46274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" customHeight="1">
      <c r="A47" s="29">
        <v>43</v>
      </c>
      <c r="B47" t="s" s="28">
        <v>274</v>
      </c>
      <c r="C47" t="s" s="28">
        <v>28</v>
      </c>
      <c r="D47" s="26">
        <v>0.4364</v>
      </c>
      <c r="E47" s="29">
        <v>0</v>
      </c>
      <c r="F47" s="26" cm="1">
        <f t="array" ref="F47">IF(C47="مكتملة",0.95,IF(C47="تشطيبات",0.78,IF(C47="كهروميكانيك",0.55,IF(C47="هيكل",0.35,IF(C47="أساسات",0.22,0.12)))))</f>
        <v>0.35</v>
      </c>
      <c r="G47" s="26" cm="1">
        <f t="array" ref="G47">IF(C47="مكتملة",0.96,IF(C47="تشطيبات",0.88,IF(C47="كهروميكانيك",0.72,IF(C47="هيكل",0.44,IF(C47="أساسات",0.2,0.08)))))</f>
        <v>0.44</v>
      </c>
      <c r="H47" t="str" s="27" cm="1">
        <f t="array" ref="H47">IF(AND(C47="مكتملة",E47&lt;=3,F47&gt;=0.9,G47&gt;=0.9),"جاهزة للاستلام الابتدائي",IF(OR(C47="تشطيبات",C47="مكتملة"),"قيد التجهيز","غير جاهزة"))</f>
        <v>غير جاهزة</v>
      </c>
      <c r="I47" s="36">
        <v>46202</v>
      </c>
      <c r="J47" s="36">
        <v>46252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" customHeight="1">
      <c r="A48" s="29">
        <v>44</v>
      </c>
      <c r="B48" t="s" s="28">
        <v>274</v>
      </c>
      <c r="C48" t="s" s="28">
        <v>28</v>
      </c>
      <c r="D48" s="26">
        <v>0.4707</v>
      </c>
      <c r="E48" s="29">
        <v>1</v>
      </c>
      <c r="F48" s="26" cm="1">
        <f t="array" ref="F48">IF(C48="مكتملة",0.95,IF(C48="تشطيبات",0.78,IF(C48="كهروميكانيك",0.55,IF(C48="هيكل",0.35,IF(C48="أساسات",0.22,0.12)))))</f>
        <v>0.35</v>
      </c>
      <c r="G48" s="26" cm="1">
        <f t="array" ref="G48">IF(C48="مكتملة",0.96,IF(C48="تشطيبات",0.88,IF(C48="كهروميكانيك",0.72,IF(C48="هيكل",0.44,IF(C48="أساسات",0.2,0.08)))))</f>
        <v>0.44</v>
      </c>
      <c r="H48" t="str" s="27" cm="1">
        <f t="array" ref="H48">IF(AND(C48="مكتملة",E48&lt;=3,F48&gt;=0.9,G48&gt;=0.9),"جاهزة للاستلام الابتدائي",IF(OR(C48="تشطيبات",C48="مكتملة"),"قيد التجهيز","غير جاهزة"))</f>
        <v>غير جاهزة</v>
      </c>
      <c r="I48" s="36">
        <v>46205</v>
      </c>
      <c r="J48" s="36">
        <v>46279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" customHeight="1">
      <c r="A49" s="29">
        <v>45</v>
      </c>
      <c r="B49" t="s" s="28">
        <v>274</v>
      </c>
      <c r="C49" t="s" s="28">
        <v>28</v>
      </c>
      <c r="D49" s="26">
        <v>0.4236</v>
      </c>
      <c r="E49" s="29">
        <v>0</v>
      </c>
      <c r="F49" s="26" cm="1">
        <f t="array" ref="F49">IF(C49="مكتملة",0.95,IF(C49="تشطيبات",0.78,IF(C49="كهروميكانيك",0.55,IF(C49="هيكل",0.35,IF(C49="أساسات",0.22,0.12)))))</f>
        <v>0.35</v>
      </c>
      <c r="G49" s="26" cm="1">
        <f t="array" ref="G49">IF(C49="مكتملة",0.96,IF(C49="تشطيبات",0.88,IF(C49="كهروميكانيك",0.72,IF(C49="هيكل",0.44,IF(C49="أساسات",0.2,0.08)))))</f>
        <v>0.44</v>
      </c>
      <c r="H49" t="str" s="27" cm="1">
        <f t="array" ref="H49">IF(AND(C49="مكتملة",E49&lt;=3,F49&gt;=0.9,G49&gt;=0.9),"جاهزة للاستلام الابتدائي",IF(OR(C49="تشطيبات",C49="مكتملة"),"قيد التجهيز","غير جاهزة"))</f>
        <v>غير جاهزة</v>
      </c>
      <c r="I49" s="36">
        <v>46208</v>
      </c>
      <c r="J49" s="36">
        <v>46254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" customHeight="1">
      <c r="A50" s="29">
        <v>46</v>
      </c>
      <c r="B50" t="s" s="28">
        <v>274</v>
      </c>
      <c r="C50" t="s" s="28">
        <v>28</v>
      </c>
      <c r="D50" s="26">
        <v>0.3721</v>
      </c>
      <c r="E50" s="29">
        <v>3</v>
      </c>
      <c r="F50" s="26" cm="1">
        <f t="array" ref="F50">IF(C50="مكتملة",0.95,IF(C50="تشطيبات",0.78,IF(C50="كهروميكانيك",0.55,IF(C50="هيكل",0.35,IF(C50="أساسات",0.22,0.12)))))</f>
        <v>0.35</v>
      </c>
      <c r="G50" s="26" cm="1">
        <f t="array" ref="G50">IF(C50="مكتملة",0.96,IF(C50="تشطيبات",0.88,IF(C50="كهروميكانيك",0.72,IF(C50="هيكل",0.44,IF(C50="أساسات",0.2,0.08)))))</f>
        <v>0.44</v>
      </c>
      <c r="H50" t="str" s="27" cm="1">
        <f t="array" ref="H50">IF(AND(C50="مكتملة",E50&lt;=3,F50&gt;=0.9,G50&gt;=0.9),"جاهزة للاستلام الابتدائي",IF(OR(C50="تشطيبات",C50="مكتملة"),"قيد التجهيز","غير جاهزة"))</f>
        <v>غير جاهزة</v>
      </c>
      <c r="I50" s="36">
        <v>46211</v>
      </c>
      <c r="J50" s="36">
        <v>46268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" customHeight="1">
      <c r="A51" s="29">
        <v>47</v>
      </c>
      <c r="B51" t="s" s="28">
        <v>274</v>
      </c>
      <c r="C51" t="s" s="28">
        <v>28</v>
      </c>
      <c r="D51" s="26">
        <v>0.3659</v>
      </c>
      <c r="E51" s="29">
        <v>1</v>
      </c>
      <c r="F51" s="26" cm="1">
        <f t="array" ref="F51">IF(C51="مكتملة",0.95,IF(C51="تشطيبات",0.78,IF(C51="كهروميكانيك",0.55,IF(C51="هيكل",0.35,IF(C51="أساسات",0.22,0.12)))))</f>
        <v>0.35</v>
      </c>
      <c r="G51" s="26" cm="1">
        <f t="array" ref="G51">IF(C51="مكتملة",0.96,IF(C51="تشطيبات",0.88,IF(C51="كهروميكانيك",0.72,IF(C51="هيكل",0.44,IF(C51="أساسات",0.2,0.08)))))</f>
        <v>0.44</v>
      </c>
      <c r="H51" t="str" s="27" cm="1">
        <f t="array" ref="H51">IF(AND(C51="مكتملة",E51&lt;=3,F51&gt;=0.9,G51&gt;=0.9),"جاهزة للاستلام الابتدائي",IF(OR(C51="تشطيبات",C51="مكتملة"),"قيد التجهيز","غير جاهزة"))</f>
        <v>غير جاهزة</v>
      </c>
      <c r="I51" s="36">
        <v>46214</v>
      </c>
      <c r="J51" s="36">
        <v>46269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" customHeight="1">
      <c r="A52" s="29">
        <v>48</v>
      </c>
      <c r="B52" t="s" s="28">
        <v>274</v>
      </c>
      <c r="C52" t="s" s="28">
        <v>28</v>
      </c>
      <c r="D52" s="26">
        <v>0.4842</v>
      </c>
      <c r="E52" s="29">
        <v>1</v>
      </c>
      <c r="F52" s="26" cm="1">
        <f t="array" ref="F52">IF(C52="مكتملة",0.95,IF(C52="تشطيبات",0.78,IF(C52="كهروميكانيك",0.55,IF(C52="هيكل",0.35,IF(C52="أساسات",0.22,0.12)))))</f>
        <v>0.35</v>
      </c>
      <c r="G52" s="26" cm="1">
        <f t="array" ref="G52">IF(C52="مكتملة",0.96,IF(C52="تشطيبات",0.88,IF(C52="كهروميكانيك",0.72,IF(C52="هيكل",0.44,IF(C52="أساسات",0.2,0.08)))))</f>
        <v>0.44</v>
      </c>
      <c r="H52" t="str" s="27" cm="1">
        <f t="array" ref="H52">IF(AND(C52="مكتملة",E52&lt;=3,F52&gt;=0.9,G52&gt;=0.9),"جاهزة للاستلام الابتدائي",IF(OR(C52="تشطيبات",C52="مكتملة"),"قيد التجهيز","غير جاهزة"))</f>
        <v>غير جاهزة</v>
      </c>
      <c r="I52" s="36">
        <v>46217</v>
      </c>
      <c r="J52" s="36">
        <v>46256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" customHeight="1">
      <c r="A53" s="29">
        <v>49</v>
      </c>
      <c r="B53" t="s" s="28">
        <v>274</v>
      </c>
      <c r="C53" t="s" s="28">
        <v>28</v>
      </c>
      <c r="D53" s="26">
        <v>0.507</v>
      </c>
      <c r="E53" s="29">
        <v>0</v>
      </c>
      <c r="F53" s="26" cm="1">
        <f t="array" ref="F53">IF(C53="مكتملة",0.95,IF(C53="تشطيبات",0.78,IF(C53="كهروميكانيك",0.55,IF(C53="هيكل",0.35,IF(C53="أساسات",0.22,0.12)))))</f>
        <v>0.35</v>
      </c>
      <c r="G53" s="26" cm="1">
        <f t="array" ref="G53">IF(C53="مكتملة",0.96,IF(C53="تشطيبات",0.88,IF(C53="كهروميكانيك",0.72,IF(C53="هيكل",0.44,IF(C53="أساسات",0.2,0.08)))))</f>
        <v>0.44</v>
      </c>
      <c r="H53" t="str" s="27" cm="1">
        <f t="array" ref="H53">IF(AND(C53="مكتملة",E53&lt;=3,F53&gt;=0.9,G53&gt;=0.9),"جاهزة للاستلام الابتدائي",IF(OR(C53="تشطيبات",C53="مكتملة"),"قيد التجهيز","غير جاهزة"))</f>
        <v>غير جاهزة</v>
      </c>
      <c r="I53" s="36">
        <v>46220</v>
      </c>
      <c r="J53" s="36">
        <v>46276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" customHeight="1">
      <c r="A54" s="29">
        <v>50</v>
      </c>
      <c r="B54" t="s" s="28">
        <v>274</v>
      </c>
      <c r="C54" t="s" s="28">
        <v>28</v>
      </c>
      <c r="D54" s="26">
        <v>0.4328</v>
      </c>
      <c r="E54" s="29">
        <v>3</v>
      </c>
      <c r="F54" s="26" cm="1">
        <f t="array" ref="F54">IF(C54="مكتملة",0.95,IF(C54="تشطيبات",0.78,IF(C54="كهروميكانيك",0.55,IF(C54="هيكل",0.35,IF(C54="أساسات",0.22,0.12)))))</f>
        <v>0.35</v>
      </c>
      <c r="G54" s="26" cm="1">
        <f t="array" ref="G54">IF(C54="مكتملة",0.96,IF(C54="تشطيبات",0.88,IF(C54="كهروميكانيك",0.72,IF(C54="هيكل",0.44,IF(C54="أساسات",0.2,0.08)))))</f>
        <v>0.44</v>
      </c>
      <c r="H54" t="str" s="27" cm="1">
        <f t="array" ref="H54">IF(AND(C54="مكتملة",E54&lt;=3,F54&gt;=0.9,G54&gt;=0.9),"جاهزة للاستلام الابتدائي",IF(OR(C54="تشطيبات",C54="مكتملة"),"قيد التجهيز","غير جاهزة"))</f>
        <v>غير جاهزة</v>
      </c>
      <c r="I54" s="36">
        <v>46223</v>
      </c>
      <c r="J54" s="36">
        <v>46293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" customHeight="1">
      <c r="A55" s="29">
        <v>51</v>
      </c>
      <c r="B55" t="s" s="28">
        <v>274</v>
      </c>
      <c r="C55" t="s" s="28">
        <v>28</v>
      </c>
      <c r="D55" s="26">
        <v>0.4973</v>
      </c>
      <c r="E55" s="29">
        <v>0</v>
      </c>
      <c r="F55" s="26" cm="1">
        <f t="array" ref="F55">IF(C55="مكتملة",0.95,IF(C55="تشطيبات",0.78,IF(C55="كهروميكانيك",0.55,IF(C55="هيكل",0.35,IF(C55="أساسات",0.22,0.12)))))</f>
        <v>0.35</v>
      </c>
      <c r="G55" s="26" cm="1">
        <f t="array" ref="G55">IF(C55="مكتملة",0.96,IF(C55="تشطيبات",0.88,IF(C55="كهروميكانيك",0.72,IF(C55="هيكل",0.44,IF(C55="أساسات",0.2,0.08)))))</f>
        <v>0.44</v>
      </c>
      <c r="H55" t="str" s="27" cm="1">
        <f t="array" ref="H55">IF(AND(C55="مكتملة",E55&lt;=3,F55&gt;=0.9,G55&gt;=0.9),"جاهزة للاستلام الابتدائي",IF(OR(C55="تشطيبات",C55="مكتملة"),"قيد التجهيز","غير جاهزة"))</f>
        <v>غير جاهزة</v>
      </c>
      <c r="I55" s="36">
        <v>46226</v>
      </c>
      <c r="J55" s="36">
        <v>46279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" customHeight="1">
      <c r="A56" s="29">
        <v>52</v>
      </c>
      <c r="B56" t="s" s="28">
        <v>274</v>
      </c>
      <c r="C56" t="s" s="28">
        <v>28</v>
      </c>
      <c r="D56" s="26">
        <v>0.3885</v>
      </c>
      <c r="E56" s="29">
        <v>1</v>
      </c>
      <c r="F56" s="26" cm="1">
        <f t="array" ref="F56">IF(C56="مكتملة",0.95,IF(C56="تشطيبات",0.78,IF(C56="كهروميكانيك",0.55,IF(C56="هيكل",0.35,IF(C56="أساسات",0.22,0.12)))))</f>
        <v>0.35</v>
      </c>
      <c r="G56" s="26" cm="1">
        <f t="array" ref="G56">IF(C56="مكتملة",0.96,IF(C56="تشطيبات",0.88,IF(C56="كهروميكانيك",0.72,IF(C56="هيكل",0.44,IF(C56="أساسات",0.2,0.08)))))</f>
        <v>0.44</v>
      </c>
      <c r="H56" t="str" s="27" cm="1">
        <f t="array" ref="H56">IF(AND(C56="مكتملة",E56&lt;=3,F56&gt;=0.9,G56&gt;=0.9),"جاهزة للاستلام الابتدائي",IF(OR(C56="تشطيبات",C56="مكتملة"),"قيد التجهيز","غير جاهزة"))</f>
        <v>غير جاهزة</v>
      </c>
      <c r="I56" s="36">
        <v>46229</v>
      </c>
      <c r="J56" s="36">
        <v>46265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" customHeight="1">
      <c r="A57" s="29">
        <v>53</v>
      </c>
      <c r="B57" t="s" s="28">
        <v>274</v>
      </c>
      <c r="C57" t="s" s="28">
        <v>28</v>
      </c>
      <c r="D57" s="26">
        <v>0.4796</v>
      </c>
      <c r="E57" s="29">
        <v>2</v>
      </c>
      <c r="F57" s="26" cm="1">
        <f t="array" ref="F57">IF(C57="مكتملة",0.95,IF(C57="تشطيبات",0.78,IF(C57="كهروميكانيك",0.55,IF(C57="هيكل",0.35,IF(C57="أساسات",0.22,0.12)))))</f>
        <v>0.35</v>
      </c>
      <c r="G57" s="26" cm="1">
        <f t="array" ref="G57">IF(C57="مكتملة",0.96,IF(C57="تشطيبات",0.88,IF(C57="كهروميكانيك",0.72,IF(C57="هيكل",0.44,IF(C57="أساسات",0.2,0.08)))))</f>
        <v>0.44</v>
      </c>
      <c r="H57" t="str" s="27" cm="1">
        <f t="array" ref="H57">IF(AND(C57="مكتملة",E57&lt;=3,F57&gt;=0.9,G57&gt;=0.9),"جاهزة للاستلام الابتدائي",IF(OR(C57="تشطيبات",C57="مكتملة"),"قيد التجهيز","غير جاهزة"))</f>
        <v>غير جاهزة</v>
      </c>
      <c r="I57" s="36">
        <v>46232</v>
      </c>
      <c r="J57" s="36">
        <v>46299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" customHeight="1">
      <c r="A58" s="29">
        <v>54</v>
      </c>
      <c r="B58" t="s" s="28">
        <v>274</v>
      </c>
      <c r="C58" t="s" s="28">
        <v>28</v>
      </c>
      <c r="D58" s="26">
        <v>0.3589</v>
      </c>
      <c r="E58" s="29">
        <v>0</v>
      </c>
      <c r="F58" s="26" cm="1">
        <f t="array" ref="F58">IF(C58="مكتملة",0.95,IF(C58="تشطيبات",0.78,IF(C58="كهروميكانيك",0.55,IF(C58="هيكل",0.35,IF(C58="أساسات",0.22,0.12)))))</f>
        <v>0.35</v>
      </c>
      <c r="G58" s="26" cm="1">
        <f t="array" ref="G58">IF(C58="مكتملة",0.96,IF(C58="تشطيبات",0.88,IF(C58="كهروميكانيك",0.72,IF(C58="هيكل",0.44,IF(C58="أساسات",0.2,0.08)))))</f>
        <v>0.44</v>
      </c>
      <c r="H58" t="str" s="27" cm="1">
        <f t="array" ref="H58">IF(AND(C58="مكتملة",E58&lt;=3,F58&gt;=0.9,G58&gt;=0.9),"جاهزة للاستلام الابتدائي",IF(OR(C58="تشطيبات",C58="مكتملة"),"قيد التجهيز","غير جاهزة"))</f>
        <v>غير جاهزة</v>
      </c>
      <c r="I58" s="36">
        <v>46235</v>
      </c>
      <c r="J58" s="36">
        <v>46270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" customHeight="1">
      <c r="A59" s="29">
        <v>55</v>
      </c>
      <c r="B59" t="s" s="28">
        <v>274</v>
      </c>
      <c r="C59" t="s" s="28">
        <v>28</v>
      </c>
      <c r="D59" s="26">
        <v>0.4158</v>
      </c>
      <c r="E59" s="29">
        <v>2</v>
      </c>
      <c r="F59" s="26" cm="1">
        <f t="array" ref="F59">IF(C59="مكتملة",0.95,IF(C59="تشطيبات",0.78,IF(C59="كهروميكانيك",0.55,IF(C59="هيكل",0.35,IF(C59="أساسات",0.22,0.12)))))</f>
        <v>0.35</v>
      </c>
      <c r="G59" s="26" cm="1">
        <f t="array" ref="G59">IF(C59="مكتملة",0.96,IF(C59="تشطيبات",0.88,IF(C59="كهروميكانيك",0.72,IF(C59="هيكل",0.44,IF(C59="أساسات",0.2,0.08)))))</f>
        <v>0.44</v>
      </c>
      <c r="H59" t="str" s="27" cm="1">
        <f t="array" ref="H59">IF(AND(C59="مكتملة",E59&lt;=3,F59&gt;=0.9,G59&gt;=0.9),"جاهزة للاستلام الابتدائي",IF(OR(C59="تشطيبات",C59="مكتملة"),"قيد التجهيز","غير جاهزة"))</f>
        <v>غير جاهزة</v>
      </c>
      <c r="I59" s="36">
        <v>46238</v>
      </c>
      <c r="J59" s="36">
        <v>46304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" customHeight="1">
      <c r="A60" s="29">
        <v>56</v>
      </c>
      <c r="B60" t="s" s="28">
        <v>274</v>
      </c>
      <c r="C60" t="s" s="28">
        <v>28</v>
      </c>
      <c r="D60" s="26">
        <v>0.3899</v>
      </c>
      <c r="E60" s="29">
        <v>1</v>
      </c>
      <c r="F60" s="26" cm="1">
        <f t="array" ref="F60">IF(C60="مكتملة",0.95,IF(C60="تشطيبات",0.78,IF(C60="كهروميكانيك",0.55,IF(C60="هيكل",0.35,IF(C60="أساسات",0.22,0.12)))))</f>
        <v>0.35</v>
      </c>
      <c r="G60" s="26" cm="1">
        <f t="array" ref="G60">IF(C60="مكتملة",0.96,IF(C60="تشطيبات",0.88,IF(C60="كهروميكانيك",0.72,IF(C60="هيكل",0.44,IF(C60="أساسات",0.2,0.08)))))</f>
        <v>0.44</v>
      </c>
      <c r="H60" t="str" s="27" cm="1">
        <f t="array" ref="H60">IF(AND(C60="مكتملة",E60&lt;=3,F60&gt;=0.9,G60&gt;=0.9),"جاهزة للاستلام الابتدائي",IF(OR(C60="تشطيبات",C60="مكتملة"),"قيد التجهيز","غير جاهزة"))</f>
        <v>غير جاهزة</v>
      </c>
      <c r="I60" s="36">
        <v>46241</v>
      </c>
      <c r="J60" s="36">
        <v>46288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" customHeight="1">
      <c r="A61" s="29">
        <v>57</v>
      </c>
      <c r="B61" t="s" s="28">
        <v>274</v>
      </c>
      <c r="C61" t="s" s="28">
        <v>28</v>
      </c>
      <c r="D61" s="26">
        <v>0.3854</v>
      </c>
      <c r="E61" s="29">
        <v>0</v>
      </c>
      <c r="F61" s="26" cm="1">
        <f t="array" ref="F61">IF(C61="مكتملة",0.95,IF(C61="تشطيبات",0.78,IF(C61="كهروميكانيك",0.55,IF(C61="هيكل",0.35,IF(C61="أساسات",0.22,0.12)))))</f>
        <v>0.35</v>
      </c>
      <c r="G61" s="26" cm="1">
        <f t="array" ref="G61">IF(C61="مكتملة",0.96,IF(C61="تشطيبات",0.88,IF(C61="كهروميكانيك",0.72,IF(C61="هيكل",0.44,IF(C61="أساسات",0.2,0.08)))))</f>
        <v>0.44</v>
      </c>
      <c r="H61" t="str" s="27" cm="1">
        <f t="array" ref="H61">IF(AND(C61="مكتملة",E61&lt;=3,F61&gt;=0.9,G61&gt;=0.9),"جاهزة للاستلام الابتدائي",IF(OR(C61="تشطيبات",C61="مكتملة"),"قيد التجهيز","غير جاهزة"))</f>
        <v>غير جاهزة</v>
      </c>
      <c r="I61" s="36">
        <v>46244</v>
      </c>
      <c r="J61" s="36">
        <v>46284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" customHeight="1">
      <c r="A62" s="29">
        <v>58</v>
      </c>
      <c r="B62" t="s" s="28">
        <v>274</v>
      </c>
      <c r="C62" t="s" s="28">
        <v>28</v>
      </c>
      <c r="D62" s="26">
        <v>0.3883</v>
      </c>
      <c r="E62" s="29">
        <v>1</v>
      </c>
      <c r="F62" s="26" cm="1">
        <f t="array" ref="F62">IF(C62="مكتملة",0.95,IF(C62="تشطيبات",0.78,IF(C62="كهروميكانيك",0.55,IF(C62="هيكل",0.35,IF(C62="أساسات",0.22,0.12)))))</f>
        <v>0.35</v>
      </c>
      <c r="G62" s="26" cm="1">
        <f t="array" ref="G62">IF(C62="مكتملة",0.96,IF(C62="تشطيبات",0.88,IF(C62="كهروميكانيك",0.72,IF(C62="هيكل",0.44,IF(C62="أساسات",0.2,0.08)))))</f>
        <v>0.44</v>
      </c>
      <c r="H62" t="str" s="27" cm="1">
        <f t="array" ref="H62">IF(AND(C62="مكتملة",E62&lt;=3,F62&gt;=0.9,G62&gt;=0.9),"جاهزة للاستلام الابتدائي",IF(OR(C62="تشطيبات",C62="مكتملة"),"قيد التجهيز","غير جاهزة"))</f>
        <v>غير جاهزة</v>
      </c>
      <c r="I62" s="36">
        <v>46247</v>
      </c>
      <c r="J62" s="36">
        <v>46290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" customHeight="1">
      <c r="A63" s="29">
        <v>59</v>
      </c>
      <c r="B63" t="s" s="28">
        <v>274</v>
      </c>
      <c r="C63" t="s" s="28">
        <v>28</v>
      </c>
      <c r="D63" s="26">
        <v>0.3503</v>
      </c>
      <c r="E63" s="29">
        <v>1</v>
      </c>
      <c r="F63" s="26" cm="1">
        <f t="array" ref="F63">IF(C63="مكتملة",0.95,IF(C63="تشطيبات",0.78,IF(C63="كهروميكانيك",0.55,IF(C63="هيكل",0.35,IF(C63="أساسات",0.22,0.12)))))</f>
        <v>0.35</v>
      </c>
      <c r="G63" s="26" cm="1">
        <f t="array" ref="G63">IF(C63="مكتملة",0.96,IF(C63="تشطيبات",0.88,IF(C63="كهروميكانيك",0.72,IF(C63="هيكل",0.44,IF(C63="أساسات",0.2,0.08)))))</f>
        <v>0.44</v>
      </c>
      <c r="H63" t="str" s="27" cm="1">
        <f t="array" ref="H63">IF(AND(C63="مكتملة",E63&lt;=3,F63&gt;=0.9,G63&gt;=0.9),"جاهزة للاستلام الابتدائي",IF(OR(C63="تشطيبات",C63="مكتملة"),"قيد التجهيز","غير جاهزة"))</f>
        <v>غير جاهزة</v>
      </c>
      <c r="I63" s="36">
        <v>46250</v>
      </c>
      <c r="J63" s="36">
        <v>46311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" customHeight="1">
      <c r="A64" s="29">
        <v>60</v>
      </c>
      <c r="B64" t="s" s="28">
        <v>274</v>
      </c>
      <c r="C64" t="s" s="28">
        <v>28</v>
      </c>
      <c r="D64" s="26">
        <v>0.5188</v>
      </c>
      <c r="E64" s="29">
        <v>1</v>
      </c>
      <c r="F64" s="26" cm="1">
        <f t="array" ref="F64">IF(C64="مكتملة",0.95,IF(C64="تشطيبات",0.78,IF(C64="كهروميكانيك",0.55,IF(C64="هيكل",0.35,IF(C64="أساسات",0.22,0.12)))))</f>
        <v>0.35</v>
      </c>
      <c r="G64" s="26" cm="1">
        <f t="array" ref="G64">IF(C64="مكتملة",0.96,IF(C64="تشطيبات",0.88,IF(C64="كهروميكانيك",0.72,IF(C64="هيكل",0.44,IF(C64="أساسات",0.2,0.08)))))</f>
        <v>0.44</v>
      </c>
      <c r="H64" t="str" s="27" cm="1">
        <f t="array" ref="H64">IF(AND(C64="مكتملة",E64&lt;=3,F64&gt;=0.9,G64&gt;=0.9),"جاهزة للاستلام الابتدائي",IF(OR(C64="تشطيبات",C64="مكتملة"),"قيد التجهيز","غير جاهزة"))</f>
        <v>غير جاهزة</v>
      </c>
      <c r="I64" s="36">
        <v>46253</v>
      </c>
      <c r="J64" s="36">
        <v>46293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" customHeight="1">
      <c r="A65" s="29">
        <v>61</v>
      </c>
      <c r="B65" t="s" s="28">
        <v>276</v>
      </c>
      <c r="C65" t="s" s="28">
        <v>33</v>
      </c>
      <c r="D65" s="26">
        <v>0.6533</v>
      </c>
      <c r="E65" s="29">
        <v>1</v>
      </c>
      <c r="F65" s="26" cm="1">
        <f t="array" ref="F65">IF(C65="مكتملة",0.95,IF(C65="تشطيبات",0.78,IF(C65="كهروميكانيك",0.55,IF(C65="هيكل",0.35,IF(C65="أساسات",0.22,0.12)))))</f>
        <v>0.55</v>
      </c>
      <c r="G65" s="26" cm="1">
        <f t="array" ref="G65">IF(C65="مكتملة",0.96,IF(C65="تشطيبات",0.88,IF(C65="كهروميكانيك",0.72,IF(C65="هيكل",0.44,IF(C65="أساسات",0.2,0.08)))))</f>
        <v>0.72</v>
      </c>
      <c r="H65" t="str" s="27" cm="1">
        <f t="array" ref="H65">IF(AND(C65="مكتملة",E65&lt;=3,F65&gt;=0.9,G65&gt;=0.9),"جاهزة للاستلام الابتدائي",IF(OR(C65="تشطيبات",C65="مكتملة"),"قيد التجهيز","غير جاهزة"))</f>
        <v>غير جاهزة</v>
      </c>
      <c r="I65" s="36">
        <v>46268</v>
      </c>
      <c r="J65" s="36">
        <v>46303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" customHeight="1">
      <c r="A66" s="29">
        <v>62</v>
      </c>
      <c r="B66" t="s" s="28">
        <v>276</v>
      </c>
      <c r="C66" t="s" s="28">
        <v>33</v>
      </c>
      <c r="D66" s="26">
        <v>0.6744</v>
      </c>
      <c r="E66" s="29">
        <v>2</v>
      </c>
      <c r="F66" s="26" cm="1">
        <f t="array" ref="F66">IF(C66="مكتملة",0.95,IF(C66="تشطيبات",0.78,IF(C66="كهروميكانيك",0.55,IF(C66="هيكل",0.35,IF(C66="أساسات",0.22,0.12)))))</f>
        <v>0.55</v>
      </c>
      <c r="G66" s="26" cm="1">
        <f t="array" ref="G66">IF(C66="مكتملة",0.96,IF(C66="تشطيبات",0.88,IF(C66="كهروميكانيك",0.72,IF(C66="هيكل",0.44,IF(C66="أساسات",0.2,0.08)))))</f>
        <v>0.72</v>
      </c>
      <c r="H66" t="str" s="27" cm="1">
        <f t="array" ref="H66">IF(AND(C66="مكتملة",E66&lt;=3,F66&gt;=0.9,G66&gt;=0.9),"جاهزة للاستلام الابتدائي",IF(OR(C66="تشطيبات",C66="مكتملة"),"قيد التجهيز","غير جاهزة"))</f>
        <v>غير جاهزة</v>
      </c>
      <c r="I66" s="36">
        <v>46271</v>
      </c>
      <c r="J66" s="36">
        <v>46304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" customHeight="1">
      <c r="A67" s="29">
        <v>63</v>
      </c>
      <c r="B67" t="s" s="28">
        <v>276</v>
      </c>
      <c r="C67" t="s" s="28">
        <v>33</v>
      </c>
      <c r="D67" s="26">
        <v>0.6413</v>
      </c>
      <c r="E67" s="29">
        <v>0</v>
      </c>
      <c r="F67" s="26" cm="1">
        <f t="array" ref="F67">IF(C67="مكتملة",0.95,IF(C67="تشطيبات",0.78,IF(C67="كهروميكانيك",0.55,IF(C67="هيكل",0.35,IF(C67="أساسات",0.22,0.12)))))</f>
        <v>0.55</v>
      </c>
      <c r="G67" s="26" cm="1">
        <f t="array" ref="G67">IF(C67="مكتملة",0.96,IF(C67="تشطيبات",0.88,IF(C67="كهروميكانيك",0.72,IF(C67="هيكل",0.44,IF(C67="أساسات",0.2,0.08)))))</f>
        <v>0.72</v>
      </c>
      <c r="H67" t="str" s="27" cm="1">
        <f t="array" ref="H67">IF(AND(C67="مكتملة",E67&lt;=3,F67&gt;=0.9,G67&gt;=0.9),"جاهزة للاستلام الابتدائي",IF(OR(C67="تشطيبات",C67="مكتملة"),"قيد التجهيز","غير جاهزة"))</f>
        <v>غير جاهزة</v>
      </c>
      <c r="I67" s="36">
        <v>46274</v>
      </c>
      <c r="J67" s="36">
        <v>46309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" customHeight="1">
      <c r="A68" s="29">
        <v>64</v>
      </c>
      <c r="B68" t="s" s="28">
        <v>276</v>
      </c>
      <c r="C68" t="s" s="28">
        <v>33</v>
      </c>
      <c r="D68" s="26">
        <v>0.6288</v>
      </c>
      <c r="E68" s="29">
        <v>1</v>
      </c>
      <c r="F68" s="26" cm="1">
        <f t="array" ref="F68">IF(C68="مكتملة",0.95,IF(C68="تشطيبات",0.78,IF(C68="كهروميكانيك",0.55,IF(C68="هيكل",0.35,IF(C68="أساسات",0.22,0.12)))))</f>
        <v>0.55</v>
      </c>
      <c r="G68" s="26" cm="1">
        <f t="array" ref="G68">IF(C68="مكتملة",0.96,IF(C68="تشطيبات",0.88,IF(C68="كهروميكانيك",0.72,IF(C68="هيكل",0.44,IF(C68="أساسات",0.2,0.08)))))</f>
        <v>0.72</v>
      </c>
      <c r="H68" t="str" s="27" cm="1">
        <f t="array" ref="H68">IF(AND(C68="مكتملة",E68&lt;=3,F68&gt;=0.9,G68&gt;=0.9),"جاهزة للاستلام الابتدائي",IF(OR(C68="تشطيبات",C68="مكتملة"),"قيد التجهيز","غير جاهزة"))</f>
        <v>غير جاهزة</v>
      </c>
      <c r="I68" s="36">
        <v>46277</v>
      </c>
      <c r="J68" s="36">
        <v>46301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" customHeight="1">
      <c r="A69" s="29">
        <v>65</v>
      </c>
      <c r="B69" t="s" s="28">
        <v>276</v>
      </c>
      <c r="C69" t="s" s="28">
        <v>33</v>
      </c>
      <c r="D69" s="26">
        <v>0.6862</v>
      </c>
      <c r="E69" s="29">
        <v>2</v>
      </c>
      <c r="F69" s="26" cm="1">
        <f t="array" ref="F69">IF(C69="مكتملة",0.95,IF(C69="تشطيبات",0.78,IF(C69="كهروميكانيك",0.55,IF(C69="هيكل",0.35,IF(C69="أساسات",0.22,0.12)))))</f>
        <v>0.55</v>
      </c>
      <c r="G69" s="26" cm="1">
        <f t="array" ref="G69">IF(C69="مكتملة",0.96,IF(C69="تشطيبات",0.88,IF(C69="كهروميكانيك",0.72,IF(C69="هيكل",0.44,IF(C69="أساسات",0.2,0.08)))))</f>
        <v>0.72</v>
      </c>
      <c r="H69" t="str" s="27" cm="1">
        <f t="array" ref="H69">IF(AND(C69="مكتملة",E69&lt;=3,F69&gt;=0.9,G69&gt;=0.9),"جاهزة للاستلام الابتدائي",IF(OR(C69="تشطيبات",C69="مكتملة"),"قيد التجهيز","غير جاهزة"))</f>
        <v>غير جاهزة</v>
      </c>
      <c r="I69" s="36">
        <v>46280</v>
      </c>
      <c r="J69" s="36">
        <v>46299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" customHeight="1">
      <c r="A70" s="29">
        <v>66</v>
      </c>
      <c r="B70" t="s" s="28">
        <v>276</v>
      </c>
      <c r="C70" t="s" s="28">
        <v>33</v>
      </c>
      <c r="D70" s="26">
        <v>0.614</v>
      </c>
      <c r="E70" s="29">
        <v>1</v>
      </c>
      <c r="F70" s="26" cm="1">
        <f t="array" ref="F70">IF(C70="مكتملة",0.95,IF(C70="تشطيبات",0.78,IF(C70="كهروميكانيك",0.55,IF(C70="هيكل",0.35,IF(C70="أساسات",0.22,0.12)))))</f>
        <v>0.55</v>
      </c>
      <c r="G70" s="26" cm="1">
        <f t="array" ref="G70">IF(C70="مكتملة",0.96,IF(C70="تشطيبات",0.88,IF(C70="كهروميكانيك",0.72,IF(C70="هيكل",0.44,IF(C70="أساسات",0.2,0.08)))))</f>
        <v>0.72</v>
      </c>
      <c r="H70" t="str" s="27" cm="1">
        <f t="array" ref="H70">IF(AND(C70="مكتملة",E70&lt;=3,F70&gt;=0.9,G70&gt;=0.9),"جاهزة للاستلام الابتدائي",IF(OR(C70="تشطيبات",C70="مكتملة"),"قيد التجهيز","غير جاهزة"))</f>
        <v>غير جاهزة</v>
      </c>
      <c r="I70" s="36">
        <v>46283</v>
      </c>
      <c r="J70" s="36">
        <v>46307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" customHeight="1">
      <c r="A71" s="29">
        <v>67</v>
      </c>
      <c r="B71" t="s" s="28">
        <v>276</v>
      </c>
      <c r="C71" t="s" s="28">
        <v>33</v>
      </c>
      <c r="D71" s="26">
        <v>0.5979</v>
      </c>
      <c r="E71" s="29">
        <v>0</v>
      </c>
      <c r="F71" s="26" cm="1">
        <f t="array" ref="F71">IF(C71="مكتملة",0.95,IF(C71="تشطيبات",0.78,IF(C71="كهروميكانيك",0.55,IF(C71="هيكل",0.35,IF(C71="أساسات",0.22,0.12)))))</f>
        <v>0.55</v>
      </c>
      <c r="G71" s="26" cm="1">
        <f t="array" ref="G71">IF(C71="مكتملة",0.96,IF(C71="تشطيبات",0.88,IF(C71="كهروميكانيك",0.72,IF(C71="هيكل",0.44,IF(C71="أساسات",0.2,0.08)))))</f>
        <v>0.72</v>
      </c>
      <c r="H71" t="str" s="27" cm="1">
        <f t="array" ref="H71">IF(AND(C71="مكتملة",E71&lt;=3,F71&gt;=0.9,G71&gt;=0.9),"جاهزة للاستلام الابتدائي",IF(OR(C71="تشطيبات",C71="مكتملة"),"قيد التجهيز","غير جاهزة"))</f>
        <v>غير جاهزة</v>
      </c>
      <c r="I71" s="36">
        <v>46286</v>
      </c>
      <c r="J71" s="36">
        <v>46323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" customHeight="1">
      <c r="A72" s="29">
        <v>68</v>
      </c>
      <c r="B72" t="s" s="28">
        <v>276</v>
      </c>
      <c r="C72" t="s" s="28">
        <v>33</v>
      </c>
      <c r="D72" s="26">
        <v>0.5945</v>
      </c>
      <c r="E72" s="29">
        <v>1</v>
      </c>
      <c r="F72" s="26" cm="1">
        <f t="array" ref="F72">IF(C72="مكتملة",0.95,IF(C72="تشطيبات",0.78,IF(C72="كهروميكانيك",0.55,IF(C72="هيكل",0.35,IF(C72="أساسات",0.22,0.12)))))</f>
        <v>0.55</v>
      </c>
      <c r="G72" s="26" cm="1">
        <f t="array" ref="G72">IF(C72="مكتملة",0.96,IF(C72="تشطيبات",0.88,IF(C72="كهروميكانيك",0.72,IF(C72="هيكل",0.44,IF(C72="أساسات",0.2,0.08)))))</f>
        <v>0.72</v>
      </c>
      <c r="H72" t="str" s="27" cm="1">
        <f t="array" ref="H72">IF(AND(C72="مكتملة",E72&lt;=3,F72&gt;=0.9,G72&gt;=0.9),"جاهزة للاستلام الابتدائي",IF(OR(C72="تشطيبات",C72="مكتملة"),"قيد التجهيز","غير جاهزة"))</f>
        <v>غير جاهزة</v>
      </c>
      <c r="I72" s="36">
        <v>46289</v>
      </c>
      <c r="J72" s="36">
        <v>46315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" customHeight="1">
      <c r="A73" s="29">
        <v>69</v>
      </c>
      <c r="B73" t="s" s="28">
        <v>276</v>
      </c>
      <c r="C73" t="s" s="28">
        <v>33</v>
      </c>
      <c r="D73" s="26">
        <v>0.6113</v>
      </c>
      <c r="E73" s="29">
        <v>0</v>
      </c>
      <c r="F73" s="26" cm="1">
        <f t="array" ref="F73">IF(C73="مكتملة",0.95,IF(C73="تشطيبات",0.78,IF(C73="كهروميكانيك",0.55,IF(C73="هيكل",0.35,IF(C73="أساسات",0.22,0.12)))))</f>
        <v>0.55</v>
      </c>
      <c r="G73" s="26" cm="1">
        <f t="array" ref="G73">IF(C73="مكتملة",0.96,IF(C73="تشطيبات",0.88,IF(C73="كهروميكانيك",0.72,IF(C73="هيكل",0.44,IF(C73="أساسات",0.2,0.08)))))</f>
        <v>0.72</v>
      </c>
      <c r="H73" t="str" s="27" cm="1">
        <f t="array" ref="H73">IF(AND(C73="مكتملة",E73&lt;=3,F73&gt;=0.9,G73&gt;=0.9),"جاهزة للاستلام الابتدائي",IF(OR(C73="تشطيبات",C73="مكتملة"),"قيد التجهيز","غير جاهزة"))</f>
        <v>غير جاهزة</v>
      </c>
      <c r="I73" s="36">
        <v>46292</v>
      </c>
      <c r="J73" s="36">
        <v>46313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" customHeight="1">
      <c r="A74" s="29">
        <v>70</v>
      </c>
      <c r="B74" t="s" s="28">
        <v>276</v>
      </c>
      <c r="C74" t="s" s="28">
        <v>33</v>
      </c>
      <c r="D74" s="26">
        <v>0.7118</v>
      </c>
      <c r="E74" s="29">
        <v>1</v>
      </c>
      <c r="F74" s="26" cm="1">
        <f t="array" ref="F74">IF(C74="مكتملة",0.95,IF(C74="تشطيبات",0.78,IF(C74="كهروميكانيك",0.55,IF(C74="هيكل",0.35,IF(C74="أساسات",0.22,0.12)))))</f>
        <v>0.55</v>
      </c>
      <c r="G74" s="26" cm="1">
        <f t="array" ref="G74">IF(C74="مكتملة",0.96,IF(C74="تشطيبات",0.88,IF(C74="كهروميكانيك",0.72,IF(C74="هيكل",0.44,IF(C74="أساسات",0.2,0.08)))))</f>
        <v>0.72</v>
      </c>
      <c r="H74" t="str" s="27" cm="1">
        <f t="array" ref="H74">IF(AND(C74="مكتملة",E74&lt;=3,F74&gt;=0.9,G74&gt;=0.9),"جاهزة للاستلام الابتدائي",IF(OR(C74="تشطيبات",C74="مكتملة"),"قيد التجهيز","غير جاهزة"))</f>
        <v>غير جاهزة</v>
      </c>
      <c r="I74" s="36">
        <v>46295</v>
      </c>
      <c r="J74" s="36">
        <v>46331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" customHeight="1">
      <c r="A75" s="29">
        <v>71</v>
      </c>
      <c r="B75" t="s" s="28">
        <v>276</v>
      </c>
      <c r="C75" t="s" s="28">
        <v>33</v>
      </c>
      <c r="D75" s="26">
        <v>0.6707</v>
      </c>
      <c r="E75" s="29">
        <v>0</v>
      </c>
      <c r="F75" s="26" cm="1">
        <f t="array" ref="F75">IF(C75="مكتملة",0.95,IF(C75="تشطيبات",0.78,IF(C75="كهروميكانيك",0.55,IF(C75="هيكل",0.35,IF(C75="أساسات",0.22,0.12)))))</f>
        <v>0.55</v>
      </c>
      <c r="G75" s="26" cm="1">
        <f t="array" ref="G75">IF(C75="مكتملة",0.96,IF(C75="تشطيبات",0.88,IF(C75="كهروميكانيك",0.72,IF(C75="هيكل",0.44,IF(C75="أساسات",0.2,0.08)))))</f>
        <v>0.72</v>
      </c>
      <c r="H75" t="str" s="27" cm="1">
        <f t="array" ref="H75">IF(AND(C75="مكتملة",E75&lt;=3,F75&gt;=0.9,G75&gt;=0.9),"جاهزة للاستلام الابتدائي",IF(OR(C75="تشطيبات",C75="مكتملة"),"قيد التجهيز","غير جاهزة"))</f>
        <v>غير جاهزة</v>
      </c>
      <c r="I75" s="36">
        <v>46298</v>
      </c>
      <c r="J75" s="36">
        <v>46321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" customHeight="1">
      <c r="A76" s="29">
        <v>72</v>
      </c>
      <c r="B76" t="s" s="28">
        <v>276</v>
      </c>
      <c r="C76" t="s" s="28">
        <v>33</v>
      </c>
      <c r="D76" s="26">
        <v>0.639</v>
      </c>
      <c r="E76" s="29">
        <v>1</v>
      </c>
      <c r="F76" s="26" cm="1">
        <f t="array" ref="F76">IF(C76="مكتملة",0.95,IF(C76="تشطيبات",0.78,IF(C76="كهروميكانيك",0.55,IF(C76="هيكل",0.35,IF(C76="أساسات",0.22,0.12)))))</f>
        <v>0.55</v>
      </c>
      <c r="G76" s="26" cm="1">
        <f t="array" ref="G76">IF(C76="مكتملة",0.96,IF(C76="تشطيبات",0.88,IF(C76="كهروميكانيك",0.72,IF(C76="هيكل",0.44,IF(C76="أساسات",0.2,0.08)))))</f>
        <v>0.72</v>
      </c>
      <c r="H76" t="str" s="27" cm="1">
        <f t="array" ref="H76">IF(AND(C76="مكتملة",E76&lt;=3,F76&gt;=0.9,G76&gt;=0.9),"جاهزة للاستلام الابتدائي",IF(OR(C76="تشطيبات",C76="مكتملة"),"قيد التجهيز","غير جاهزة"))</f>
        <v>غير جاهزة</v>
      </c>
      <c r="I76" s="36">
        <v>46301</v>
      </c>
      <c r="J76" s="36">
        <v>46336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" customHeight="1">
      <c r="A77" s="29">
        <v>73</v>
      </c>
      <c r="B77" t="s" s="28">
        <v>276</v>
      </c>
      <c r="C77" t="s" s="28">
        <v>33</v>
      </c>
      <c r="D77" s="26">
        <v>0.6607</v>
      </c>
      <c r="E77" s="29">
        <v>2</v>
      </c>
      <c r="F77" s="26" cm="1">
        <f t="array" ref="F77">IF(C77="مكتملة",0.95,IF(C77="تشطيبات",0.78,IF(C77="كهروميكانيك",0.55,IF(C77="هيكل",0.35,IF(C77="أساسات",0.22,0.12)))))</f>
        <v>0.55</v>
      </c>
      <c r="G77" s="26" cm="1">
        <f t="array" ref="G77">IF(C77="مكتملة",0.96,IF(C77="تشطيبات",0.88,IF(C77="كهروميكانيك",0.72,IF(C77="هيكل",0.44,IF(C77="أساسات",0.2,0.08)))))</f>
        <v>0.72</v>
      </c>
      <c r="H77" t="str" s="27" cm="1">
        <f t="array" ref="H77">IF(AND(C77="مكتملة",E77&lt;=3,F77&gt;=0.9,G77&gt;=0.9),"جاهزة للاستلام الابتدائي",IF(OR(C77="تشطيبات",C77="مكتملة"),"قيد التجهيز","غير جاهزة"))</f>
        <v>غير جاهزة</v>
      </c>
      <c r="I77" s="36">
        <v>46304</v>
      </c>
      <c r="J77" s="36">
        <v>46342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" customHeight="1">
      <c r="A78" s="29">
        <v>74</v>
      </c>
      <c r="B78" t="s" s="28">
        <v>276</v>
      </c>
      <c r="C78" t="s" s="28">
        <v>33</v>
      </c>
      <c r="D78" s="26">
        <v>0.7116</v>
      </c>
      <c r="E78" s="29">
        <v>2</v>
      </c>
      <c r="F78" s="26" cm="1">
        <f t="array" ref="F78">IF(C78="مكتملة",0.95,IF(C78="تشطيبات",0.78,IF(C78="كهروميكانيك",0.55,IF(C78="هيكل",0.35,IF(C78="أساسات",0.22,0.12)))))</f>
        <v>0.55</v>
      </c>
      <c r="G78" s="26" cm="1">
        <f t="array" ref="G78">IF(C78="مكتملة",0.96,IF(C78="تشطيبات",0.88,IF(C78="كهروميكانيك",0.72,IF(C78="هيكل",0.44,IF(C78="أساسات",0.2,0.08)))))</f>
        <v>0.72</v>
      </c>
      <c r="H78" t="str" s="27" cm="1">
        <f t="array" ref="H78">IF(AND(C78="مكتملة",E78&lt;=3,F78&gt;=0.9,G78&gt;=0.9),"جاهزة للاستلام الابتدائي",IF(OR(C78="تشطيبات",C78="مكتملة"),"قيد التجهيز","غير جاهزة"))</f>
        <v>غير جاهزة</v>
      </c>
      <c r="I78" s="36">
        <v>46307</v>
      </c>
      <c r="J78" s="36">
        <v>46333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" customHeight="1">
      <c r="A79" s="29">
        <v>75</v>
      </c>
      <c r="B79" t="s" s="28">
        <v>276</v>
      </c>
      <c r="C79" t="s" s="28">
        <v>33</v>
      </c>
      <c r="D79" s="26">
        <v>0.6860000000000001</v>
      </c>
      <c r="E79" s="29">
        <v>0</v>
      </c>
      <c r="F79" s="26" cm="1">
        <f t="array" ref="F79">IF(C79="مكتملة",0.95,IF(C79="تشطيبات",0.78,IF(C79="كهروميكانيك",0.55,IF(C79="هيكل",0.35,IF(C79="أساسات",0.22,0.12)))))</f>
        <v>0.55</v>
      </c>
      <c r="G79" s="26" cm="1">
        <f t="array" ref="G79">IF(C79="مكتملة",0.96,IF(C79="تشطيبات",0.88,IF(C79="كهروميكانيك",0.72,IF(C79="هيكل",0.44,IF(C79="أساسات",0.2,0.08)))))</f>
        <v>0.72</v>
      </c>
      <c r="H79" t="str" s="27" cm="1">
        <f t="array" ref="H79">IF(AND(C79="مكتملة",E79&lt;=3,F79&gt;=0.9,G79&gt;=0.9),"جاهزة للاستلام الابتدائي",IF(OR(C79="تشطيبات",C79="مكتملة"),"قيد التجهيز","غير جاهزة"))</f>
        <v>غير جاهزة</v>
      </c>
      <c r="I79" s="36">
        <v>46310</v>
      </c>
      <c r="J79" s="36">
        <v>46349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" customHeight="1">
      <c r="A80" s="29">
        <v>76</v>
      </c>
      <c r="B80" t="s" s="28">
        <v>276</v>
      </c>
      <c r="C80" t="s" s="28">
        <v>33</v>
      </c>
      <c r="D80" s="26">
        <v>0.6541</v>
      </c>
      <c r="E80" s="29">
        <v>0</v>
      </c>
      <c r="F80" s="26" cm="1">
        <f t="array" ref="F80">IF(C80="مكتملة",0.95,IF(C80="تشطيبات",0.78,IF(C80="كهروميكانيك",0.55,IF(C80="هيكل",0.35,IF(C80="أساسات",0.22,0.12)))))</f>
        <v>0.55</v>
      </c>
      <c r="G80" s="26" cm="1">
        <f t="array" ref="G80">IF(C80="مكتملة",0.96,IF(C80="تشطيبات",0.88,IF(C80="كهروميكانيك",0.72,IF(C80="هيكل",0.44,IF(C80="أساسات",0.2,0.08)))))</f>
        <v>0.72</v>
      </c>
      <c r="H80" t="str" s="27" cm="1">
        <f t="array" ref="H80">IF(AND(C80="مكتملة",E80&lt;=3,F80&gt;=0.9,G80&gt;=0.9),"جاهزة للاستلام الابتدائي",IF(OR(C80="تشطيبات",C80="مكتملة"),"قيد التجهيز","غير جاهزة"))</f>
        <v>غير جاهزة</v>
      </c>
      <c r="I80" s="36">
        <v>46313</v>
      </c>
      <c r="J80" s="36">
        <v>46348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" customHeight="1">
      <c r="A81" s="29">
        <v>77</v>
      </c>
      <c r="B81" t="s" s="28">
        <v>276</v>
      </c>
      <c r="C81" t="s" s="28">
        <v>37</v>
      </c>
      <c r="D81" s="26">
        <v>0.8961</v>
      </c>
      <c r="E81" s="29">
        <v>3</v>
      </c>
      <c r="F81" s="26" cm="1">
        <f t="array" ref="F81">IF(C81="مكتملة",0.95,IF(C81="تشطيبات",0.78,IF(C81="كهروميكانيك",0.55,IF(C81="هيكل",0.35,IF(C81="أساسات",0.22,0.12)))))</f>
        <v>0.78</v>
      </c>
      <c r="G81" s="26" cm="1">
        <f t="array" ref="G81">IF(C81="مكتملة",0.96,IF(C81="تشطيبات",0.88,IF(C81="كهروميكانيك",0.72,IF(C81="هيكل",0.44,IF(C81="أساسات",0.2,0.08)))))</f>
        <v>0.88</v>
      </c>
      <c r="H81" t="str" s="27" cm="1">
        <f t="array" ref="H81">IF(AND(C81="مكتملة",E81&lt;=3,F81&gt;=0.9,G81&gt;=0.9),"جاهزة للاستلام الابتدائي",IF(OR(C81="تشطيبات",C81="مكتملة"),"قيد التجهيز","غير جاهزة"))</f>
        <v>قيد التجهيز</v>
      </c>
      <c r="I81" s="36">
        <v>46328</v>
      </c>
      <c r="J81" s="36">
        <v>46352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" customHeight="1">
      <c r="A82" s="29">
        <v>78</v>
      </c>
      <c r="B82" t="s" s="28">
        <v>276</v>
      </c>
      <c r="C82" t="s" s="28">
        <v>37</v>
      </c>
      <c r="D82" s="26">
        <v>0.8913</v>
      </c>
      <c r="E82" s="29">
        <v>2</v>
      </c>
      <c r="F82" s="26" cm="1">
        <f t="array" ref="F82">IF(C82="مكتملة",0.95,IF(C82="تشطيبات",0.78,IF(C82="كهروميكانيك",0.55,IF(C82="هيكل",0.35,IF(C82="أساسات",0.22,0.12)))))</f>
        <v>0.78</v>
      </c>
      <c r="G82" s="26" cm="1">
        <f t="array" ref="G82">IF(C82="مكتملة",0.96,IF(C82="تشطيبات",0.88,IF(C82="كهروميكانيك",0.72,IF(C82="هيكل",0.44,IF(C82="أساسات",0.2,0.08)))))</f>
        <v>0.88</v>
      </c>
      <c r="H82" t="str" s="27" cm="1">
        <f t="array" ref="H82">IF(AND(C82="مكتملة",E82&lt;=3,F82&gt;=0.9,G82&gt;=0.9),"جاهزة للاستلام الابتدائي",IF(OR(C82="تشطيبات",C82="مكتملة"),"قيد التجهيز","غير جاهزة"))</f>
        <v>قيد التجهيز</v>
      </c>
      <c r="I82" s="36">
        <v>46331</v>
      </c>
      <c r="J82" s="36">
        <v>46354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" customHeight="1">
      <c r="A83" s="29">
        <v>79</v>
      </c>
      <c r="B83" t="s" s="28">
        <v>276</v>
      </c>
      <c r="C83" t="s" s="28">
        <v>37</v>
      </c>
      <c r="D83" s="26">
        <v>0.8564000000000001</v>
      </c>
      <c r="E83" s="29">
        <v>2</v>
      </c>
      <c r="F83" s="26" cm="1">
        <f t="array" ref="F83">IF(C83="مكتملة",0.95,IF(C83="تشطيبات",0.78,IF(C83="كهروميكانيك",0.55,IF(C83="هيكل",0.35,IF(C83="أساسات",0.22,0.12)))))</f>
        <v>0.78</v>
      </c>
      <c r="G83" s="26" cm="1">
        <f t="array" ref="G83">IF(C83="مكتملة",0.96,IF(C83="تشطيبات",0.88,IF(C83="كهروميكانيك",0.72,IF(C83="هيكل",0.44,IF(C83="أساسات",0.2,0.08)))))</f>
        <v>0.88</v>
      </c>
      <c r="H83" t="str" s="27" cm="1">
        <f t="array" ref="H83">IF(AND(C83="مكتملة",E83&lt;=3,F83&gt;=0.9,G83&gt;=0.9),"جاهزة للاستلام الابتدائي",IF(OR(C83="تشطيبات",C83="مكتملة"),"قيد التجهيز","غير جاهزة"))</f>
        <v>قيد التجهيز</v>
      </c>
      <c r="I83" s="36">
        <v>46334</v>
      </c>
      <c r="J83" s="36">
        <v>46350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" customHeight="1">
      <c r="A84" s="29">
        <v>80</v>
      </c>
      <c r="B84" t="s" s="28">
        <v>276</v>
      </c>
      <c r="C84" t="s" s="28">
        <v>37</v>
      </c>
      <c r="D84" s="26">
        <v>0.9084</v>
      </c>
      <c r="E84" s="29">
        <v>2</v>
      </c>
      <c r="F84" s="26" cm="1">
        <f t="array" ref="F84">IF(C84="مكتملة",0.95,IF(C84="تشطيبات",0.78,IF(C84="كهروميكانيك",0.55,IF(C84="هيكل",0.35,IF(C84="أساسات",0.22,0.12)))))</f>
        <v>0.78</v>
      </c>
      <c r="G84" s="26" cm="1">
        <f t="array" ref="G84">IF(C84="مكتملة",0.96,IF(C84="تشطيبات",0.88,IF(C84="كهروميكانيك",0.72,IF(C84="هيكل",0.44,IF(C84="أساسات",0.2,0.08)))))</f>
        <v>0.88</v>
      </c>
      <c r="H84" t="str" s="27" cm="1">
        <f t="array" ref="H84">IF(AND(C84="مكتملة",E84&lt;=3,F84&gt;=0.9,G84&gt;=0.9),"جاهزة للاستلام الابتدائي",IF(OR(C84="تشطيبات",C84="مكتملة"),"قيد التجهيز","غير جاهزة"))</f>
        <v>قيد التجهيز</v>
      </c>
      <c r="I84" s="36">
        <v>46337</v>
      </c>
      <c r="J84" s="36">
        <v>46348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" customHeight="1">
      <c r="A85" s="29">
        <v>81</v>
      </c>
      <c r="B85" t="s" s="28">
        <v>276</v>
      </c>
      <c r="C85" t="s" s="28">
        <v>37</v>
      </c>
      <c r="D85" s="26">
        <v>0.868</v>
      </c>
      <c r="E85" s="29">
        <v>2</v>
      </c>
      <c r="F85" s="26" cm="1">
        <f t="array" ref="F85">IF(C85="مكتملة",0.95,IF(C85="تشطيبات",0.78,IF(C85="كهروميكانيك",0.55,IF(C85="هيكل",0.35,IF(C85="أساسات",0.22,0.12)))))</f>
        <v>0.78</v>
      </c>
      <c r="G85" s="26" cm="1">
        <f t="array" ref="G85">IF(C85="مكتملة",0.96,IF(C85="تشطيبات",0.88,IF(C85="كهروميكانيك",0.72,IF(C85="هيكل",0.44,IF(C85="أساسات",0.2,0.08)))))</f>
        <v>0.88</v>
      </c>
      <c r="H85" t="str" s="27" cm="1">
        <f t="array" ref="H85">IF(AND(C85="مكتملة",E85&lt;=3,F85&gt;=0.9,G85&gt;=0.9),"جاهزة للاستلام الابتدائي",IF(OR(C85="تشطيبات",C85="مكتملة"),"قيد التجهيز","غير جاهزة"))</f>
        <v>قيد التجهيز</v>
      </c>
      <c r="I85" s="36">
        <v>46340</v>
      </c>
      <c r="J85" s="36">
        <v>46358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" customHeight="1">
      <c r="A86" s="29">
        <v>82</v>
      </c>
      <c r="B86" t="s" s="28">
        <v>276</v>
      </c>
      <c r="C86" t="s" s="28">
        <v>37</v>
      </c>
      <c r="D86" s="26">
        <v>0.8784999999999999</v>
      </c>
      <c r="E86" s="29">
        <v>0</v>
      </c>
      <c r="F86" s="26" cm="1">
        <f t="array" ref="F86">IF(C86="مكتملة",0.95,IF(C86="تشطيبات",0.78,IF(C86="كهروميكانيك",0.55,IF(C86="هيكل",0.35,IF(C86="أساسات",0.22,0.12)))))</f>
        <v>0.78</v>
      </c>
      <c r="G86" s="26" cm="1">
        <f t="array" ref="G86">IF(C86="مكتملة",0.96,IF(C86="تشطيبات",0.88,IF(C86="كهروميكانيك",0.72,IF(C86="هيكل",0.44,IF(C86="أساسات",0.2,0.08)))))</f>
        <v>0.88</v>
      </c>
      <c r="H86" t="str" s="27" cm="1">
        <f t="array" ref="H86">IF(AND(C86="مكتملة",E86&lt;=3,F86&gt;=0.9,G86&gt;=0.9),"جاهزة للاستلام الابتدائي",IF(OR(C86="تشطيبات",C86="مكتملة"),"قيد التجهيز","غير جاهزة"))</f>
        <v>قيد التجهيز</v>
      </c>
      <c r="I86" s="36">
        <v>46343</v>
      </c>
      <c r="J86" s="36">
        <v>46365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" customHeight="1">
      <c r="A87" s="29">
        <v>83</v>
      </c>
      <c r="B87" t="s" s="28">
        <v>276</v>
      </c>
      <c r="C87" t="s" s="28">
        <v>37</v>
      </c>
      <c r="D87" s="26">
        <v>0.8912</v>
      </c>
      <c r="E87" s="29">
        <v>1</v>
      </c>
      <c r="F87" s="26" cm="1">
        <f t="array" ref="F87">IF(C87="مكتملة",0.95,IF(C87="تشطيبات",0.78,IF(C87="كهروميكانيك",0.55,IF(C87="هيكل",0.35,IF(C87="أساسات",0.22,0.12)))))</f>
        <v>0.78</v>
      </c>
      <c r="G87" s="26" cm="1">
        <f t="array" ref="G87">IF(C87="مكتملة",0.96,IF(C87="تشطيبات",0.88,IF(C87="كهروميكانيك",0.72,IF(C87="هيكل",0.44,IF(C87="أساسات",0.2,0.08)))))</f>
        <v>0.88</v>
      </c>
      <c r="H87" t="str" s="27" cm="1">
        <f t="array" ref="H87">IF(AND(C87="مكتملة",E87&lt;=3,F87&gt;=0.9,G87&gt;=0.9),"جاهزة للاستلام الابتدائي",IF(OR(C87="تشطيبات",C87="مكتملة"),"قيد التجهيز","غير جاهزة"))</f>
        <v>قيد التجهيز</v>
      </c>
      <c r="I87" s="36">
        <v>46346</v>
      </c>
      <c r="J87" s="36">
        <v>46370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" customHeight="1">
      <c r="A88" s="29">
        <v>84</v>
      </c>
      <c r="B88" t="s" s="28">
        <v>276</v>
      </c>
      <c r="C88" t="s" s="28">
        <v>37</v>
      </c>
      <c r="D88" s="26">
        <v>0.7914</v>
      </c>
      <c r="E88" s="29">
        <v>3</v>
      </c>
      <c r="F88" s="26" cm="1">
        <f t="array" ref="F88">IF(C88="مكتملة",0.95,IF(C88="تشطيبات",0.78,IF(C88="كهروميكانيك",0.55,IF(C88="هيكل",0.35,IF(C88="أساسات",0.22,0.12)))))</f>
        <v>0.78</v>
      </c>
      <c r="G88" s="26" cm="1">
        <f t="array" ref="G88">IF(C88="مكتملة",0.96,IF(C88="تشطيبات",0.88,IF(C88="كهروميكانيك",0.72,IF(C88="هيكل",0.44,IF(C88="أساسات",0.2,0.08)))))</f>
        <v>0.88</v>
      </c>
      <c r="H88" t="str" s="27" cm="1">
        <f t="array" ref="H88">IF(AND(C88="مكتملة",E88&lt;=3,F88&gt;=0.9,G88&gt;=0.9),"جاهزة للاستلام الابتدائي",IF(OR(C88="تشطيبات",C88="مكتملة"),"قيد التجهيز","غير جاهزة"))</f>
        <v>قيد التجهيز</v>
      </c>
      <c r="I88" s="36">
        <v>46349</v>
      </c>
      <c r="J88" s="36">
        <v>46373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" customHeight="1">
      <c r="A89" s="29">
        <v>85</v>
      </c>
      <c r="B89" t="s" s="28">
        <v>276</v>
      </c>
      <c r="C89" t="s" s="28">
        <v>37</v>
      </c>
      <c r="D89" s="26">
        <v>0.8592</v>
      </c>
      <c r="E89" s="29">
        <v>1</v>
      </c>
      <c r="F89" s="26" cm="1">
        <f t="array" ref="F89">IF(C89="مكتملة",0.95,IF(C89="تشطيبات",0.78,IF(C89="كهروميكانيك",0.55,IF(C89="هيكل",0.35,IF(C89="أساسات",0.22,0.12)))))</f>
        <v>0.78</v>
      </c>
      <c r="G89" s="26" cm="1">
        <f t="array" ref="G89">IF(C89="مكتملة",0.96,IF(C89="تشطيبات",0.88,IF(C89="كهروميكانيك",0.72,IF(C89="هيكل",0.44,IF(C89="أساسات",0.2,0.08)))))</f>
        <v>0.88</v>
      </c>
      <c r="H89" t="str" s="27" cm="1">
        <f t="array" ref="H89">IF(AND(C89="مكتملة",E89&lt;=3,F89&gt;=0.9,G89&gt;=0.9),"جاهزة للاستلام الابتدائي",IF(OR(C89="تشطيبات",C89="مكتملة"),"قيد التجهيز","غير جاهزة"))</f>
        <v>قيد التجهيز</v>
      </c>
      <c r="I89" s="36">
        <v>46352</v>
      </c>
      <c r="J89" s="36">
        <v>46361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" customHeight="1">
      <c r="A90" s="29">
        <v>86</v>
      </c>
      <c r="B90" t="s" s="28">
        <v>276</v>
      </c>
      <c r="C90" t="s" s="28">
        <v>37</v>
      </c>
      <c r="D90" s="26">
        <v>0.8558</v>
      </c>
      <c r="E90" s="29">
        <v>2</v>
      </c>
      <c r="F90" s="26" cm="1">
        <f t="array" ref="F90">IF(C90="مكتملة",0.95,IF(C90="تشطيبات",0.78,IF(C90="كهروميكانيك",0.55,IF(C90="هيكل",0.35,IF(C90="أساسات",0.22,0.12)))))</f>
        <v>0.78</v>
      </c>
      <c r="G90" s="26" cm="1">
        <f t="array" ref="G90">IF(C90="مكتملة",0.96,IF(C90="تشطيبات",0.88,IF(C90="كهروميكانيك",0.72,IF(C90="هيكل",0.44,IF(C90="أساسات",0.2,0.08)))))</f>
        <v>0.88</v>
      </c>
      <c r="H90" t="str" s="27" cm="1">
        <f t="array" ref="H90">IF(AND(C90="مكتملة",E90&lt;=3,F90&gt;=0.9,G90&gt;=0.9),"جاهزة للاستلام الابتدائي",IF(OR(C90="تشطيبات",C90="مكتملة"),"قيد التجهيز","غير جاهزة"))</f>
        <v>قيد التجهيز</v>
      </c>
      <c r="I90" s="36">
        <v>46355</v>
      </c>
      <c r="J90" s="36">
        <v>46364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" customHeight="1">
      <c r="A91" s="29">
        <v>87</v>
      </c>
      <c r="B91" t="s" s="28">
        <v>276</v>
      </c>
      <c r="C91" t="s" s="28">
        <v>37</v>
      </c>
      <c r="D91" s="26">
        <v>0.9032</v>
      </c>
      <c r="E91" s="29">
        <v>3</v>
      </c>
      <c r="F91" s="26" cm="1">
        <f t="array" ref="F91">IF(C91="مكتملة",0.95,IF(C91="تشطيبات",0.78,IF(C91="كهروميكانيك",0.55,IF(C91="هيكل",0.35,IF(C91="أساسات",0.22,0.12)))))</f>
        <v>0.78</v>
      </c>
      <c r="G91" s="26" cm="1">
        <f t="array" ref="G91">IF(C91="مكتملة",0.96,IF(C91="تشطيبات",0.88,IF(C91="كهروميكانيك",0.72,IF(C91="هيكل",0.44,IF(C91="أساسات",0.2,0.08)))))</f>
        <v>0.88</v>
      </c>
      <c r="H91" t="str" s="27" cm="1">
        <f t="array" ref="H91">IF(AND(C91="مكتملة",E91&lt;=3,F91&gt;=0.9,G91&gt;=0.9),"جاهزة للاستلام الابتدائي",IF(OR(C91="تشطيبات",C91="مكتملة"),"قيد التجهيز","غير جاهزة"))</f>
        <v>قيد التجهيز</v>
      </c>
      <c r="I91" s="36">
        <v>46358</v>
      </c>
      <c r="J91" s="36">
        <v>46374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" customHeight="1">
      <c r="A92" s="29">
        <v>88</v>
      </c>
      <c r="B92" t="s" s="28">
        <v>276</v>
      </c>
      <c r="C92" t="s" s="28">
        <v>37</v>
      </c>
      <c r="D92" s="26">
        <v>0.7927999999999999</v>
      </c>
      <c r="E92" s="29">
        <v>0</v>
      </c>
      <c r="F92" s="26" cm="1">
        <f t="array" ref="F92">IF(C92="مكتملة",0.95,IF(C92="تشطيبات",0.78,IF(C92="كهروميكانيك",0.55,IF(C92="هيكل",0.35,IF(C92="أساسات",0.22,0.12)))))</f>
        <v>0.78</v>
      </c>
      <c r="G92" s="26" cm="1">
        <f t="array" ref="G92">IF(C92="مكتملة",0.96,IF(C92="تشطيبات",0.88,IF(C92="كهروميكانيك",0.72,IF(C92="هيكل",0.44,IF(C92="أساسات",0.2,0.08)))))</f>
        <v>0.88</v>
      </c>
      <c r="H92" t="str" s="27" cm="1">
        <f t="array" ref="H92">IF(AND(C92="مكتملة",E92&lt;=3,F92&gt;=0.9,G92&gt;=0.9),"جاهزة للاستلام الابتدائي",IF(OR(C92="تشطيبات",C92="مكتملة"),"قيد التجهيز","غير جاهزة"))</f>
        <v>قيد التجهيز</v>
      </c>
      <c r="I92" s="36">
        <v>46361</v>
      </c>
      <c r="J92" s="36">
        <v>46371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" customHeight="1">
      <c r="A93" s="29">
        <v>89</v>
      </c>
      <c r="B93" t="s" s="28">
        <v>276</v>
      </c>
      <c r="C93" t="s" s="28">
        <v>37</v>
      </c>
      <c r="D93" s="26">
        <v>0.8082</v>
      </c>
      <c r="E93" s="29">
        <v>0</v>
      </c>
      <c r="F93" s="26" cm="1">
        <f t="array" ref="F93">IF(C93="مكتملة",0.95,IF(C93="تشطيبات",0.78,IF(C93="كهروميكانيك",0.55,IF(C93="هيكل",0.35,IF(C93="أساسات",0.22,0.12)))))</f>
        <v>0.78</v>
      </c>
      <c r="G93" s="26" cm="1">
        <f t="array" ref="G93">IF(C93="مكتملة",0.96,IF(C93="تشطيبات",0.88,IF(C93="كهروميكانيك",0.72,IF(C93="هيكل",0.44,IF(C93="أساسات",0.2,0.08)))))</f>
        <v>0.88</v>
      </c>
      <c r="H93" t="str" s="27" cm="1">
        <f t="array" ref="H93">IF(AND(C93="مكتملة",E93&lt;=3,F93&gt;=0.9,G93&gt;=0.9),"جاهزة للاستلام الابتدائي",IF(OR(C93="تشطيبات",C93="مكتملة"),"قيد التجهيز","غير جاهزة"))</f>
        <v>قيد التجهيز</v>
      </c>
      <c r="I93" s="36">
        <v>46364</v>
      </c>
      <c r="J93" s="36">
        <v>46373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" customHeight="1">
      <c r="A94" s="29">
        <v>90</v>
      </c>
      <c r="B94" t="s" s="28">
        <v>276</v>
      </c>
      <c r="C94" t="s" s="28">
        <v>37</v>
      </c>
      <c r="D94" s="26">
        <v>0.8819</v>
      </c>
      <c r="E94" s="29">
        <v>1</v>
      </c>
      <c r="F94" s="26" cm="1">
        <f t="array" ref="F94">IF(C94="مكتملة",0.95,IF(C94="تشطيبات",0.78,IF(C94="كهروميكانيك",0.55,IF(C94="هيكل",0.35,IF(C94="أساسات",0.22,0.12)))))</f>
        <v>0.78</v>
      </c>
      <c r="G94" s="26" cm="1">
        <f t="array" ref="G94">IF(C94="مكتملة",0.96,IF(C94="تشطيبات",0.88,IF(C94="كهروميكانيك",0.72,IF(C94="هيكل",0.44,IF(C94="أساسات",0.2,0.08)))))</f>
        <v>0.88</v>
      </c>
      <c r="H94" t="str" s="27" cm="1">
        <f t="array" ref="H94">IF(AND(C94="مكتملة",E94&lt;=3,F94&gt;=0.9,G94&gt;=0.9),"جاهزة للاستلام الابتدائي",IF(OR(C94="تشطيبات",C94="مكتملة"),"قيد التجهيز","غير جاهزة"))</f>
        <v>قيد التجهيز</v>
      </c>
      <c r="I94" s="36">
        <v>46367</v>
      </c>
      <c r="J94" s="36">
        <v>46385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" customHeight="1">
      <c r="A95" s="29">
        <v>91</v>
      </c>
      <c r="B95" t="s" s="28">
        <v>278</v>
      </c>
      <c r="C95" t="s" s="28">
        <v>37</v>
      </c>
      <c r="D95" s="26">
        <v>0.8078</v>
      </c>
      <c r="E95" s="29">
        <v>2</v>
      </c>
      <c r="F95" s="26" cm="1">
        <f t="array" ref="F95">IF(C95="مكتملة",0.95,IF(C95="تشطيبات",0.78,IF(C95="كهروميكانيك",0.55,IF(C95="هيكل",0.35,IF(C95="أساسات",0.22,0.12)))))</f>
        <v>0.78</v>
      </c>
      <c r="G95" s="26" cm="1">
        <f t="array" ref="G95">IF(C95="مكتملة",0.96,IF(C95="تشطيبات",0.88,IF(C95="كهروميكانيك",0.72,IF(C95="هيكل",0.44,IF(C95="أساسات",0.2,0.08)))))</f>
        <v>0.88</v>
      </c>
      <c r="H95" t="str" s="27" cm="1">
        <f t="array" ref="H95">IF(AND(C95="مكتملة",E95&lt;=3,F95&gt;=0.9,G95&gt;=0.9),"جاهزة للاستلام الابتدائي",IF(OR(C95="تشطيبات",C95="مكتملة"),"قيد التجهيز","غير جاهزة"))</f>
        <v>قيد التجهيز</v>
      </c>
      <c r="I95" s="36">
        <v>46370</v>
      </c>
      <c r="J95" s="36">
        <v>46392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" customHeight="1">
      <c r="A96" s="29">
        <v>92</v>
      </c>
      <c r="B96" t="s" s="28">
        <v>278</v>
      </c>
      <c r="C96" t="s" s="28">
        <v>37</v>
      </c>
      <c r="D96" s="26">
        <v>0.7926</v>
      </c>
      <c r="E96" s="29">
        <v>2</v>
      </c>
      <c r="F96" s="26" cm="1">
        <f t="array" ref="F96">IF(C96="مكتملة",0.95,IF(C96="تشطيبات",0.78,IF(C96="كهروميكانيك",0.55,IF(C96="هيكل",0.35,IF(C96="أساسات",0.22,0.12)))))</f>
        <v>0.78</v>
      </c>
      <c r="G96" s="26" cm="1">
        <f t="array" ref="G96">IF(C96="مكتملة",0.96,IF(C96="تشطيبات",0.88,IF(C96="كهروميكانيك",0.72,IF(C96="هيكل",0.44,IF(C96="أساسات",0.2,0.08)))))</f>
        <v>0.88</v>
      </c>
      <c r="H96" t="str" s="27" cm="1">
        <f t="array" ref="H96">IF(AND(C96="مكتملة",E96&lt;=3,F96&gt;=0.9,G96&gt;=0.9),"جاهزة للاستلام الابتدائي",IF(OR(C96="تشطيبات",C96="مكتملة"),"قيد التجهيز","غير جاهزة"))</f>
        <v>قيد التجهيز</v>
      </c>
      <c r="I96" s="36">
        <v>46373</v>
      </c>
      <c r="J96" s="36">
        <v>46385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" customHeight="1">
      <c r="A97" s="29">
        <v>93</v>
      </c>
      <c r="B97" t="s" s="28">
        <v>278</v>
      </c>
      <c r="C97" t="s" s="28">
        <v>37</v>
      </c>
      <c r="D97" s="26">
        <v>0.8102</v>
      </c>
      <c r="E97" s="29">
        <v>3</v>
      </c>
      <c r="F97" s="26" cm="1">
        <f t="array" ref="F97">IF(C97="مكتملة",0.95,IF(C97="تشطيبات",0.78,IF(C97="كهروميكانيك",0.55,IF(C97="هيكل",0.35,IF(C97="أساسات",0.22,0.12)))))</f>
        <v>0.78</v>
      </c>
      <c r="G97" s="26" cm="1">
        <f t="array" ref="G97">IF(C97="مكتملة",0.96,IF(C97="تشطيبات",0.88,IF(C97="كهروميكانيك",0.72,IF(C97="هيكل",0.44,IF(C97="أساسات",0.2,0.08)))))</f>
        <v>0.88</v>
      </c>
      <c r="H97" t="str" s="27" cm="1">
        <f t="array" ref="H97">IF(AND(C97="مكتملة",E97&lt;=3,F97&gt;=0.9,G97&gt;=0.9),"جاهزة للاستلام الابتدائي",IF(OR(C97="تشطيبات",C97="مكتملة"),"قيد التجهيز","غير جاهزة"))</f>
        <v>قيد التجهيز</v>
      </c>
      <c r="I97" s="36">
        <v>46376</v>
      </c>
      <c r="J97" s="36">
        <v>46398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" customHeight="1">
      <c r="A98" s="29">
        <v>94</v>
      </c>
      <c r="B98" t="s" s="28">
        <v>278</v>
      </c>
      <c r="C98" t="s" s="28">
        <v>37</v>
      </c>
      <c r="D98" s="26">
        <v>0.8583</v>
      </c>
      <c r="E98" s="29">
        <v>2</v>
      </c>
      <c r="F98" s="26" cm="1">
        <f t="array" ref="F98">IF(C98="مكتملة",0.95,IF(C98="تشطيبات",0.78,IF(C98="كهروميكانيك",0.55,IF(C98="هيكل",0.35,IF(C98="أساسات",0.22,0.12)))))</f>
        <v>0.78</v>
      </c>
      <c r="G98" s="26" cm="1">
        <f t="array" ref="G98">IF(C98="مكتملة",0.96,IF(C98="تشطيبات",0.88,IF(C98="كهروميكانيك",0.72,IF(C98="هيكل",0.44,IF(C98="أساسات",0.2,0.08)))))</f>
        <v>0.88</v>
      </c>
      <c r="H98" t="str" s="27" cm="1">
        <f t="array" ref="H98">IF(AND(C98="مكتملة",E98&lt;=3,F98&gt;=0.9,G98&gt;=0.9),"جاهزة للاستلام الابتدائي",IF(OR(C98="تشطيبات",C98="مكتملة"),"قيد التجهيز","غير جاهزة"))</f>
        <v>قيد التجهيز</v>
      </c>
      <c r="I98" s="36">
        <v>46379</v>
      </c>
      <c r="J98" s="36">
        <v>46401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" customHeight="1">
      <c r="A99" s="29">
        <v>95</v>
      </c>
      <c r="B99" t="s" s="28">
        <v>278</v>
      </c>
      <c r="C99" t="s" s="28">
        <v>37</v>
      </c>
      <c r="D99" s="26">
        <v>0.8993</v>
      </c>
      <c r="E99" s="29">
        <v>1</v>
      </c>
      <c r="F99" s="26" cm="1">
        <f t="array" ref="F99">IF(C99="مكتملة",0.95,IF(C99="تشطيبات",0.78,IF(C99="كهروميكانيك",0.55,IF(C99="هيكل",0.35,IF(C99="أساسات",0.22,0.12)))))</f>
        <v>0.78</v>
      </c>
      <c r="G99" s="26" cm="1">
        <f t="array" ref="G99">IF(C99="مكتملة",0.96,IF(C99="تشطيبات",0.88,IF(C99="كهروميكانيك",0.72,IF(C99="هيكل",0.44,IF(C99="أساسات",0.2,0.08)))))</f>
        <v>0.88</v>
      </c>
      <c r="H99" t="str" s="27" cm="1">
        <f t="array" ref="H99">IF(AND(C99="مكتملة",E99&lt;=3,F99&gt;=0.9,G99&gt;=0.9),"جاهزة للاستلام الابتدائي",IF(OR(C99="تشطيبات",C99="مكتملة"),"قيد التجهيز","غير جاهزة"))</f>
        <v>قيد التجهيز</v>
      </c>
      <c r="I99" s="36">
        <v>46382</v>
      </c>
      <c r="J99" s="36">
        <v>46389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" customHeight="1">
      <c r="A100" s="29">
        <v>96</v>
      </c>
      <c r="B100" t="s" s="28">
        <v>278</v>
      </c>
      <c r="C100" t="s" s="28">
        <v>37</v>
      </c>
      <c r="D100" s="26">
        <v>0.8606</v>
      </c>
      <c r="E100" s="29">
        <v>2</v>
      </c>
      <c r="F100" s="26" cm="1">
        <f t="array" ref="F100">IF(C100="مكتملة",0.95,IF(C100="تشطيبات",0.78,IF(C100="كهروميكانيك",0.55,IF(C100="هيكل",0.35,IF(C100="أساسات",0.22,0.12)))))</f>
        <v>0.78</v>
      </c>
      <c r="G100" s="26" cm="1">
        <f t="array" ref="G100">IF(C100="مكتملة",0.96,IF(C100="تشطيبات",0.88,IF(C100="كهروميكانيك",0.72,IF(C100="هيكل",0.44,IF(C100="أساسات",0.2,0.08)))))</f>
        <v>0.88</v>
      </c>
      <c r="H100" t="str" s="27" cm="1">
        <f t="array" ref="H100">IF(AND(C100="مكتملة",E100&lt;=3,F100&gt;=0.9,G100&gt;=0.9),"جاهزة للاستلام الابتدائي",IF(OR(C100="تشطيبات",C100="مكتملة"),"قيد التجهيز","غير جاهزة"))</f>
        <v>قيد التجهيز</v>
      </c>
      <c r="I100" s="36">
        <v>46385</v>
      </c>
      <c r="J100" s="36">
        <v>46405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" customHeight="1">
      <c r="A101" s="29">
        <v>97</v>
      </c>
      <c r="B101" t="s" s="28">
        <v>278</v>
      </c>
      <c r="C101" t="s" s="28">
        <v>40</v>
      </c>
      <c r="D101" s="26">
        <v>0.9664</v>
      </c>
      <c r="E101" s="29">
        <v>1</v>
      </c>
      <c r="F101" s="26" cm="1">
        <f t="array" ref="F101">IF(C101="مكتملة",0.95,IF(C101="تشطيبات",0.78,IF(C101="كهروميكانيك",0.55,IF(C101="هيكل",0.35,IF(C101="أساسات",0.22,0.12)))))</f>
        <v>0.95</v>
      </c>
      <c r="G101" s="26" cm="1">
        <f t="array" ref="G101">IF(C101="مكتملة",0.96,IF(C101="تشطيبات",0.88,IF(C101="كهروميكانيك",0.72,IF(C101="هيكل",0.44,IF(C101="أساسات",0.2,0.08)))))</f>
        <v>0.96</v>
      </c>
      <c r="H101" t="str" s="27" cm="1">
        <f t="array" ref="H101">IF(AND(C101="مكتملة",E101&lt;=3,F101&gt;=0.9,G101&gt;=0.9),"جاهزة للاستلام الابتدائي",IF(OR(C101="تشطيبات",C101="مكتملة"),"قيد التجهيز","غير جاهزة"))</f>
        <v>جاهزة للاستلام الابتدائي</v>
      </c>
      <c r="I101" s="36">
        <v>46400</v>
      </c>
      <c r="J101" s="36">
        <v>46397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" customHeight="1">
      <c r="A102" s="29">
        <v>98</v>
      </c>
      <c r="B102" t="s" s="28">
        <v>278</v>
      </c>
      <c r="C102" t="s" s="28">
        <v>40</v>
      </c>
      <c r="D102" s="26">
        <v>0.9956</v>
      </c>
      <c r="E102" s="29">
        <v>1</v>
      </c>
      <c r="F102" s="26" cm="1">
        <f t="array" ref="F102">IF(C102="مكتملة",0.95,IF(C102="تشطيبات",0.78,IF(C102="كهروميكانيك",0.55,IF(C102="هيكل",0.35,IF(C102="أساسات",0.22,0.12)))))</f>
        <v>0.95</v>
      </c>
      <c r="G102" s="26" cm="1">
        <f t="array" ref="G102">IF(C102="مكتملة",0.96,IF(C102="تشطيبات",0.88,IF(C102="كهروميكانيك",0.72,IF(C102="هيكل",0.44,IF(C102="أساسات",0.2,0.08)))))</f>
        <v>0.96</v>
      </c>
      <c r="H102" t="str" s="27" cm="1">
        <f t="array" ref="H102">IF(AND(C102="مكتملة",E102&lt;=3,F102&gt;=0.9,G102&gt;=0.9),"جاهزة للاستلام الابتدائي",IF(OR(C102="تشطيبات",C102="مكتملة"),"قيد التجهيز","غير جاهزة"))</f>
        <v>جاهزة للاستلام الابتدائي</v>
      </c>
      <c r="I102" s="36">
        <v>46403</v>
      </c>
      <c r="J102" s="36">
        <v>46409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" customHeight="1">
      <c r="A103" s="29">
        <v>99</v>
      </c>
      <c r="B103" t="s" s="28">
        <v>278</v>
      </c>
      <c r="C103" t="s" s="28">
        <v>40</v>
      </c>
      <c r="D103" s="26">
        <v>0.9716</v>
      </c>
      <c r="E103" s="29">
        <v>1</v>
      </c>
      <c r="F103" s="26" cm="1">
        <f t="array" ref="F103">IF(C103="مكتملة",0.95,IF(C103="تشطيبات",0.78,IF(C103="كهروميكانيك",0.55,IF(C103="هيكل",0.35,IF(C103="أساسات",0.22,0.12)))))</f>
        <v>0.95</v>
      </c>
      <c r="G103" s="26" cm="1">
        <f t="array" ref="G103">IF(C103="مكتملة",0.96,IF(C103="تشطيبات",0.88,IF(C103="كهروميكانيك",0.72,IF(C103="هيكل",0.44,IF(C103="أساسات",0.2,0.08)))))</f>
        <v>0.96</v>
      </c>
      <c r="H103" t="str" s="27" cm="1">
        <f t="array" ref="H103">IF(AND(C103="مكتملة",E103&lt;=3,F103&gt;=0.9,G103&gt;=0.9),"جاهزة للاستلام الابتدائي",IF(OR(C103="تشطيبات",C103="مكتملة"),"قيد التجهيز","غير جاهزة"))</f>
        <v>جاهزة للاستلام الابتدائي</v>
      </c>
      <c r="I103" s="36">
        <v>46406</v>
      </c>
      <c r="J103" s="36">
        <v>46403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" customHeight="1">
      <c r="A104" s="29">
        <v>100</v>
      </c>
      <c r="B104" t="s" s="28">
        <v>278</v>
      </c>
      <c r="C104" t="s" s="28">
        <v>40</v>
      </c>
      <c r="D104" s="26">
        <v>0.9998</v>
      </c>
      <c r="E104" s="29">
        <v>0</v>
      </c>
      <c r="F104" s="26" cm="1">
        <f t="array" ref="F104">IF(C104="مكتملة",0.95,IF(C104="تشطيبات",0.78,IF(C104="كهروميكانيك",0.55,IF(C104="هيكل",0.35,IF(C104="أساسات",0.22,0.12)))))</f>
        <v>0.95</v>
      </c>
      <c r="G104" s="26" cm="1">
        <f t="array" ref="G104">IF(C104="مكتملة",0.96,IF(C104="تشطيبات",0.88,IF(C104="كهروميكانيك",0.72,IF(C104="هيكل",0.44,IF(C104="أساسات",0.2,0.08)))))</f>
        <v>0.96</v>
      </c>
      <c r="H104" t="str" s="27" cm="1">
        <f t="array" ref="H104">IF(AND(C104="مكتملة",E104&lt;=3,F104&gt;=0.9,G104&gt;=0.9),"جاهزة للاستلام الابتدائي",IF(OR(C104="تشطيبات",C104="مكتملة"),"قيد التجهيز","غير جاهزة"))</f>
        <v>جاهزة للاستلام الابتدائي</v>
      </c>
      <c r="I104" s="36">
        <v>46409</v>
      </c>
      <c r="J104" s="36">
        <v>46408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" customHeight="1">
      <c r="A105" s="29">
        <v>101</v>
      </c>
      <c r="B105" t="s" s="28">
        <v>278</v>
      </c>
      <c r="C105" t="s" s="28">
        <v>40</v>
      </c>
      <c r="D105" s="26">
        <v>0.9781</v>
      </c>
      <c r="E105" s="29">
        <v>1</v>
      </c>
      <c r="F105" s="26" cm="1">
        <f t="array" ref="F105">IF(C105="مكتملة",0.95,IF(C105="تشطيبات",0.78,IF(C105="كهروميكانيك",0.55,IF(C105="هيكل",0.35,IF(C105="أساسات",0.22,0.12)))))</f>
        <v>0.95</v>
      </c>
      <c r="G105" s="26" cm="1">
        <f t="array" ref="G105">IF(C105="مكتملة",0.96,IF(C105="تشطيبات",0.88,IF(C105="كهروميكانيك",0.72,IF(C105="هيكل",0.44,IF(C105="أساسات",0.2,0.08)))))</f>
        <v>0.96</v>
      </c>
      <c r="H105" t="str" s="27" cm="1">
        <f t="array" ref="H105">IF(AND(C105="مكتملة",E105&lt;=3,F105&gt;=0.9,G105&gt;=0.9),"جاهزة للاستلام الابتدائي",IF(OR(C105="تشطيبات",C105="مكتملة"),"قيد التجهيز","غير جاهزة"))</f>
        <v>جاهزة للاستلام الابتدائي</v>
      </c>
      <c r="I105" s="36">
        <v>46412</v>
      </c>
      <c r="J105" s="36">
        <v>46421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" customHeight="1">
      <c r="A106" s="29">
        <v>102</v>
      </c>
      <c r="B106" t="s" s="28">
        <v>278</v>
      </c>
      <c r="C106" t="s" s="28">
        <v>40</v>
      </c>
      <c r="D106" s="26">
        <v>0.9674</v>
      </c>
      <c r="E106" s="29">
        <v>0</v>
      </c>
      <c r="F106" s="26" cm="1">
        <f t="array" ref="F106">IF(C106="مكتملة",0.95,IF(C106="تشطيبات",0.78,IF(C106="كهروميكانيك",0.55,IF(C106="هيكل",0.35,IF(C106="أساسات",0.22,0.12)))))</f>
        <v>0.95</v>
      </c>
      <c r="G106" s="26" cm="1">
        <f t="array" ref="G106">IF(C106="مكتملة",0.96,IF(C106="تشطيبات",0.88,IF(C106="كهروميكانيك",0.72,IF(C106="هيكل",0.44,IF(C106="أساسات",0.2,0.08)))))</f>
        <v>0.96</v>
      </c>
      <c r="H106" t="str" s="27" cm="1">
        <f t="array" ref="H106">IF(AND(C106="مكتملة",E106&lt;=3,F106&gt;=0.9,G106&gt;=0.9),"جاهزة للاستلام الابتدائي",IF(OR(C106="تشطيبات",C106="مكتملة"),"قيد التجهيز","غير جاهزة"))</f>
        <v>جاهزة للاستلام الابتدائي</v>
      </c>
      <c r="I106" s="36">
        <v>46415</v>
      </c>
      <c r="J106" s="36">
        <v>46426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" customHeight="1">
      <c r="A107" s="29">
        <v>103</v>
      </c>
      <c r="B107" t="s" s="28">
        <v>278</v>
      </c>
      <c r="C107" t="s" s="28">
        <v>40</v>
      </c>
      <c r="D107" s="26">
        <v>0.9837</v>
      </c>
      <c r="E107" s="29">
        <v>0</v>
      </c>
      <c r="F107" s="26" cm="1">
        <f t="array" ref="F107">IF(C107="مكتملة",0.95,IF(C107="تشطيبات",0.78,IF(C107="كهروميكانيك",0.55,IF(C107="هيكل",0.35,IF(C107="أساسات",0.22,0.12)))))</f>
        <v>0.95</v>
      </c>
      <c r="G107" s="26" cm="1">
        <f t="array" ref="G107">IF(C107="مكتملة",0.96,IF(C107="تشطيبات",0.88,IF(C107="كهروميكانيك",0.72,IF(C107="هيكل",0.44,IF(C107="أساسات",0.2,0.08)))))</f>
        <v>0.96</v>
      </c>
      <c r="H107" t="str" s="27" cm="1">
        <f t="array" ref="H107">IF(AND(C107="مكتملة",E107&lt;=3,F107&gt;=0.9,G107&gt;=0.9),"جاهزة للاستلام الابتدائي",IF(OR(C107="تشطيبات",C107="مكتملة"),"قيد التجهيز","غير جاهزة"))</f>
        <v>جاهزة للاستلام الابتدائي</v>
      </c>
      <c r="I107" s="36">
        <v>46418</v>
      </c>
      <c r="J107" s="36">
        <v>46426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" customHeight="1">
      <c r="A108" s="29">
        <v>104</v>
      </c>
      <c r="B108" t="s" s="28">
        <v>278</v>
      </c>
      <c r="C108" t="s" s="28">
        <v>40</v>
      </c>
      <c r="D108" s="26">
        <v>0.9784</v>
      </c>
      <c r="E108" s="29">
        <v>0</v>
      </c>
      <c r="F108" s="26" cm="1">
        <f t="array" ref="F108">IF(C108="مكتملة",0.95,IF(C108="تشطيبات",0.78,IF(C108="كهروميكانيك",0.55,IF(C108="هيكل",0.35,IF(C108="أساسات",0.22,0.12)))))</f>
        <v>0.95</v>
      </c>
      <c r="G108" s="26" cm="1">
        <f t="array" ref="G108">IF(C108="مكتملة",0.96,IF(C108="تشطيبات",0.88,IF(C108="كهروميكانيك",0.72,IF(C108="هيكل",0.44,IF(C108="أساسات",0.2,0.08)))))</f>
        <v>0.96</v>
      </c>
      <c r="H108" t="str" s="27" cm="1">
        <f t="array" ref="H108">IF(AND(C108="مكتملة",E108&lt;=3,F108&gt;=0.9,G108&gt;=0.9),"جاهزة للاستلام الابتدائي",IF(OR(C108="تشطيبات",C108="مكتملة"),"قيد التجهيز","غير جاهزة"))</f>
        <v>جاهزة للاستلام الابتدائي</v>
      </c>
      <c r="I108" s="36">
        <v>46421</v>
      </c>
      <c r="J108" s="36">
        <v>46416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" customHeight="1">
      <c r="A109" s="29">
        <v>105</v>
      </c>
      <c r="B109" t="s" s="28">
        <v>278</v>
      </c>
      <c r="C109" t="s" s="28">
        <v>40</v>
      </c>
      <c r="D109" s="26">
        <v>0.9958</v>
      </c>
      <c r="E109" s="29">
        <v>1</v>
      </c>
      <c r="F109" s="26" cm="1">
        <f t="array" ref="F109">IF(C109="مكتملة",0.95,IF(C109="تشطيبات",0.78,IF(C109="كهروميكانيك",0.55,IF(C109="هيكل",0.35,IF(C109="أساسات",0.22,0.12)))))</f>
        <v>0.95</v>
      </c>
      <c r="G109" s="26" cm="1">
        <f t="array" ref="G109">IF(C109="مكتملة",0.96,IF(C109="تشطيبات",0.88,IF(C109="كهروميكانيك",0.72,IF(C109="هيكل",0.44,IF(C109="أساسات",0.2,0.08)))))</f>
        <v>0.96</v>
      </c>
      <c r="H109" t="str" s="27" cm="1">
        <f t="array" ref="H109">IF(AND(C109="مكتملة",E109&lt;=3,F109&gt;=0.9,G109&gt;=0.9),"جاهزة للاستلام الابتدائي",IF(OR(C109="تشطيبات",C109="مكتملة"),"قيد التجهيز","غير جاهزة"))</f>
        <v>جاهزة للاستلام الابتدائي</v>
      </c>
      <c r="I109" s="36">
        <v>46424</v>
      </c>
      <c r="J109" s="36">
        <v>46419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" customHeight="1">
      <c r="A110" s="29">
        <v>106</v>
      </c>
      <c r="B110" t="s" s="28">
        <v>278</v>
      </c>
      <c r="C110" t="s" s="28">
        <v>40</v>
      </c>
      <c r="D110" s="26">
        <v>0.977</v>
      </c>
      <c r="E110" s="29">
        <v>0</v>
      </c>
      <c r="F110" s="26" cm="1">
        <f t="array" ref="F110">IF(C110="مكتملة",0.95,IF(C110="تشطيبات",0.78,IF(C110="كهروميكانيك",0.55,IF(C110="هيكل",0.35,IF(C110="أساسات",0.22,0.12)))))</f>
        <v>0.95</v>
      </c>
      <c r="G110" s="26" cm="1">
        <f t="array" ref="G110">IF(C110="مكتملة",0.96,IF(C110="تشطيبات",0.88,IF(C110="كهروميكانيك",0.72,IF(C110="هيكل",0.44,IF(C110="أساسات",0.2,0.08)))))</f>
        <v>0.96</v>
      </c>
      <c r="H110" t="str" s="27" cm="1">
        <f t="array" ref="H110">IF(AND(C110="مكتملة",E110&lt;=3,F110&gt;=0.9,G110&gt;=0.9),"جاهزة للاستلام الابتدائي",IF(OR(C110="تشطيبات",C110="مكتملة"),"قيد التجهيز","غير جاهزة"))</f>
        <v>جاهزة للاستلام الابتدائي</v>
      </c>
      <c r="I110" s="36">
        <v>46427</v>
      </c>
      <c r="J110" s="36">
        <v>46435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" customHeight="1">
      <c r="A111" s="29">
        <v>107</v>
      </c>
      <c r="B111" t="s" s="28">
        <v>278</v>
      </c>
      <c r="C111" t="s" s="28">
        <v>40</v>
      </c>
      <c r="D111" s="26">
        <v>0.9668</v>
      </c>
      <c r="E111" s="29">
        <v>0</v>
      </c>
      <c r="F111" s="26" cm="1">
        <f t="array" ref="F111">IF(C111="مكتملة",0.95,IF(C111="تشطيبات",0.78,IF(C111="كهروميكانيك",0.55,IF(C111="هيكل",0.35,IF(C111="أساسات",0.22,0.12)))))</f>
        <v>0.95</v>
      </c>
      <c r="G111" s="26" cm="1">
        <f t="array" ref="G111">IF(C111="مكتملة",0.96,IF(C111="تشطيبات",0.88,IF(C111="كهروميكانيك",0.72,IF(C111="هيكل",0.44,IF(C111="أساسات",0.2,0.08)))))</f>
        <v>0.96</v>
      </c>
      <c r="H111" t="str" s="27" cm="1">
        <f t="array" ref="H111">IF(AND(C111="مكتملة",E111&lt;=3,F111&gt;=0.9,G111&gt;=0.9),"جاهزة للاستلام الابتدائي",IF(OR(C111="تشطيبات",C111="مكتملة"),"قيد التجهيز","غير جاهزة"))</f>
        <v>جاهزة للاستلام الابتدائي</v>
      </c>
      <c r="I111" s="36">
        <v>46430</v>
      </c>
      <c r="J111" s="36">
        <v>46426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" customHeight="1">
      <c r="A112" s="29">
        <v>108</v>
      </c>
      <c r="B112" t="s" s="28">
        <v>278</v>
      </c>
      <c r="C112" t="s" s="28">
        <v>40</v>
      </c>
      <c r="D112" s="26">
        <v>0.9883999999999999</v>
      </c>
      <c r="E112" s="29">
        <v>0</v>
      </c>
      <c r="F112" s="26" cm="1">
        <f t="array" ref="F112">IF(C112="مكتملة",0.95,IF(C112="تشطيبات",0.78,IF(C112="كهروميكانيك",0.55,IF(C112="هيكل",0.35,IF(C112="أساسات",0.22,0.12)))))</f>
        <v>0.95</v>
      </c>
      <c r="G112" s="26" cm="1">
        <f t="array" ref="G112">IF(C112="مكتملة",0.96,IF(C112="تشطيبات",0.88,IF(C112="كهروميكانيك",0.72,IF(C112="هيكل",0.44,IF(C112="أساسات",0.2,0.08)))))</f>
        <v>0.96</v>
      </c>
      <c r="H112" t="str" s="27" cm="1">
        <f t="array" ref="H112">IF(AND(C112="مكتملة",E112&lt;=3,F112&gt;=0.9,G112&gt;=0.9),"جاهزة للاستلام الابتدائي",IF(OR(C112="تشطيبات",C112="مكتملة"),"قيد التجهيز","غير جاهزة"))</f>
        <v>جاهزة للاستلام الابتدائي</v>
      </c>
      <c r="I112" s="36">
        <v>46433</v>
      </c>
      <c r="J112" s="36">
        <v>46445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" customHeight="1">
      <c r="A113" s="29">
        <v>109</v>
      </c>
      <c r="B113" t="s" s="28">
        <v>278</v>
      </c>
      <c r="C113" t="s" s="28">
        <v>40</v>
      </c>
      <c r="D113" s="26">
        <v>0.9921</v>
      </c>
      <c r="E113" s="29">
        <v>1</v>
      </c>
      <c r="F113" s="26" cm="1">
        <f t="array" ref="F113">IF(C113="مكتملة",0.95,IF(C113="تشطيبات",0.78,IF(C113="كهروميكانيك",0.55,IF(C113="هيكل",0.35,IF(C113="أساسات",0.22,0.12)))))</f>
        <v>0.95</v>
      </c>
      <c r="G113" s="26" cm="1">
        <f t="array" ref="G113">IF(C113="مكتملة",0.96,IF(C113="تشطيبات",0.88,IF(C113="كهروميكانيك",0.72,IF(C113="هيكل",0.44,IF(C113="أساسات",0.2,0.08)))))</f>
        <v>0.96</v>
      </c>
      <c r="H113" t="str" s="27" cm="1">
        <f t="array" ref="H113">IF(AND(C113="مكتملة",E113&lt;=3,F113&gt;=0.9,G113&gt;=0.9),"جاهزة للاستلام الابتدائي",IF(OR(C113="تشطيبات",C113="مكتملة"),"قيد التجهيز","غير جاهزة"))</f>
        <v>جاهزة للاستلام الابتدائي</v>
      </c>
      <c r="I113" s="36">
        <v>46436</v>
      </c>
      <c r="J113" s="36">
        <v>46434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" customHeight="1">
      <c r="A114" s="29">
        <v>110</v>
      </c>
      <c r="B114" t="s" s="28">
        <v>278</v>
      </c>
      <c r="C114" t="s" s="28">
        <v>40</v>
      </c>
      <c r="D114" s="26">
        <v>0.995</v>
      </c>
      <c r="E114" s="29">
        <v>0</v>
      </c>
      <c r="F114" s="26" cm="1">
        <f t="array" ref="F114">IF(C114="مكتملة",0.95,IF(C114="تشطيبات",0.78,IF(C114="كهروميكانيك",0.55,IF(C114="هيكل",0.35,IF(C114="أساسات",0.22,0.12)))))</f>
        <v>0.95</v>
      </c>
      <c r="G114" s="26" cm="1">
        <f t="array" ref="G114">IF(C114="مكتملة",0.96,IF(C114="تشطيبات",0.88,IF(C114="كهروميكانيك",0.72,IF(C114="هيكل",0.44,IF(C114="أساسات",0.2,0.08)))))</f>
        <v>0.96</v>
      </c>
      <c r="H114" t="str" s="27" cm="1">
        <f t="array" ref="H114">IF(AND(C114="مكتملة",E114&lt;=3,F114&gt;=0.9,G114&gt;=0.9),"جاهزة للاستلام الابتدائي",IF(OR(C114="تشطيبات",C114="مكتملة"),"قيد التجهيز","غير جاهزة"))</f>
        <v>جاهزة للاستلام الابتدائي</v>
      </c>
      <c r="I114" s="36">
        <v>46439</v>
      </c>
      <c r="J114" s="36">
        <v>46448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" customHeight="1">
      <c r="A115" s="29">
        <v>111</v>
      </c>
      <c r="B115" t="s" s="28">
        <v>278</v>
      </c>
      <c r="C115" t="s" s="28">
        <v>40</v>
      </c>
      <c r="D115" s="26">
        <v>0.98</v>
      </c>
      <c r="E115" s="29">
        <v>0</v>
      </c>
      <c r="F115" s="26" cm="1">
        <f t="array" ref="F115">IF(C115="مكتملة",0.95,IF(C115="تشطيبات",0.78,IF(C115="كهروميكانيك",0.55,IF(C115="هيكل",0.35,IF(C115="أساسات",0.22,0.12)))))</f>
        <v>0.95</v>
      </c>
      <c r="G115" s="26" cm="1">
        <f t="array" ref="G115">IF(C115="مكتملة",0.96,IF(C115="تشطيبات",0.88,IF(C115="كهروميكانيك",0.72,IF(C115="هيكل",0.44,IF(C115="أساسات",0.2,0.08)))))</f>
        <v>0.96</v>
      </c>
      <c r="H115" t="str" s="27" cm="1">
        <f t="array" ref="H115">IF(AND(C115="مكتملة",E115&lt;=3,F115&gt;=0.9,G115&gt;=0.9),"جاهزة للاستلام الابتدائي",IF(OR(C115="تشطيبات",C115="مكتملة"),"قيد التجهيز","غير جاهزة"))</f>
        <v>جاهزة للاستلام الابتدائي</v>
      </c>
      <c r="I115" s="36">
        <v>46442</v>
      </c>
      <c r="J115" s="36">
        <v>46453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" customHeight="1">
      <c r="A116" s="29">
        <v>112</v>
      </c>
      <c r="B116" t="s" s="28">
        <v>278</v>
      </c>
      <c r="C116" t="s" s="28">
        <v>40</v>
      </c>
      <c r="D116" s="26">
        <v>0.9655</v>
      </c>
      <c r="E116" s="29">
        <v>0</v>
      </c>
      <c r="F116" s="26" cm="1">
        <f t="array" ref="F116">IF(C116="مكتملة",0.95,IF(C116="تشطيبات",0.78,IF(C116="كهروميكانيك",0.55,IF(C116="هيكل",0.35,IF(C116="أساسات",0.22,0.12)))))</f>
        <v>0.95</v>
      </c>
      <c r="G116" s="26" cm="1">
        <f t="array" ref="G116">IF(C116="مكتملة",0.96,IF(C116="تشطيبات",0.88,IF(C116="كهروميكانيك",0.72,IF(C116="هيكل",0.44,IF(C116="أساسات",0.2,0.08)))))</f>
        <v>0.96</v>
      </c>
      <c r="H116" t="str" s="27" cm="1">
        <f t="array" ref="H116">IF(AND(C116="مكتملة",E116&lt;=3,F116&gt;=0.9,G116&gt;=0.9),"جاهزة للاستلام الابتدائي",IF(OR(C116="تشطيبات",C116="مكتملة"),"قيد التجهيز","غير جاهزة"))</f>
        <v>جاهزة للاستلام الابتدائي</v>
      </c>
      <c r="I116" s="36">
        <v>46445</v>
      </c>
      <c r="J116" s="36">
        <v>46446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" customHeight="1">
      <c r="A117" s="29">
        <v>113</v>
      </c>
      <c r="B117" t="s" s="28">
        <v>278</v>
      </c>
      <c r="C117" t="s" s="28">
        <v>40</v>
      </c>
      <c r="D117" s="26">
        <v>0.9712</v>
      </c>
      <c r="E117" s="29">
        <v>0</v>
      </c>
      <c r="F117" s="26" cm="1">
        <f t="array" ref="F117">IF(C117="مكتملة",0.95,IF(C117="تشطيبات",0.78,IF(C117="كهروميكانيك",0.55,IF(C117="هيكل",0.35,IF(C117="أساسات",0.22,0.12)))))</f>
        <v>0.95</v>
      </c>
      <c r="G117" s="26" cm="1">
        <f t="array" ref="G117">IF(C117="مكتملة",0.96,IF(C117="تشطيبات",0.88,IF(C117="كهروميكانيك",0.72,IF(C117="هيكل",0.44,IF(C117="أساسات",0.2,0.08)))))</f>
        <v>0.96</v>
      </c>
      <c r="H117" t="str" s="27" cm="1">
        <f t="array" ref="H117">IF(AND(C117="مكتملة",E117&lt;=3,F117&gt;=0.9,G117&gt;=0.9),"جاهزة للاستلام الابتدائي",IF(OR(C117="تشطيبات",C117="مكتملة"),"قيد التجهيز","غير جاهزة"))</f>
        <v>جاهزة للاستلام الابتدائي</v>
      </c>
      <c r="I117" s="36">
        <v>46448</v>
      </c>
      <c r="J117" s="36">
        <v>46460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" customHeight="1">
      <c r="A118" s="29">
        <v>114</v>
      </c>
      <c r="B118" t="s" s="28">
        <v>278</v>
      </c>
      <c r="C118" t="s" s="28">
        <v>40</v>
      </c>
      <c r="D118" s="26">
        <v>0.9648</v>
      </c>
      <c r="E118" s="29">
        <v>1</v>
      </c>
      <c r="F118" s="26" cm="1">
        <f t="array" ref="F118">IF(C118="مكتملة",0.95,IF(C118="تشطيبات",0.78,IF(C118="كهروميكانيك",0.55,IF(C118="هيكل",0.35,IF(C118="أساسات",0.22,0.12)))))</f>
        <v>0.95</v>
      </c>
      <c r="G118" s="26" cm="1">
        <f t="array" ref="G118">IF(C118="مكتملة",0.96,IF(C118="تشطيبات",0.88,IF(C118="كهروميكانيك",0.72,IF(C118="هيكل",0.44,IF(C118="أساسات",0.2,0.08)))))</f>
        <v>0.96</v>
      </c>
      <c r="H118" t="str" s="27" cm="1">
        <f t="array" ref="H118">IF(AND(C118="مكتملة",E118&lt;=3,F118&gt;=0.9,G118&gt;=0.9),"جاهزة للاستلام الابتدائي",IF(OR(C118="تشطيبات",C118="مكتملة"),"قيد التجهيز","غير جاهزة"))</f>
        <v>جاهزة للاستلام الابتدائي</v>
      </c>
      <c r="I118" s="36">
        <v>46451</v>
      </c>
      <c r="J118" s="36">
        <v>46449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" customHeight="1">
      <c r="A119" s="29">
        <v>115</v>
      </c>
      <c r="B119" t="s" s="28">
        <v>278</v>
      </c>
      <c r="C119" t="s" s="28">
        <v>40</v>
      </c>
      <c r="D119" s="26">
        <v>0.9643</v>
      </c>
      <c r="E119" s="29">
        <v>0</v>
      </c>
      <c r="F119" s="26" cm="1">
        <f t="array" ref="F119">IF(C119="مكتملة",0.95,IF(C119="تشطيبات",0.78,IF(C119="كهروميكانيك",0.55,IF(C119="هيكل",0.35,IF(C119="أساسات",0.22,0.12)))))</f>
        <v>0.95</v>
      </c>
      <c r="G119" s="26" cm="1">
        <f t="array" ref="G119">IF(C119="مكتملة",0.96,IF(C119="تشطيبات",0.88,IF(C119="كهروميكانيك",0.72,IF(C119="هيكل",0.44,IF(C119="أساسات",0.2,0.08)))))</f>
        <v>0.96</v>
      </c>
      <c r="H119" t="str" s="27" cm="1">
        <f t="array" ref="H119">IF(AND(C119="مكتملة",E119&lt;=3,F119&gt;=0.9,G119&gt;=0.9),"جاهزة للاستلام الابتدائي",IF(OR(C119="تشطيبات",C119="مكتملة"),"قيد التجهيز","غير جاهزة"))</f>
        <v>جاهزة للاستلام الابتدائي</v>
      </c>
      <c r="I119" s="36">
        <v>46454</v>
      </c>
      <c r="J119" s="36">
        <v>46459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" customHeight="1">
      <c r="A120" s="29">
        <v>116</v>
      </c>
      <c r="B120" t="s" s="28">
        <v>278</v>
      </c>
      <c r="C120" t="s" s="28">
        <v>40</v>
      </c>
      <c r="D120" s="26">
        <v>0.9724</v>
      </c>
      <c r="E120" s="29">
        <v>1</v>
      </c>
      <c r="F120" s="26" cm="1">
        <f t="array" ref="F120">IF(C120="مكتملة",0.95,IF(C120="تشطيبات",0.78,IF(C120="كهروميكانيك",0.55,IF(C120="هيكل",0.35,IF(C120="أساسات",0.22,0.12)))))</f>
        <v>0.95</v>
      </c>
      <c r="G120" s="26" cm="1">
        <f t="array" ref="G120">IF(C120="مكتملة",0.96,IF(C120="تشطيبات",0.88,IF(C120="كهروميكانيك",0.72,IF(C120="هيكل",0.44,IF(C120="أساسات",0.2,0.08)))))</f>
        <v>0.96</v>
      </c>
      <c r="H120" t="str" s="27" cm="1">
        <f t="array" ref="H120">IF(AND(C120="مكتملة",E120&lt;=3,F120&gt;=0.9,G120&gt;=0.9),"جاهزة للاستلام الابتدائي",IF(OR(C120="تشطيبات",C120="مكتملة"),"قيد التجهيز","غير جاهزة"))</f>
        <v>جاهزة للاستلام الابتدائي</v>
      </c>
      <c r="I120" s="36">
        <v>46457</v>
      </c>
      <c r="J120" s="36">
        <v>46456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" customHeight="1">
      <c r="A121" s="29">
        <v>117</v>
      </c>
      <c r="B121" t="s" s="28">
        <v>278</v>
      </c>
      <c r="C121" t="s" s="28">
        <v>40</v>
      </c>
      <c r="D121" s="26">
        <v>0.9655</v>
      </c>
      <c r="E121" s="29">
        <v>1</v>
      </c>
      <c r="F121" s="26" cm="1">
        <f t="array" ref="F121">IF(C121="مكتملة",0.95,IF(C121="تشطيبات",0.78,IF(C121="كهروميكانيك",0.55,IF(C121="هيكل",0.35,IF(C121="أساسات",0.22,0.12)))))</f>
        <v>0.95</v>
      </c>
      <c r="G121" s="26" cm="1">
        <f t="array" ref="G121">IF(C121="مكتملة",0.96,IF(C121="تشطيبات",0.88,IF(C121="كهروميكانيك",0.72,IF(C121="هيكل",0.44,IF(C121="أساسات",0.2,0.08)))))</f>
        <v>0.96</v>
      </c>
      <c r="H121" t="str" s="27" cm="1">
        <f t="array" ref="H121">IF(AND(C121="مكتملة",E121&lt;=3,F121&gt;=0.9,G121&gt;=0.9),"جاهزة للاستلام الابتدائي",IF(OR(C121="تشطيبات",C121="مكتملة"),"قيد التجهيز","غير جاهزة"))</f>
        <v>جاهزة للاستلام الابتدائي</v>
      </c>
      <c r="I121" s="36">
        <v>46460</v>
      </c>
      <c r="J121" s="36">
        <v>46468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" customHeight="1">
      <c r="A122" s="29">
        <v>118</v>
      </c>
      <c r="B122" t="s" s="28">
        <v>278</v>
      </c>
      <c r="C122" t="s" s="28">
        <v>40</v>
      </c>
      <c r="D122" s="26">
        <v>0.9897</v>
      </c>
      <c r="E122" s="29">
        <v>0</v>
      </c>
      <c r="F122" s="26" cm="1">
        <f t="array" ref="F122">IF(C122="مكتملة",0.95,IF(C122="تشطيبات",0.78,IF(C122="كهروميكانيك",0.55,IF(C122="هيكل",0.35,IF(C122="أساسات",0.22,0.12)))))</f>
        <v>0.95</v>
      </c>
      <c r="G122" s="26" cm="1">
        <f t="array" ref="G122">IF(C122="مكتملة",0.96,IF(C122="تشطيبات",0.88,IF(C122="كهروميكانيك",0.72,IF(C122="هيكل",0.44,IF(C122="أساسات",0.2,0.08)))))</f>
        <v>0.96</v>
      </c>
      <c r="H122" t="str" s="27" cm="1">
        <f t="array" ref="H122">IF(AND(C122="مكتملة",E122&lt;=3,F122&gt;=0.9,G122&gt;=0.9),"جاهزة للاستلام الابتدائي",IF(OR(C122="تشطيبات",C122="مكتملة"),"قيد التجهيز","غير جاهزة"))</f>
        <v>جاهزة للاستلام الابتدائي</v>
      </c>
      <c r="I122" s="36">
        <v>46463</v>
      </c>
      <c r="J122" s="36">
        <v>46468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" customHeight="1">
      <c r="A123" s="29">
        <v>119</v>
      </c>
      <c r="B123" t="s" s="28">
        <v>278</v>
      </c>
      <c r="C123" t="s" s="28">
        <v>40</v>
      </c>
      <c r="D123" s="26">
        <v>0.9684</v>
      </c>
      <c r="E123" s="29">
        <v>0</v>
      </c>
      <c r="F123" s="26" cm="1">
        <f t="array" ref="F123">IF(C123="مكتملة",0.95,IF(C123="تشطيبات",0.78,IF(C123="كهروميكانيك",0.55,IF(C123="هيكل",0.35,IF(C123="أساسات",0.22,0.12)))))</f>
        <v>0.95</v>
      </c>
      <c r="G123" s="26" cm="1">
        <f t="array" ref="G123">IF(C123="مكتملة",0.96,IF(C123="تشطيبات",0.88,IF(C123="كهروميكانيك",0.72,IF(C123="هيكل",0.44,IF(C123="أساسات",0.2,0.08)))))</f>
        <v>0.96</v>
      </c>
      <c r="H123" t="str" s="27" cm="1">
        <f t="array" ref="H123">IF(AND(C123="مكتملة",E123&lt;=3,F123&gt;=0.9,G123&gt;=0.9),"جاهزة للاستلام الابتدائي",IF(OR(C123="تشطيبات",C123="مكتملة"),"قيد التجهيز","غير جاهزة"))</f>
        <v>جاهزة للاستلام الابتدائي</v>
      </c>
      <c r="I123" s="36">
        <v>46466</v>
      </c>
      <c r="J123" s="36">
        <v>46477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" customHeight="1">
      <c r="A124" s="29">
        <v>120</v>
      </c>
      <c r="B124" t="s" s="28">
        <v>278</v>
      </c>
      <c r="C124" t="s" s="28">
        <v>40</v>
      </c>
      <c r="D124" s="26">
        <v>0.9739</v>
      </c>
      <c r="E124" s="29">
        <v>0</v>
      </c>
      <c r="F124" s="26" cm="1">
        <f t="array" ref="F124">IF(C124="مكتملة",0.95,IF(C124="تشطيبات",0.78,IF(C124="كهروميكانيك",0.55,IF(C124="هيكل",0.35,IF(C124="أساسات",0.22,0.12)))))</f>
        <v>0.95</v>
      </c>
      <c r="G124" s="26" cm="1">
        <f t="array" ref="G124">IF(C124="مكتملة",0.96,IF(C124="تشطيبات",0.88,IF(C124="كهروميكانيك",0.72,IF(C124="هيكل",0.44,IF(C124="أساسات",0.2,0.08)))))</f>
        <v>0.96</v>
      </c>
      <c r="H124" t="str" s="27" cm="1">
        <f t="array" ref="H124">IF(AND(C124="مكتملة",E124&lt;=3,F124&gt;=0.9,G124&gt;=0.9),"جاهزة للاستلام الابتدائي",IF(OR(C124="تشطيبات",C124="مكتملة"),"قيد التجهيز","غير جاهزة"))</f>
        <v>جاهزة للاستلام الابتدائي</v>
      </c>
      <c r="I124" s="36">
        <v>46469</v>
      </c>
      <c r="J124" s="36">
        <v>46467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</sheetData>
  <mergeCells count="2">
    <mergeCell ref="A1:J1"/>
    <mergeCell ref="A2:J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83333" defaultRowHeight="15" customHeight="1" outlineLevelRow="0" outlineLevelCol="0"/>
  <cols>
    <col min="1" max="6" width="22" style="101" customWidth="1"/>
    <col min="7" max="16384" width="8.85156" style="101" customWidth="1"/>
  </cols>
  <sheetData>
    <row r="1" ht="24" customHeight="1">
      <c r="A1" t="s" s="2">
        <v>1568</v>
      </c>
      <c r="B1" s="6"/>
      <c r="C1" s="7"/>
      <c r="D1" s="7"/>
      <c r="E1" s="7"/>
      <c r="F1" s="7"/>
    </row>
    <row r="2" ht="18" customHeight="1">
      <c r="A2" t="s" s="5">
        <v>1569</v>
      </c>
      <c r="B2" s="6"/>
      <c r="C2" s="7"/>
      <c r="D2" s="7"/>
      <c r="E2" s="7"/>
      <c r="F2" s="7"/>
    </row>
    <row r="3" ht="15" customHeight="1">
      <c r="A3" s="8"/>
      <c r="B3" s="9"/>
      <c r="C3" s="9"/>
      <c r="D3" s="9"/>
      <c r="E3" s="9"/>
      <c r="F3" s="9"/>
    </row>
    <row r="4" ht="20" customHeight="1">
      <c r="A4" t="s" s="14">
        <v>1570</v>
      </c>
      <c r="B4" t="s" s="15">
        <v>1571</v>
      </c>
      <c r="C4" t="s" s="15">
        <v>1572</v>
      </c>
      <c r="D4" t="s" s="15">
        <v>1573</v>
      </c>
      <c r="E4" t="s" s="15">
        <v>1459</v>
      </c>
      <c r="F4" t="s" s="102">
        <v>107</v>
      </c>
    </row>
    <row r="5" ht="16.5" customHeight="1">
      <c r="A5" t="s" s="103">
        <v>291</v>
      </c>
      <c r="B5" t="s" s="103">
        <v>1028</v>
      </c>
      <c r="C5" t="s" s="103">
        <v>1021</v>
      </c>
      <c r="D5" t="s" s="103">
        <v>1567</v>
      </c>
      <c r="E5" t="s" s="103">
        <v>15</v>
      </c>
      <c r="F5" t="s" s="103">
        <v>112</v>
      </c>
    </row>
    <row r="6" ht="16.5" customHeight="1">
      <c r="A6" t="s" s="104">
        <v>318</v>
      </c>
      <c r="B6" t="s" s="104">
        <v>1022</v>
      </c>
      <c r="C6" t="s" s="104">
        <v>1033</v>
      </c>
      <c r="D6" t="s" s="104">
        <v>277</v>
      </c>
      <c r="E6" t="s" s="104">
        <v>1574</v>
      </c>
      <c r="F6" t="s" s="104">
        <v>127</v>
      </c>
    </row>
    <row r="7" ht="16.5" customHeight="1">
      <c r="A7" t="s" s="104">
        <v>507</v>
      </c>
      <c r="B7" s="4"/>
      <c r="C7" t="s" s="104">
        <v>1030</v>
      </c>
      <c r="D7" t="s" s="104">
        <v>44</v>
      </c>
      <c r="E7" t="s" s="104">
        <v>35</v>
      </c>
      <c r="F7" s="4"/>
    </row>
    <row r="8" ht="16.5" customHeight="1">
      <c r="A8" s="4"/>
      <c r="B8" s="4"/>
      <c r="C8" t="s" s="104">
        <v>1060</v>
      </c>
      <c r="D8" t="s" s="104">
        <v>1575</v>
      </c>
      <c r="E8" t="s" s="104">
        <v>1060</v>
      </c>
      <c r="F8" s="4"/>
    </row>
    <row r="9" ht="15" customHeight="1">
      <c r="A9" s="4"/>
      <c r="B9" s="4"/>
      <c r="C9" s="4"/>
      <c r="D9" s="4"/>
      <c r="E9" s="4"/>
      <c r="F9" s="4"/>
    </row>
    <row r="10" ht="15" customHeight="1">
      <c r="A10" s="4"/>
      <c r="B10" s="4"/>
      <c r="C10" s="4"/>
      <c r="D10" s="4"/>
      <c r="E10" s="4"/>
      <c r="F10" s="4"/>
    </row>
  </sheetData>
  <mergeCells count="2">
    <mergeCell ref="A1:F1"/>
    <mergeCell ref="A2:F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