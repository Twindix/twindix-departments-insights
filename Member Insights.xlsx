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over" sheetId="2" r:id="rId6"/>
    <sheet name="Introduction" sheetId="3" r:id="rId7"/>
    <sheet name="Objectives" sheetId="4" r:id="rId8"/>
    <sheet name="Non-Technical Competencies" sheetId="5" r:id="rId9"/>
    <sheet name="Overall Performance Calculation" sheetId="6" r:id="rId10"/>
    <sheet name="Evidence" sheetId="7" r:id="rId11"/>
    <sheet name="V-lookup" sheetId="8" r:id="rId12"/>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<sst xmlns="http://schemas.openxmlformats.org/spreadsheetml/2006/main" uniqueCount="188">
  <si>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</si>
  <si>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</si>
  <si>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</si>
  <si>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</si>
  <si>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t>
  </si>
  <si>
    <t>Table 1</t>
  </si>
  <si>
    <t>إدارة الموارد البشرية</t>
  </si>
  <si>
    <t>نموذج تقييم الأداء</t>
  </si>
  <si>
    <t>الفترة الاولى  من 1-1-2019 وحتى 28-2-2019</t>
  </si>
  <si>
    <t>إسم الموظف:</t>
  </si>
  <si>
    <t>………………………………….</t>
  </si>
  <si>
    <t>المسمي الوظيفي :</t>
  </si>
  <si>
    <t>……………….…………………</t>
  </si>
  <si>
    <t>الإدارة :</t>
  </si>
  <si>
    <t>كود الموظف :</t>
  </si>
  <si>
    <t>مستوى الوظيفة</t>
  </si>
  <si>
    <t>تنفيذى / اشرافى</t>
  </si>
  <si>
    <t>القائم بالتقييم :</t>
  </si>
  <si>
    <t>...........................................</t>
  </si>
  <si>
    <t>المسمي الوظيفي:</t>
  </si>
  <si>
    <t>فترة التقييم:</t>
  </si>
  <si>
    <t>التاريخ:</t>
  </si>
  <si>
    <t>Introduction</t>
  </si>
  <si>
    <t>نظام تقييم الأداء</t>
  </si>
  <si>
    <t>لقد قامت الشركة بإنشاء نظام لتقييم الأداء يهدف إلى رفع الانتاجية وتطوير الاداء وضمان المساواة و الموضوعية في تقييم أداء الموظف لوظيفته تبعاً لمتطلبات الوظيفة  ومقاييسها</t>
  </si>
  <si>
    <t xml:space="preserve">.المديرون مسئولون عن ضمان مراجعة و تسجيل تقييم أداء الموظف تبعا للسياسات الموضوعة </t>
  </si>
  <si>
    <t>إن تقييم الأداء من أفضل وسائل الإتصال التي تساعد علي إعطاء أراء و توجيهات فعالة فيما يخص أداء الموظف مقارنة بمتطلبات الوظيفة وبشكل متوازي  مع إتخاذ قرارات فيما يخص الأتي:</t>
  </si>
  <si>
    <t xml:space="preserve">        *زيادة وضوح الأدوار الوظيفية  وتطوير الاداء إلى الافضل</t>
  </si>
  <si>
    <t xml:space="preserve">        * التدريب والتطوير</t>
  </si>
  <si>
    <t xml:space="preserve">        *  (المزايا المادية)التعويضات والمكافآت</t>
  </si>
  <si>
    <t xml:space="preserve">        *  (الترقيات) التخطيط الوظيفي</t>
  </si>
  <si>
    <t xml:space="preserve">برجاء التكرم بتقييم أداء الموظف بعناية شديدة مع مقارنته بمتطلبات الوظيفة التي يقوم بها. </t>
  </si>
  <si>
    <t>Objectives</t>
  </si>
  <si>
    <r>
      <rPr>
        <b val="1"/>
        <sz val="20"/>
        <color indexed="18"/>
        <rFont val="Times New Roman"/>
      </rPr>
      <t>أولا / الاداء الفنى - المرتبط بالاهداف</t>
    </r>
    <r>
      <rPr>
        <b val="1"/>
        <sz val="18"/>
        <color indexed="18"/>
        <rFont val="Times New Roman"/>
      </rPr>
      <t xml:space="preserve">
</t>
    </r>
    <r>
      <rPr>
        <b val="1"/>
        <sz val="18"/>
        <color indexed="18"/>
        <rFont val="Times New Roman"/>
      </rPr>
      <t>(70%)</t>
    </r>
  </si>
  <si>
    <t xml:space="preserve">بناءاً علي الأهداف السنوية المحددة مسبقاً بين الموظف و رئيسه المباشر في بداية فترة التقييم </t>
  </si>
  <si>
    <t>م</t>
  </si>
  <si>
    <t>مؤشر الاداء</t>
  </si>
  <si>
    <t>معادلة القياس</t>
  </si>
  <si>
    <t>المستهدف للفترة</t>
  </si>
  <si>
    <t>الوزن النسبى</t>
  </si>
  <si>
    <t>الآداء الفعلى</t>
  </si>
  <si>
    <t>الفعلى \ المقدار</t>
  </si>
  <si>
    <t>ملاحظات حول البند</t>
  </si>
  <si>
    <t>معدل المتابعات الدورية 
مستهدف 4 متابعات لكل بروكر شهرى )</t>
  </si>
  <si>
    <t>عدد المتابعات المنفذة لكل بروكر * عدد البروكر  / عدد المتابعات المخططة لكل بروكر *عدد البروكر</t>
  </si>
  <si>
    <t>موجود 35 شركة 
مستهدف مارس 10 شركات 
تم  انتظار ل3 
جارى وضع الية لقياس المتابعات وتوثيقها</t>
  </si>
  <si>
    <t>معدل تنفيذ الانشطة والزيارات الخاصة بالبروكر 
(مستهدف زيارة لكل بروكر شهرى )</t>
  </si>
  <si>
    <t>عدد الزيارات للشركات او الانشطة المنفذة / عدد الزيارات المخططة</t>
  </si>
  <si>
    <t>معدل الزيارات
( مستهدف 2زيارة من كل بروكر  شهريا )</t>
  </si>
  <si>
    <t>عدد الزيارات الفعلية /عدد الزيارات المخططة</t>
  </si>
  <si>
    <t>معدل العقود</t>
  </si>
  <si>
    <t>عدد العقود / عدد الحجوزات</t>
  </si>
  <si>
    <t>محيد</t>
  </si>
  <si>
    <t>معدل العقود للزيارات
معدل تحويل 10 %</t>
  </si>
  <si>
    <t>عدد العقود / اجمالى عدد  الزيارات</t>
  </si>
  <si>
    <t>نسبة التارجت المحقق بالجنيه
مستهدف 2 عقد من القاهرة - مستهدف 2 محافظات)</t>
  </si>
  <si>
    <t xml:space="preserve">قيمة المحقق من المبيعات بالجنيه /جمالى المستهدف البيعى </t>
  </si>
  <si>
    <t xml:space="preserve">معدل التقارير الدورية </t>
  </si>
  <si>
    <t>عدد التقارير المقدمة فى الوقت المخطط وبالدقة المطلوبة / عدد التقارير المخطط تقديمها (  وفقا للوقت والدقة)</t>
  </si>
  <si>
    <t>تقرير بروكر القاهرة
تقرير عرض شهر 3
تقرير زيارة المنصورة</t>
  </si>
  <si>
    <t xml:space="preserve">معدل الالتزام بالسياسة المالية </t>
  </si>
  <si>
    <t>أجمالى متوسط الالتزام بالسياسة المالية لكل عقد منفذ</t>
  </si>
  <si>
    <t>إجمالي النسبة النهائية</t>
  </si>
  <si>
    <t>Non-Technical Competencies</t>
  </si>
  <si>
    <t>ثانيا /الجدارات
(20%)</t>
  </si>
  <si>
    <t>الدرجة</t>
  </si>
  <si>
    <t>النسبة</t>
  </si>
  <si>
    <t>الوصف</t>
  </si>
  <si>
    <t>مميز وكفء</t>
  </si>
  <si>
    <t>يساوى أواعلى من 100%</t>
  </si>
  <si>
    <t>يتجاوز أحيانًا متطلبات/الجدارات
وتنطبق عليه كافة عناصر الجدارات</t>
  </si>
  <si>
    <t>* اعرف معنى كل تقدير من التقديرات  
  الموجودة 
* اقرا كل بند من بنود كل جدارة جيدا
* اعطى التقدير التذى يتناسب بدقة مع 
    مستوى الموظف
* فى حالة عدم توافر بند من بنود احد 
   الجدارات ضع امامها علامة 
* اكتب بملاحظاتك حول كل جدارة إن وجدت</t>
  </si>
  <si>
    <t>فعال</t>
  </si>
  <si>
    <t>من 90% إلى 99%</t>
  </si>
  <si>
    <t xml:space="preserve">يفي بمتطلبات الجدارات
وتنطبق عليه كافة عناصر الجدارات ولكن من الممكن الضعف فى بند موجود ولكن سلوكه يظهر دائما بشكل مرضٍ وعلى النحو المتوقع
</t>
  </si>
  <si>
    <t>جيد</t>
  </si>
  <si>
    <t>من 80% إلى 89 %</t>
  </si>
  <si>
    <t xml:space="preserve">يقترب من تحقيق متطلبات الجدارات:
ولا ينطبق عليه بندواحد  او الضعف فى بندين او اكثرويحتاج إلى زيادة الجهد </t>
  </si>
  <si>
    <t>مقبول</t>
  </si>
  <si>
    <t>من 70% إلى 79%</t>
  </si>
  <si>
    <t xml:space="preserve">يعجز أحيانًا عن الوفاء بمتطلبات الجدارات:
ولا ينطبق عليه بندين أو اكثر او الضعف فى 3 بنود 
جاء أداء الموظف أقل من التوقعات المتفق عليها، ولم يفى ببعض متطلبات الجدارات </t>
  </si>
  <si>
    <t>غير مرض</t>
  </si>
  <si>
    <t>من 60% إلى 69%</t>
  </si>
  <si>
    <t xml:space="preserve">يعجز بصفة دائمة عن الوفاء بمتطلبات الجدارات
جدارات  الموظف ككل غير مقبولة بوجه عام ويحتاج للتحسين الفوري. ونتيجة لذلك جاءت كل إسهاماته أقل من التوقعات بدرجة كبيرة.
</t>
  </si>
  <si>
    <t>ضعيف</t>
  </si>
  <si>
    <t>أقل من 60%</t>
  </si>
  <si>
    <t>لا تنطبق عليه الجدارات المطلوبة ويحتاج إلى حل سريع</t>
  </si>
  <si>
    <t>نقاط الجدارات</t>
  </si>
  <si>
    <t>الجدارات الأساسية</t>
  </si>
  <si>
    <t>تعريف مستوى الجدارات
(مؤشرات السلوك)</t>
  </si>
  <si>
    <t>النسبة
"تحسب تلقائياً"</t>
  </si>
  <si>
    <t>م.ك</t>
  </si>
  <si>
    <t>الدرجة الفعلية</t>
  </si>
  <si>
    <t>التواصل و التعاون</t>
  </si>
  <si>
    <r>
      <rPr>
        <sz val="10"/>
        <color indexed="8"/>
        <rFont val="Times New Roman"/>
      </rPr>
      <t xml:space="preserve"> يطلب مشاركة الأخرين 
</t>
    </r>
    <r>
      <rPr>
        <sz val="10"/>
        <color indexed="8"/>
        <rFont val="Times New Roman"/>
      </rPr>
      <t xml:space="preserve">
</t>
    </r>
    <r>
      <rPr>
        <sz val="10"/>
        <color indexed="8"/>
        <rFont val="Times New Roman"/>
      </rPr>
      <t xml:space="preserve"> يشاورهم و يبادر بالتواصل مع الأخرين
</t>
    </r>
    <r>
      <rPr>
        <sz val="10"/>
        <color indexed="8"/>
        <rFont val="Times New Roman"/>
      </rPr>
      <t xml:space="preserve">
</t>
    </r>
    <r>
      <rPr>
        <sz val="10"/>
        <color indexed="8"/>
        <rFont val="Times New Roman"/>
      </rPr>
      <t xml:space="preserve">يتناقش في وجهات نظر متعددة بوضوح و بطريقة بنائه
</t>
    </r>
    <r>
      <rPr>
        <sz val="10"/>
        <color indexed="8"/>
        <rFont val="Times New Roman"/>
      </rPr>
      <t xml:space="preserve">
</t>
    </r>
    <r>
      <rPr>
        <sz val="10"/>
        <color indexed="8"/>
        <rFont val="Times New Roman"/>
      </rPr>
      <t xml:space="preserve">يعرض و يوصل المعلومات و المعرفة لمجموعة من الناس
</t>
    </r>
    <r>
      <rPr>
        <sz val="10"/>
        <color indexed="8"/>
        <rFont val="Times New Roman"/>
      </rPr>
      <t xml:space="preserve">
</t>
    </r>
    <r>
      <rPr>
        <sz val="10"/>
        <color indexed="8"/>
        <rFont val="Times New Roman"/>
      </rPr>
      <t xml:space="preserve">يلتزم بوعوده  للعميل 
</t>
    </r>
    <r>
      <rPr>
        <sz val="10"/>
        <color indexed="8"/>
        <rFont val="Times New Roman"/>
      </rPr>
      <t xml:space="preserve">
</t>
    </r>
    <r>
      <rPr>
        <sz val="10"/>
        <color indexed="8"/>
        <rFont val="Times New Roman"/>
      </rPr>
      <t xml:space="preserve">يفهم أولويات الفريق و يكيف مهامة تبعاً لذلك
</t>
    </r>
    <r>
      <rPr>
        <sz val="10"/>
        <color indexed="8"/>
        <rFont val="Times New Roman"/>
      </rPr>
      <t xml:space="preserve">
</t>
    </r>
    <r>
      <rPr>
        <sz val="10"/>
        <color indexed="8"/>
        <rFont val="Times New Roman"/>
      </rPr>
      <t xml:space="preserve">ينمي أهداف الفريق أكثر من أهدافه
</t>
    </r>
    <r>
      <rPr>
        <sz val="10"/>
        <color indexed="8"/>
        <rFont val="Times New Roman"/>
      </rPr>
      <t xml:space="preserve">
</t>
    </r>
    <r>
      <rPr>
        <sz val="10"/>
        <color indexed="8"/>
        <rFont val="Times New Roman"/>
      </rPr>
      <t xml:space="preserve">يحافظ على السلوك الإيجابي لفريق العمل في الأوقات العصيبة
</t>
    </r>
    <r>
      <rPr>
        <sz val="10"/>
        <color indexed="8"/>
        <rFont val="Times New Roman"/>
      </rPr>
      <t xml:space="preserve">
</t>
    </r>
    <r>
      <rPr>
        <sz val="10"/>
        <color indexed="8"/>
        <rFont val="Times New Roman"/>
      </rPr>
      <t xml:space="preserve">يظهر الإلتزام للمنظمة و أهدافها و قيمها
</t>
    </r>
    <r>
      <rPr>
        <sz val="10"/>
        <color indexed="8"/>
        <rFont val="Times New Roman"/>
      </rPr>
      <t xml:space="preserve">
</t>
    </r>
    <r>
      <rPr>
        <sz val="10"/>
        <color indexed="8"/>
        <rFont val="Times New Roman"/>
      </rPr>
      <t xml:space="preserve">يفهم و يراعي متطلبات وظيفته
</t>
    </r>
    <r>
      <rPr>
        <sz val="10"/>
        <color indexed="8"/>
        <rFont val="Times New Roman"/>
      </rPr>
      <t xml:space="preserve">
</t>
    </r>
    <r>
      <rPr>
        <sz val="10"/>
        <color indexed="8"/>
        <rFont val="Times New Roman"/>
      </rPr>
      <t xml:space="preserve">
</t>
    </r>
    <r>
      <rPr>
        <sz val="10"/>
        <color indexed="8"/>
        <rFont val="Times New Roman"/>
      </rPr>
      <t xml:space="preserve">
</t>
    </r>
  </si>
  <si>
    <t>المثابرة وتحقيق الانجازات</t>
  </si>
  <si>
    <r>
      <rPr>
        <sz val="10"/>
        <color indexed="8"/>
        <rFont val="Times New Roman"/>
      </rPr>
      <t xml:space="preserve"> دائما يعمل علي انجاز مهامه وأهدافه بغض النظر عن الصعاب التي قد يواجهها
</t>
    </r>
    <r>
      <rPr>
        <sz val="10"/>
        <color indexed="8"/>
        <rFont val="Times New Roman"/>
      </rPr>
      <t xml:space="preserve">
</t>
    </r>
    <r>
      <rPr>
        <sz val="10"/>
        <color indexed="8"/>
        <rFont val="Times New Roman"/>
      </rPr>
      <t xml:space="preserve"> يتحمل المسؤوليه تجاه عمله ونتائجه ويطلب التعليق عليه
</t>
    </r>
    <r>
      <rPr>
        <sz val="10"/>
        <color indexed="8"/>
        <rFont val="Times New Roman"/>
      </rPr>
      <t xml:space="preserve">
</t>
    </r>
    <r>
      <rPr>
        <sz val="10"/>
        <color indexed="8"/>
        <rFont val="Times New Roman"/>
      </rPr>
      <t xml:space="preserve">دائما يعمل علي تحسين نتائج عمله
</t>
    </r>
    <r>
      <rPr>
        <sz val="10"/>
        <color indexed="8"/>
        <rFont val="Times New Roman"/>
      </rPr>
      <t xml:space="preserve">
</t>
    </r>
    <r>
      <rPr>
        <sz val="10"/>
        <color indexed="8"/>
        <rFont val="Times New Roman"/>
      </rPr>
      <t xml:space="preserve">يسعى ويطلب التوجيه من المشرفين عند مواجهة الصعاب فى العمل
</t>
    </r>
    <r>
      <rPr>
        <sz val="10"/>
        <color indexed="8"/>
        <rFont val="Times New Roman"/>
      </rPr>
      <t xml:space="preserve">
</t>
    </r>
    <r>
      <rPr>
        <sz val="10"/>
        <color indexed="8"/>
        <rFont val="Times New Roman"/>
      </rPr>
      <t>يستكشف كل السبل الممكنة مع كل الأطراف فى العمل فى ضوء سلطاته</t>
    </r>
  </si>
  <si>
    <t>الاهتمام بالعميل</t>
  </si>
  <si>
    <r>
      <rPr>
        <sz val="10"/>
        <color indexed="8"/>
        <rFont val="Times New Roman"/>
      </rPr>
      <t xml:space="preserve"> يلتزم ويهتم بشؤون العميل.
</t>
    </r>
    <r>
      <rPr>
        <sz val="10"/>
        <color indexed="8"/>
        <rFont val="Times New Roman"/>
      </rPr>
      <t xml:space="preserve">
</t>
    </r>
    <r>
      <rPr>
        <sz val="10"/>
        <color indexed="8"/>
        <rFont val="Times New Roman"/>
      </rPr>
      <t xml:space="preserve">  يحدد متطلبات العميل وتوقعاته.
</t>
    </r>
    <r>
      <rPr>
        <sz val="10"/>
        <color indexed="8"/>
        <rFont val="Times New Roman"/>
      </rPr>
      <t xml:space="preserve">
</t>
    </r>
    <r>
      <rPr>
        <sz val="10"/>
        <color indexed="8"/>
        <rFont val="Times New Roman"/>
      </rPr>
      <t xml:space="preserve">يوضح المزايا للعميل
</t>
    </r>
    <r>
      <rPr>
        <sz val="10"/>
        <color indexed="8"/>
        <rFont val="Times New Roman"/>
      </rPr>
      <t xml:space="preserve">
</t>
    </r>
    <r>
      <rPr>
        <sz val="10"/>
        <color indexed="8"/>
        <rFont val="Times New Roman"/>
      </rPr>
      <t xml:space="preserve">يتفهم العميل وموقفه
</t>
    </r>
    <r>
      <rPr>
        <sz val="10"/>
        <color indexed="8"/>
        <rFont val="Times New Roman"/>
      </rPr>
      <t xml:space="preserve">
</t>
    </r>
    <r>
      <rPr>
        <sz val="10"/>
        <color indexed="8"/>
        <rFont val="Times New Roman"/>
      </rPr>
      <t xml:space="preserve"> يتقبل رد فعل العميل بطريقة ايجابية ويظهر الاستعداد لحل مشاكله.
</t>
    </r>
    <r>
      <rPr>
        <sz val="10"/>
        <color indexed="8"/>
        <rFont val="Times New Roman"/>
      </rPr>
      <t xml:space="preserve">
</t>
    </r>
    <r>
      <rPr>
        <sz val="10"/>
        <color indexed="8"/>
        <rFont val="Times New Roman"/>
      </rPr>
      <t xml:space="preserve"> يلاحظ مشاكل وطلبات العميل ويستجيب لها فى اطار مسؤولياته</t>
    </r>
  </si>
  <si>
    <t>الكود</t>
  </si>
  <si>
    <t>الجدارات الفنية</t>
  </si>
  <si>
    <t>أ.ف</t>
  </si>
  <si>
    <r>
      <rPr>
        <b val="1"/>
        <sz val="12"/>
        <color indexed="23"/>
        <rFont val="Times New Roman"/>
      </rPr>
      <t>التفكير التجاري</t>
    </r>
  </si>
  <si>
    <r>
      <rPr>
        <sz val="10"/>
        <color indexed="8"/>
        <rFont val="Times New Roman"/>
      </rPr>
      <t xml:space="preserve">يتفهم العلاقة بين وظفيته وتأثيره علي الشركة في السوق
</t>
    </r>
    <r>
      <rPr>
        <sz val="10"/>
        <color indexed="8"/>
        <rFont val="Times New Roman"/>
      </rPr>
      <t xml:space="preserve">
</t>
    </r>
    <r>
      <rPr>
        <sz val="10"/>
        <color indexed="8"/>
        <rFont val="Times New Roman"/>
      </rPr>
      <t xml:space="preserve">يستخدم معلوماته وخبرته لعمله كما يوجهه مشرفه
</t>
    </r>
    <r>
      <rPr>
        <sz val="10"/>
        <color indexed="8"/>
        <rFont val="Times New Roman"/>
      </rPr>
      <t xml:space="preserve">
</t>
    </r>
    <r>
      <rPr>
        <sz val="10"/>
        <color indexed="8"/>
        <rFont val="Times New Roman"/>
      </rPr>
      <t xml:space="preserve">يتقبل الأفكار الجديدة التي تفيد عمله.
</t>
    </r>
    <r>
      <rPr>
        <sz val="10"/>
        <color indexed="8"/>
        <rFont val="Times New Roman"/>
      </rPr>
      <t xml:space="preserve">
</t>
    </r>
    <r>
      <rPr>
        <sz val="10"/>
        <color indexed="8"/>
        <rFont val="Times New Roman"/>
      </rPr>
      <t xml:space="preserve">يحرص علي الاستخدام الامثل للموارد في العمل
</t>
    </r>
    <r>
      <rPr>
        <sz val="10"/>
        <color indexed="8"/>
        <rFont val="Times New Roman"/>
      </rPr>
      <t xml:space="preserve">
</t>
    </r>
    <r>
      <rPr>
        <sz val="10"/>
        <color indexed="8"/>
        <rFont val="Times New Roman"/>
      </rPr>
      <t xml:space="preserve">يتجنب اهدار الموارد في عمله
</t>
    </r>
    <r>
      <rPr>
        <sz val="10"/>
        <color indexed="8"/>
        <rFont val="Times New Roman"/>
      </rPr>
      <t xml:space="preserve">
</t>
    </r>
    <r>
      <rPr>
        <sz val="10"/>
        <color indexed="8"/>
        <rFont val="Times New Roman"/>
      </rPr>
      <t xml:space="preserve">يعرض بدائل متعددة للأخرين
</t>
    </r>
    <r>
      <rPr>
        <sz val="10"/>
        <color indexed="8"/>
        <rFont val="Times New Roman"/>
      </rPr>
      <t xml:space="preserve">
</t>
    </r>
    <r>
      <rPr>
        <sz val="10"/>
        <color indexed="8"/>
        <rFont val="Times New Roman"/>
      </rPr>
      <t>يبدأ علاقات مع العملاء والموردين طبقا لحاجة العمل</t>
    </r>
  </si>
  <si>
    <t>الجدارات الاساسية</t>
  </si>
  <si>
    <t>الجدارات التخصية</t>
  </si>
  <si>
    <t>الجدارات القيادية</t>
  </si>
  <si>
    <t>التواصل والتعاون</t>
  </si>
  <si>
    <t>النسبة النهائية للجدارات:</t>
  </si>
  <si>
    <t>ملاحظات (القائم بالتقييم)</t>
  </si>
  <si>
    <t>توقيع القائم بالتقييم</t>
  </si>
  <si>
    <t>توقيع الموظف</t>
  </si>
  <si>
    <t xml:space="preserve">اعتماد مدير الادارة </t>
  </si>
  <si>
    <t>Overall Performance Calculation</t>
  </si>
  <si>
    <t xml:space="preserve">نتيجة إجمالي الأداء </t>
  </si>
  <si>
    <t>المحور</t>
  </si>
  <si>
    <t>الجدارات</t>
  </si>
  <si>
    <t>الانتاجية وفقا للمؤشرات</t>
  </si>
  <si>
    <t xml:space="preserve">الالتزام  الادارى 
يحسب بمعرفة الموارد البشرية </t>
  </si>
  <si>
    <t>إجمالي النسبة</t>
  </si>
  <si>
    <t>التقدير العام</t>
  </si>
  <si>
    <t>الدرجة العظمى</t>
  </si>
  <si>
    <t>النسبة الفعلية النهائية</t>
  </si>
  <si>
    <t>يتم النظر إلى كل محور على حدى فيجب ان يصاحب ارتفاع الانتاجية ايضا ارتفاع نسبة الجدارات وايضا نسبة الالتزام الادارى ( والعكس الصحيح )</t>
  </si>
  <si>
    <t xml:space="preserve">مواطن القوة عند الموظف </t>
  </si>
  <si>
    <t>..........................................................................................................................................................................................................................................................................................</t>
  </si>
  <si>
    <t xml:space="preserve">مواطن الضعف التي تحتاج إلي تنمية </t>
  </si>
  <si>
    <t>الاقتراحات الفرص المتاحة لتحسين وتطوير الأداء (تملأ بمعرفة القائم بالتقييم )</t>
  </si>
  <si>
    <t>الاقتراحات الفرص المتاحة لتحسين وتطوير الأداء (تملأ بمعرفة الموظف )</t>
  </si>
  <si>
    <t>ملاحظات (الموظف)</t>
  </si>
  <si>
    <t>Evidence</t>
  </si>
  <si>
    <t>التفسير و المررات
(للحاصلين على "متميز" أو "ضعيف" )</t>
  </si>
  <si>
    <r>
      <rPr>
        <b val="1"/>
        <sz val="14"/>
        <color indexed="8"/>
        <rFont val="Tahoma"/>
      </rPr>
      <t xml:space="preserve">متميز </t>
    </r>
    <r>
      <rPr>
        <sz val="24"/>
        <color indexed="8"/>
        <rFont val="Wingdings 2"/>
      </rPr>
      <t>*</t>
    </r>
  </si>
  <si>
    <r>
      <rPr>
        <b val="1"/>
        <sz val="14"/>
        <color indexed="8"/>
        <rFont val="Tahoma"/>
      </rPr>
      <t xml:space="preserve">ضعيف جدا  </t>
    </r>
    <r>
      <rPr>
        <sz val="24"/>
        <color indexed="8"/>
        <rFont val="Wingdings 2"/>
      </rPr>
      <t>*</t>
    </r>
  </si>
  <si>
    <t>V-lookup</t>
  </si>
  <si>
    <t xml:space="preserve"> الاهتمام بالعميل</t>
  </si>
  <si>
    <t>الإستماع للأخرين و التواصل الفعال معهم بطريقة تضمن التعاون مع أفراد فريق العمل للوصول إلى نتائج تفيد الصالح العام و الخاص. الاحساس بالانتماء والولاء للشركة والعمل في هذا الاطار</t>
  </si>
  <si>
    <t>دائما يعمل علي تحقيق أهدافه بغض النظر عن الصعاب التي قد يواجهها. لا تثبط العوائق من عزيمته. يحرص علي التغلب علي التحديات التي قد تؤثر علي انجاز الأهداف</t>
  </si>
  <si>
    <t>يسعي للتأكد من رضا العميل من خلال التفهم  والوفاء بطلبات العميل مع القدرةعلي التكيف لتصميم الخدمات التي تقدمها الشركة بما يناسب العميل</t>
  </si>
  <si>
    <t xml:space="preserve">  يظهر الإهتمام بالأخرين و يستمع لهم بحيادية دون مقاطعة
يتواصل بوضوح سواء كتابياً أو  شفهياً
ييلتزم باجراءات العمل وسئولياته
يعرف دوره في فريق العمل و يعرف كيف يؤثر دوره على أهداف فريق العمل
مستعد لإعطاء المساعدة للأخرين 
 يعمل بطريقة تعاونية لا تنافسية
 يبدي النزاهة و الأداب المهنية الواضحة في العمل
يلتزم و يتحمل مسؤلية مهماته
</t>
  </si>
  <si>
    <t xml:space="preserve"> يعي دوره ومسئولياته تجاه نتائج عمله
يقوم بتنفيذ الأعمال الموكلة اليه بالرغم من بعض العقبات البسيطة التي يمكن أن يواجهها
يبدي رأيه فى الحوارات من أجل توضيح وجهة نظره</t>
  </si>
  <si>
    <t>يفهم اهمية العميل بالنسبة للشركة وحتى وان لم يتعامل مع العميل بصورة مباشرة
يستجيب بسرعة للاعمال الغير مباشرة المرسلة له والتى تتعلق بالعملاء 
 يتعامل مع العميل باحترام فى حالة التعامل المباشر
يستمع للعميل وينصت له باهتمام ويستجيب اليه بطريقة ودية
يفهم متطلبات العميل</t>
  </si>
  <si>
    <t xml:space="preserve"> يطلب مشاركة الأخرين 
 يشاورهم و يبادر بالتواصل مع الأخرين
يتناقش في وجهات نظر متعددة بوضوح و بطريقة بنائه
يعرض و يوصل المعلومات و المعرفة لمجموعة من الناس
يلتزم بوعوده  للعميل 
يفهم أولويات الفريق و يكيف مهامة تبعاً لذلك
ينمي أهداف الفريق أكثر من أهدافه
يحافظ على السلوك الإيجابي لفريق العمل في الأوقات العصيبة
يظهر الإلتزام للمنظمة و أهدافها و قيمها
يفهم و يراعي متطلبات وظيفته
</t>
  </si>
  <si>
    <t xml:space="preserve"> دائما يعمل علي انجاز مهامه وأهدافه بغض النظر عن الصعاب التي قد يواجهها
 يتحمل المسؤوليه تجاه عمله ونتائجه ويطلب التعليق عليه
دائما يعمل علي تحسين نتائج عمله
يسعى ويطلب التوجيه من المشرفين عند مواجهة الصعاب فى العمل
يستكشف كل السبل الممكنة مع كل الأطراف فى العمل فى ضوء سلطاته</t>
  </si>
  <si>
    <t xml:space="preserve"> يلتزم ويهتم بشؤون العميل.
  يحدد متطلبات العميل وتوقعاته.
يوضح المزايا للعميل
يتفهم العميل وموقفه
 يتقبل رد فعل العميل بطريقة ايجابية ويظهر الاستعداد لحل مشاكله.
 يلاحظ مشاكل وطلبات العميل ويستجيب لها فى اطار مسؤولياته</t>
  </si>
  <si>
    <t>يأخذ أراء الأخرين في الإعتبار عندما يتواصل أو يتفاوض أو يعرض نقاط الإختلاف (مثلاً: يستطيع إستعراض مزايا من وجهات نظر مختلفة)
يحافظ على التواصل الثنائي الإتجاه مع الناس المختلفة عندما يقوم بحل المشاكل المختلفة
 يتكيف في إسلوب تعامله بما يوائم الموقف
 يرد على و يناقش الإستفسارات و المواضيع بطريقة تشجع الأخرين على المشاركة من غير إتخاذ موقف دفاعي أو التعدي على كرامة الأخرين
يقدم للاخرين يد العون لمساعدتهم في الالتزام بوعودهم
يرعى روح الفريق و التعاون بداخل الفريق
يستخدم مهارات تواصل شخصية فعالة 
 يغير إسلوبه بنائاً على متطلبات أعضاء فريق العمل
يتفهم مشاكل أعضاء الفريق و مدى تأثير هذه المشاكل عليهم 
لا يقبل العمل أو النتائج التي تنتهك قيم الشركة
يوجه الأخرين و يساعدهم لإبقائهم ملتزمين لقيم و أهداف الشركة
يظهر قيم الشركة في كل تعاملاته المهنية
لديه قناعة و إحساس بالإنتماء للشركة</t>
  </si>
  <si>
    <t xml:space="preserve">يبدى حس الملكية لأهداف الفريق ككل وليس أهدافه فقط. 
يقوم بتحقيق أهداف الفريق آخذا أهداف الادارة ككل فى الاعتبار
يركز علي الأهداف ويبحث عن طرق وحلول بديلة للتغلب علي عقبات كبيرة فى العمل
يتعامل بمرونة عند مواجهة المشاكل  والعقبات فى العمل.
يعمل بمستوى من الجهد والاتساق والمرونة فى المحادثات والتفاوضات الطويلة ولا يفقد الأمل فى اقناع الآخرين بما يفيد الشركة ويفيدهم
</t>
  </si>
  <si>
    <t>يبني ثقة و رابطة مع العميل 
يلتزم بالوعود للعميل
يحدد طرق للحفاظ والبقاء علي العميل
 يبقي علي الاتصال المستمر مع العميل
 يتشارك المعلومات الخاصة بالعميل معه ويوفر له خيارات مختلفة لطلبه أو مشكلته
يتشارك المعلومات بطريقة استباقية ويبادر بأفعال تناسب متطلباته</t>
  </si>
  <si>
    <t>يقوم بتوصيل  المعاومات الخاصة بمواضيع و قضايا معقدة بطريقة واضحة و بمصداقية مع مجموعات مختلفة من الناس
يقوم بتقويم مشاكل التواصل
  يستخدم أليلت و مناهج تواصل مختلفة لتعزيز مفهوم الحوار و التفاهم المشترك لتقليص مشاكل التواصل 
يحث فريقه علي الالتزام بالوعود ويوجههم في ذلك
 يشجع الأخرين على مشاركة خبرتهم و معلوماتهم و أفضل طرق و أساليب العمل مع باقي الفريق
يقوم بتنسيق و تيسير التفاهم  في الفريق 
يستخدم المنطق و الحجة بطريقة مقنعة في تفسير قيمة الأفعال التي يقوم بها
يستخدم و يبتكر أدوات و مناهج لرفع قيمة العمل الجماعي و تكامل الفريق لتحقيق الإنسجام و النوافق و المشاركة في الفريق
ينصح الأخرين في الحفاظ على تعاملات مهنية عادلة و متناسقة مع الأخرين و خلال التعامل مع المعضلات الأخلاقية 
يمثل قدوة للأخرين في تمثيل قيم الشركة
ينمي إحساس الولاء للشركة
يضع أهداف الشركة و مصالحها قبل أهدافه و مصالحة</t>
  </si>
  <si>
    <t>يلتزم بتحقيق أهدافه وأهداف الفريق من خلال نجاح الشركة ككل
يتأكد أن الفريق دائما يعمل علي تحقيق أهدافه
 يوجه وينصح فريقه من أجل التركيز علي أهداف الادارة
يكون مثل يحتذى به فى المثابرة من أجل التغلب علي مواقف التحدي والصعاب التي قد تواجه الفريق
يبدأ اجتماعات المحادثات والمفاوضات ويتفاوض مع اطراف العمل ويعيد توجيه مسارات الحوار عند الابتعاد عنها
يستطيع انهاء المفاوضات بما يفيد العمل مع اقتناع اطراف العمل الآخرين</t>
  </si>
  <si>
    <t xml:space="preserve"> يراقب ويعمل علي مقاييس لارضاء العميل ويتناول شكاوي العميل بجدية
 ينشئ وينمي قنوات الاتصال مع العملاء الأساسيين.
يحدد طرق لاضافة قيمة للعميل.
 يحل المشاكل المتضاربة مع العميل بسبل مترابحة للجانبين
يراقب رضا العملاء باستمرار من خلال الاتصال المستمر معه و يعالج مشاكله بسرعة.
يحل مشاكل العملاء المصعدة له
يقترح طرق مصمة خصيصا للعميل لتوفير خدمات الشركة التي توفي خدماته 
 </t>
  </si>
  <si>
    <t xml:space="preserve"> يتواصل لتحقيق أهداف محددة (مثلا: يأخذ في عين الإعتبار جوانب مثل أفضل رسالة للعرض, و التوقيت و الإسلوب)
يظهر قدرة على الخطابة العامة للمجموعات الكبيرة و المجموعات المكونة من مدراء و رؤساء قطاعات
يطور و يرعى نظم تقدر التواصل الفعال الغير مقيد 
يكون مثال يحتذي به في الالتزام بالوعود امام الموظفين والعاملين الموردين
يطور فرق قوية تستفيد من إختلافات في المهارات و الجدارات و الخبرات السابقة و ينشئ التعاون بينهم
يقوم بتيسير التعاون عبر المنظمة و المنظمات المختلفة لتحقيق هدف مشترك
يشارك في وضع قيم الشركة
يرعى ثقافة شركة تقوي و تدعم الإحساس بالولاء و المسئولية
يشجع المسئولية الشخصية و مسؤلية المنظمة تجاه قيم و أهداف الشركة</t>
  </si>
  <si>
    <t xml:space="preserve"> يعمل بالتنسيق مع باقي الادارات من أجل تحقيق أهداف الشركة ككل
 يتبني ثقافة المثابرة وتحقيق الانجازات
 يتعامل مع التحديات التي تواجهها الشركة بطريقة ايجابية 
لا يري هذه التحديات كفشل ولكن  كتجربة وخبرة تتعلم منها الشركة
يؤثر علي قرارات العميل أو اطراف العمل بما يفيد الشركة من خلال المفاوضات
</t>
  </si>
  <si>
    <t>ينمي نظم لتقييم وزيادة رضا العميل
يبني خطط لعلاقات العملاء
 يدير العلاقات مع العملاء الممتازين الذين يؤثرون علي تحقيق اهداف الشركة و سمعتها في السوق
 يبني شبكات اتصال وعلاقات  مفيدة للعمل
يبني ويرعى الصورة العامة للشركة بالنسبة لعملائها الحاليين والمحتملين
يعدل خطط العمل بما يناسب التغيرات فى متطلبات العملاء والسلوك فى السوق</t>
  </si>
  <si>
    <t>جدارات المجموعة التجارية</t>
  </si>
  <si>
    <t>التفكير التجاري</t>
  </si>
  <si>
    <t>يتفهم طبيعة العمل في المجال الخاص بالشاركة ويفكر في افكار جديدة ويسعي الي فرص جديدة في العامل. يقبل التفاوض</t>
  </si>
  <si>
    <t>يفهم السوق ومتطلباته في نطاق وظيفته
يطلب العون من مشرفه في المواقف الجديدة
يحمي الموارد التي يستخدمها اثناء عمله
يتقبل مبدأ التفاوض</t>
  </si>
  <si>
    <t>يتفهم العلاقة بين وظفيته وتأثيره علي الشركة في السوق
يستخدم معلوماته وخبرته لعمله كما يوجهه مشرفه
يتقبل الأفكار الجديدة التي تفيد عمله.
يحرص علي الاستخدام الامثل للموارد في العمل
يتجنب اهدار الموارد في عمله
يعرض بدائل متعددة للأخرين
يبدأ علاقات مع العملاء والموردين طبقا لحاجة العمل</t>
  </si>
  <si>
    <t>يبدي الوعي بالفرص والعروض التي تقدمه الشركة
يستخدم خبرته السابقة لخلق أفكار جديدة من أجل العمل
يستخدم طرق اكثر فاعلية في استخدام الموارد للفريق
يؤثر علي مجال الحوار وتغييره من أجل مصلحة العمل
يتقبل أراء الأخرين ولا يصمم علي فكرته</t>
  </si>
  <si>
    <t>يعرف الاشخاص والعلاقات الملوبة التي تفيد العمل
يشجع الأخرين لبناء علاقات من أجل العمل
يشارك خبرته ومعلوماته مع بقية اعضاء الفريق.
يحدد الموارد المطلوبة والغير متوفر منها التي تؤثر علي الادارة
يبدأ التفاوض ويغير من مساره من أجل العمل
يهدف الي مسارات ترضي جميع الاطراف</t>
  </si>
  <si>
    <t>يعرض افكار تنمي الشركة في مجالها
يحدد خطط عمل الخاصة بالشركة طبقا لقوتها في السوق
يعدل في خطط العمل طبقا للتغيرات في السوق
يبدي الوعي بالفرص والمخاطر التي تؤثر علي الشركة
يوجه الموارد للاستخدام الامثل في الادارة بم يفيد اهداف الشركة
يقوم بانجاز مهام صفقات البيع ويناقشها بطريقة سهلة مقبولة للطرفين</t>
  </si>
  <si>
    <t>الدقة والتنظيم</t>
  </si>
  <si>
    <t>يظهر الاهتمام بالتفاصيل اثناء عمله ويتأكد من درجة الدقة العالية في العمل. يقوم باعماله طبقا اللوائح والخطوات المحددة . يننظم مهامه ويضع اولويات لها لتحقيق الاهداف</t>
  </si>
  <si>
    <t>يعي اهمية الدقة اثناء القيام بعمله
يراجع عمله للتاكد من دقته
يقوم بالاعمال الموكلة له بدقة
يتتبع جدول الاعمال المطلوب منه
يطلب المساعد من المشرفين أو الاكثر خبرة في حالة تعارض جداول العمل الموكلة له</t>
  </si>
  <si>
    <t>يستطسع تحديد الاختلافات و الاخطاء المتكررة في العمل
يقوم بتصحيح الاخطاء عند اكتشافها
ينظم وقته من اجل تحقيق اهدافه تحت اشراف الاخرين
يقوم بوضع اولويات عمله</t>
  </si>
  <si>
    <t>يساعد الاخرين لتصحيح الاخطاء
لا يقبل الأعمال التي بها أخطاء
يراجع أعمال الاخرين وفريقة للتاكد من عدم وجود اخطاء 
يساعد الاخرين في الانتهاء من الاعمال في الوقت المحدد
يساعد المشرفين فى وضع جداول العمل 
يقوم بعمل تغييرات في جدول اعماله عند تعارض المواعيد</t>
  </si>
  <si>
    <t xml:space="preserve">
يتأكد ويعمل علي تحسين مستوى الدقة للفريق وقدم لهم النصائح لذلك.
يعي عواقب عدم الدقة في العمل والمخاطر التابعة لها
يدير الموارد والوقت الخاص بالفريق للتاكد من ان العمل ساري بانتظام دون تعارض
يقوم باعاددة تنظيم جداول العمل واعادة توزيع الموارد والاعمال عند الحاجة اثناء تعارض الجداول او حدوث تغير او نقص في الموارد.</t>
  </si>
  <si>
    <t xml:space="preserve">
يضع المعايير والقواعد العامة في الادارة الخاصة بالدقة والمتماشية مع المعايير الخاصة بالمجال
يوجه الفريق للاهتمام والتركيز بالتفاصيل في العمل
يبني جداول المشاريع المتكاملة ويقوم بتنظيم الاعمال والموارد للادارة للتاكد من عدم التعارض في الاعمال علي مستوي الادارة
يحدد الطرق التي يمكن استخدام الموارد والوقت احسان استخدام لتحقيق الاهداف </t>
  </si>
  <si>
    <t>تطبيق الخبرة والمعرفة في مجال العمل</t>
  </si>
  <si>
    <t>يستخدم خبرته ومعرفتف السابقة من أجل حل المشااكل وانجاز الاعمال</t>
  </si>
  <si>
    <t>يتقبل المعلومات الجديدة
يحل المساكل المتكررة المعروفة الخاصة بعمله
يطلب العون من المشرفين لحل المشاكل الغير مألوفة</t>
  </si>
  <si>
    <t>يسعي للخصول علي معلومات جديدة خاصة بعمله
يفكر بحلول للمشاكل الموكلة اليه من المشرفين
يطلب النصح من المشرفين لاخذ قرارات لحل مشاكل محددة موكلة غير قابل علي حلها
يبدي المثابرة لحل المشاكل عن طريق البحث عن حلول متعدد</t>
  </si>
  <si>
    <t>يطبق المعلومات والخبرة الخاصة به في مجاله في العمل
يتأكد دائما من ان الفريق يعلم المعلومات الجديدة الخاصة بمجال العمل
يساعد الفريق عن طريق خبرته في المجال
يفكر في بدائل لحل مشاكل متعددة
يقترح حلول لمشاكل معقدة علي اساس حساب المخاطر الخاصة بها</t>
  </si>
  <si>
    <t>دائما يقيم مستوة امعرفة في الفريق ويحدد الجوانب التي تحتاج تنمية 
يفكر في حلول غير تقليدية لمشاكل معقدة
يستطيع ان يحل المشاكل الغير مالوفة  التي تؤثر علي العمل</t>
  </si>
  <si>
    <t>الابتكار</t>
  </si>
  <si>
    <t>يتقبل الافكار والحلول الجديدة ويفكر بطريقة ابتكارية</t>
  </si>
  <si>
    <t>يتقبل الافكار الجديد</t>
  </si>
  <si>
    <t>يفكر خارج النطاق المعتاد ويرى المواقف من منظور مختلف
يخلق افكار جديدة 
يقترح طرق جديدة لعمل الفريق</t>
  </si>
  <si>
    <t>يسعي الي طرق جديدة مبتكرة في العمل ويشارك الاخرين بها
يسعي الي معرفة كل جديد في مجال عمله
يقترح وينفذ حلول جديدة مبتكرة
يحول الافكار الي حلول فعالة</t>
  </si>
  <si>
    <t>يشجع الاخرين للابتكار في العمل
يسعي الي الحصول علي افكار جديدة من خارج الفريق
يقترح افكار وحلول علي مستوى اعل من نطاق عمله
يفكر في حلول مستقبلية سوف تفيد العمل</t>
  </si>
  <si>
    <t>يشجغ الابتكار في الادارة ويحفز الفريق علي ذلك
يفكر في افكار وحلول لتحسين العمل
يشجع الفريق علي عرض افكار جديدة</t>
  </si>
  <si>
    <t>التاثير علي الآخرين وتنمية الفريق</t>
  </si>
  <si>
    <t>يتفهم الشركة ورؤيتها جيدا.له تأثير عل الفريق لتحقيق اهدافه ولاستمرار الالتزام تجاه رؤية وخطط الشركة.يبني فرق متناغمة تستطيع التواصل والعمل من أجل رفع أداء الشركة.ينمي فرق ليسطيعوا اتخاذ القرارات ليقودوا الشركة في المستقبل</t>
  </si>
  <si>
    <t xml:space="preserve">
يستطيع التأثير علي الفريق من خلال الخبرات السابقة في العمل والدراية بطبيعة الشركة
يساعد اعضاء الفريق لتحقيق مهامهم اليومية
يقوم بمساعدة الفرق مباشرة عند عدم القدرة علي الانتهاء من المهام الخاصة بهم
يشجع أعضاء الفريق للتواصل مع بعضهم
يبدى التفهم للمشاكل الخاصة بالموظفين التي قد تؤثر علي أدائهم في العمل
يشجع مرؤوسيه للمشاركة في اتخاذ القرارات الخاصة بمهامهم
يفسح المجال لأعضاء الفريق للتفكير في حلول للمشاكل بنفسهم</t>
  </si>
  <si>
    <t>يفكر في المستقبل مقدما وله رؤية لمستقبل اعضاء الفريق ومهامهم في الشركة
ينقل رؤيته لمرؤسيه ليؤدوا مهامهم آخذين في الاعتبار التغيرات فى المستقبل
يبني صلات مع أعضاء الفريق
يساعد ويساند الموظفين في حل مشاكلهم  التي قد تؤثر علي العمل
يوجه الموظفين للطريق الصحيح لتحقيق أهداف الفريق ويباشر عملهم عن قرب حتي يتمكنوا من الاعتماد عل انفسهم
يقوم باتخاذ القرارات الخاصة بأهداف الفريق من خلال مشاركتهم فيه
لا يفرض قرارات دون معرفة رأي الفريق</t>
  </si>
  <si>
    <t>يشارك في وضع رؤية الشركة وخططها للمستقبل
يحول الرؤية الي خطط يستطيع الفريق ان ينفذها لتحقيق اهداف الشركة
يقوم بالتواصل المستمر مع جميع أعضاء الفريق ويفسح لهم المجال للتحدث عن مشاكلهم أو المشاكل التي قد تؤثر علي الفريق
يفسح المجال للموظفين للتصرف بحرية في عملهم وأخذ القرارات مع مباشرتهم والتدخل عند الحاجة فقط
يبدي الليونة لتكييف ظروف العمل   اثناء الظروف الشخصية الصعبة دون التأثير علي العمل
يفوض مهام لاعضاء الفريق التي تحتاج لاتخاذ قرار 
يدربهم علي كيفية اتخاذ القرار لاعدادهم لمهام أكبر</t>
  </si>
  <si>
    <t>له رؤية مستقبلية بعيدة المدي للشركة وموظفيها ويحدد رؤية الشركة وتوجهها
يستطيع أن يوجه كل الأعمال والفرق لتحقيق رؤية ومهمة الشركة.
يفهم طبيعة فرق العمل المختلفة في العمل ويوزع المهام عل هذا الاساس
يتبني ثقافة روح الفريق والمشاركة في اتخاذ القرار</t>
  </si>
</sst>
</file>

<file path=xl/styles.xml><?xml version="1.0" encoding="utf-8"?>
<styleSheet xmlns="http://schemas.openxmlformats.org/spreadsheetml/2006/main">
  <numFmts count="3">
    <numFmt numFmtId="0" formatCode="General"/>
    <numFmt numFmtId="59" formatCode="0.0%"/>
    <numFmt numFmtId="60" formatCode="0.000%"/>
  </numFmts>
  <fonts count="62">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32"/>
      <color indexed="8"/>
      <name val="Times New Roman"/>
    </font>
    <font>
      <b val="1"/>
      <sz val="14"/>
      <color indexed="8"/>
      <name val="Times New Roman"/>
    </font>
    <font>
      <b val="1"/>
      <u val="single"/>
      <sz val="36"/>
      <color indexed="8"/>
      <name val="Times New Roman"/>
    </font>
    <font>
      <b val="1"/>
      <u val="single"/>
      <sz val="48"/>
      <color indexed="8"/>
      <name val="Times New Roman"/>
    </font>
    <font>
      <sz val="18"/>
      <color indexed="8"/>
      <name val="Times New Roman"/>
    </font>
    <font>
      <b val="1"/>
      <sz val="36"/>
      <color indexed="8"/>
      <name val="Times New Roman"/>
    </font>
    <font>
      <b val="1"/>
      <u val="single"/>
      <sz val="28"/>
      <color indexed="8"/>
      <name val="Times New Roman"/>
    </font>
    <font>
      <b val="1"/>
      <u val="single"/>
      <sz val="28"/>
      <color indexed="15"/>
      <name val="Times New Roman"/>
    </font>
    <font>
      <b val="1"/>
      <sz val="48"/>
      <color indexed="8"/>
      <name val="Times New Roman"/>
    </font>
    <font>
      <b val="1"/>
      <sz val="28"/>
      <color indexed="8"/>
      <name val="Times New Roman"/>
    </font>
    <font>
      <b val="1"/>
      <sz val="18"/>
      <color indexed="8"/>
      <name val="Times New Roman"/>
    </font>
    <font>
      <b val="1"/>
      <sz val="16"/>
      <color indexed="8"/>
      <name val="Times New Roman"/>
    </font>
    <font>
      <sz val="14"/>
      <color indexed="8"/>
      <name val="Times New Roman"/>
    </font>
    <font>
      <sz val="36"/>
      <color indexed="8"/>
      <name val="Times New Roman"/>
    </font>
    <font>
      <b val="1"/>
      <sz val="20"/>
      <color indexed="8"/>
      <name val="Times New Roman"/>
    </font>
    <font>
      <b val="1"/>
      <sz val="11"/>
      <color indexed="8"/>
      <name val="Tahoma"/>
    </font>
    <font>
      <b val="1"/>
      <sz val="11"/>
      <color indexed="8"/>
      <name val="Times New Roman"/>
    </font>
    <font>
      <b val="1"/>
      <sz val="14"/>
      <color indexed="8"/>
      <name val="Tahoma"/>
    </font>
    <font>
      <b val="1"/>
      <sz val="18"/>
      <color indexed="18"/>
      <name val="Times New Roman"/>
    </font>
    <font>
      <b val="1"/>
      <sz val="20"/>
      <color indexed="18"/>
      <name val="Times New Roman"/>
    </font>
    <font>
      <b val="1"/>
      <sz val="16"/>
      <color indexed="19"/>
      <name val="Times New Roman"/>
    </font>
    <font>
      <sz val="14"/>
      <color indexed="21"/>
      <name val="Calibri"/>
    </font>
    <font>
      <b val="1"/>
      <sz val="14"/>
      <color indexed="8"/>
      <name val="Calibri"/>
    </font>
    <font>
      <b val="1"/>
      <sz val="14"/>
      <color indexed="21"/>
      <name val="Calibri"/>
    </font>
    <font>
      <sz val="14"/>
      <color indexed="8"/>
      <name val="Tahoma"/>
    </font>
    <font>
      <sz val="14"/>
      <color indexed="23"/>
      <name val="Tahoma"/>
    </font>
    <font>
      <b val="1"/>
      <sz val="16"/>
      <color indexed="8"/>
      <name val="Tahoma"/>
    </font>
    <font>
      <b val="1"/>
      <sz val="30"/>
      <color indexed="12"/>
      <name val="Arabic Transparent"/>
    </font>
    <font>
      <sz val="10"/>
      <color indexed="8"/>
      <name val="Arabic Transparent"/>
    </font>
    <font>
      <b val="1"/>
      <sz val="12"/>
      <color indexed="12"/>
      <name val="Times New Roman"/>
    </font>
    <font>
      <sz val="12"/>
      <color indexed="8"/>
      <name val="Times New Roman"/>
    </font>
    <font>
      <sz val="10"/>
      <color indexed="12"/>
      <name val="Times New Roman"/>
    </font>
    <font>
      <sz val="20"/>
      <color indexed="24"/>
      <name val="Arabic Transparent"/>
    </font>
    <font>
      <sz val="10"/>
      <color indexed="24"/>
      <name val="Arabic Transparent"/>
    </font>
    <font>
      <sz val="10"/>
      <color indexed="8"/>
      <name val="Times New Roman"/>
    </font>
    <font>
      <b val="1"/>
      <sz val="10"/>
      <color indexed="8"/>
      <name val="Times New Roman"/>
    </font>
    <font>
      <b val="1"/>
      <sz val="13"/>
      <color indexed="8"/>
      <name val="Times New Roman"/>
    </font>
    <font>
      <b val="1"/>
      <sz val="12"/>
      <color indexed="8"/>
      <name val="Times New Roman"/>
    </font>
    <font>
      <b val="1"/>
      <sz val="12"/>
      <color indexed="15"/>
      <name val="Times New Roman"/>
    </font>
    <font>
      <b val="1"/>
      <sz val="12"/>
      <color indexed="23"/>
      <name val="Times New Roman"/>
    </font>
    <font>
      <b val="1"/>
      <sz val="14"/>
      <color indexed="15"/>
      <name val="Times New Roman"/>
    </font>
    <font>
      <b val="1"/>
      <sz val="18"/>
      <color indexed="8"/>
      <name val="Arabic Transparent"/>
    </font>
    <font>
      <b val="1"/>
      <sz val="14"/>
      <color indexed="28"/>
      <name val="Times New Roman"/>
    </font>
    <font>
      <b val="1"/>
      <sz val="10"/>
      <color indexed="28"/>
      <name val="Times New Roman"/>
    </font>
    <font>
      <b val="1"/>
      <sz val="24"/>
      <color indexed="28"/>
      <name val="Times New Roman"/>
    </font>
    <font>
      <b val="1"/>
      <u val="single"/>
      <sz val="18"/>
      <color indexed="8"/>
      <name val="Arabic Transparent"/>
    </font>
    <font>
      <b val="1"/>
      <sz val="16"/>
      <color indexed="12"/>
      <name val="Times New Roman"/>
    </font>
    <font>
      <sz val="16"/>
      <color indexed="8"/>
      <name val="Arial"/>
    </font>
    <font>
      <b val="1"/>
      <sz val="16"/>
      <color indexed="29"/>
      <name val="Tahoma"/>
    </font>
    <font>
      <sz val="24"/>
      <color indexed="8"/>
      <name val="Wingdings 2"/>
    </font>
    <font>
      <sz val="10"/>
      <color indexed="8"/>
      <name val="Tahoma"/>
    </font>
    <font>
      <b val="1"/>
      <sz val="26"/>
      <color indexed="12"/>
      <name val="Arial Narrow"/>
    </font>
    <font>
      <sz val="16"/>
      <color indexed="8"/>
      <name val="Arial Narrow"/>
    </font>
    <font>
      <b val="1"/>
      <sz val="16"/>
      <color indexed="8"/>
      <name val="Arial Narrow"/>
    </font>
    <font>
      <sz val="12"/>
      <color indexed="8"/>
      <name val="Arial Narrow"/>
    </font>
    <font>
      <sz val="20"/>
      <color indexed="21"/>
      <name val="Arabic Transparent"/>
    </font>
  </fonts>
  <fills count="1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20"/>
        <bgColor auto="1"/>
      </patternFill>
    </fill>
    <fill>
      <patternFill patternType="solid">
        <fgColor indexed="22"/>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4"/>
        <bgColor auto="1"/>
      </patternFill>
    </fill>
    <fill>
      <patternFill patternType="solid">
        <fgColor indexed="30"/>
        <bgColor auto="1"/>
      </patternFill>
    </fill>
    <fill>
      <patternFill patternType="solid">
        <fgColor indexed="18"/>
        <bgColor auto="1"/>
      </patternFill>
    </fill>
    <fill>
      <patternFill patternType="solid">
        <fgColor indexed="31"/>
        <bgColor auto="1"/>
      </patternFill>
    </fill>
  </fills>
  <borders count="139">
    <border>
      <left/>
      <right/>
      <top/>
      <bottom/>
      <diagonal/>
    </border>
    <border>
      <left style="thick">
        <color indexed="8"/>
      </left>
      <right style="thin">
        <color indexed="13"/>
      </right>
      <top style="thick">
        <color indexed="8"/>
      </top>
      <bottom style="thin">
        <color indexed="13"/>
      </bottom>
      <diagonal/>
    </border>
    <border>
      <left style="thin">
        <color indexed="13"/>
      </left>
      <right style="thick">
        <color indexed="8"/>
      </right>
      <top style="thick">
        <color indexed="8"/>
      </top>
      <bottom style="thin">
        <color indexed="13"/>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style="thin">
        <color indexed="13"/>
      </right>
      <top style="thin">
        <color indexed="13"/>
      </top>
      <bottom style="thin">
        <color indexed="13"/>
      </bottom>
      <diagonal/>
    </border>
    <border>
      <left style="thin">
        <color indexed="13"/>
      </left>
      <right style="thick">
        <color indexed="8"/>
      </right>
      <top style="thin">
        <color indexed="13"/>
      </top>
      <bottom style="thin">
        <color indexed="13"/>
      </bottom>
      <diagonal/>
    </border>
    <border>
      <left style="thick">
        <color indexed="8"/>
      </left>
      <right/>
      <top/>
      <bottom/>
      <diagonal/>
    </border>
    <border>
      <left/>
      <right/>
      <top/>
      <bottom/>
      <diagonal/>
    </border>
    <border>
      <left/>
      <right style="thick">
        <color indexed="8"/>
      </right>
      <top/>
      <bottom/>
      <diagonal/>
    </border>
    <border>
      <left style="thin">
        <color indexed="13"/>
      </left>
      <right style="medium">
        <color indexed="8"/>
      </right>
      <top style="thin">
        <color indexed="13"/>
      </top>
      <bottom style="thin">
        <color indexed="13"/>
      </bottom>
      <diagonal/>
    </border>
    <border>
      <left style="medium">
        <color indexed="8"/>
      </left>
      <right/>
      <top/>
      <bottom/>
      <diagonal/>
    </border>
    <border>
      <left style="thick">
        <color indexed="8"/>
      </left>
      <right style="thick">
        <color indexed="8"/>
      </right>
      <top/>
      <bottom/>
      <diagonal/>
    </border>
    <border>
      <left style="thick">
        <color indexed="8"/>
      </left>
      <right style="thin">
        <color indexed="13"/>
      </right>
      <top style="thin">
        <color indexed="13"/>
      </top>
      <bottom style="thick">
        <color indexed="8"/>
      </bottom>
      <diagonal/>
    </border>
    <border>
      <left style="thin">
        <color indexed="13"/>
      </left>
      <right style="medium">
        <color indexed="8"/>
      </right>
      <top style="thin">
        <color indexed="13"/>
      </top>
      <bottom style="thick">
        <color indexed="8"/>
      </bottom>
      <diagonal/>
    </border>
    <border>
      <left style="medium">
        <color indexed="8"/>
      </left>
      <right/>
      <top/>
      <bottom style="medium">
        <color indexed="8"/>
      </bottom>
      <diagonal/>
    </border>
    <border>
      <left/>
      <right/>
      <top/>
      <bottom style="medium">
        <color indexed="8"/>
      </bottom>
      <diagonal/>
    </border>
    <border>
      <left/>
      <right style="thick">
        <color indexed="8"/>
      </right>
      <top/>
      <bottom style="medium">
        <color indexed="8"/>
      </bottom>
      <diagonal/>
    </border>
    <border>
      <left style="thick">
        <color indexed="8"/>
      </left>
      <right/>
      <top style="medium">
        <color indexed="8"/>
      </top>
      <bottom style="thin">
        <color indexed="8"/>
      </bottom>
      <diagonal/>
    </border>
    <border>
      <left/>
      <right style="thin">
        <color indexed="13"/>
      </right>
      <top style="medium">
        <color indexed="8"/>
      </top>
      <bottom style="thin">
        <color indexed="8"/>
      </bottom>
      <diagonal/>
    </border>
    <border>
      <left style="thin">
        <color indexed="13"/>
      </left>
      <right style="thin">
        <color indexed="13"/>
      </right>
      <top style="medium">
        <color indexed="8"/>
      </top>
      <bottom style="thin">
        <color indexed="8"/>
      </bottom>
      <diagonal/>
    </border>
    <border>
      <left style="thin">
        <color indexed="13"/>
      </left>
      <right/>
      <top style="medium">
        <color indexed="8"/>
      </top>
      <bottom style="thin">
        <color indexed="8"/>
      </bottom>
      <diagonal/>
    </border>
    <border>
      <left/>
      <right style="thick">
        <color indexed="8"/>
      </right>
      <top style="medium">
        <color indexed="8"/>
      </top>
      <bottom style="thin">
        <color indexed="8"/>
      </bottom>
      <diagonal/>
    </border>
    <border>
      <left style="thick">
        <color indexed="8"/>
      </left>
      <right/>
      <top style="thin">
        <color indexed="8"/>
      </top>
      <bottom style="thin">
        <color indexed="8"/>
      </bottom>
      <diagonal/>
    </border>
    <border>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top style="thin">
        <color indexed="8"/>
      </top>
      <bottom style="thin">
        <color indexed="8"/>
      </bottom>
      <diagonal/>
    </border>
    <border>
      <left/>
      <right style="thick">
        <color indexed="8"/>
      </right>
      <top style="thin">
        <color indexed="8"/>
      </top>
      <bottom style="thin">
        <color indexed="8"/>
      </bottom>
      <diagonal/>
    </border>
    <border>
      <left/>
      <right style="medium">
        <color indexed="8"/>
      </right>
      <top/>
      <bottom/>
      <diagonal/>
    </border>
    <border>
      <left style="medium">
        <color indexed="8"/>
      </left>
      <right/>
      <top style="thin">
        <color indexed="8"/>
      </top>
      <bottom style="thin">
        <color indexed="8"/>
      </bottom>
      <diagonal/>
    </border>
    <border>
      <left style="thick">
        <color indexed="8"/>
      </left>
      <right/>
      <top/>
      <bottom style="thick">
        <color indexed="8"/>
      </bottom>
      <diagonal/>
    </border>
    <border>
      <left/>
      <right style="medium">
        <color indexed="8"/>
      </right>
      <top/>
      <bottom style="thick">
        <color indexed="8"/>
      </bottom>
      <diagonal/>
    </border>
    <border>
      <left style="medium">
        <color indexed="8"/>
      </left>
      <right/>
      <top style="thin">
        <color indexed="8"/>
      </top>
      <bottom style="thick">
        <color indexed="8"/>
      </bottom>
      <diagonal/>
    </border>
    <border>
      <left/>
      <right style="thin">
        <color indexed="13"/>
      </right>
      <top style="thin">
        <color indexed="8"/>
      </top>
      <bottom style="thick">
        <color indexed="8"/>
      </bottom>
      <diagonal/>
    </border>
    <border>
      <left style="thin">
        <color indexed="13"/>
      </left>
      <right style="thin">
        <color indexed="13"/>
      </right>
      <top style="thin">
        <color indexed="8"/>
      </top>
      <bottom style="thick">
        <color indexed="8"/>
      </bottom>
      <diagonal/>
    </border>
    <border>
      <left style="thin">
        <color indexed="13"/>
      </left>
      <right/>
      <top style="thin">
        <color indexed="8"/>
      </top>
      <bottom style="thick">
        <color indexed="8"/>
      </bottom>
      <diagonal/>
    </border>
    <border>
      <left/>
      <right style="thick">
        <color indexed="8"/>
      </right>
      <top style="thin">
        <color indexed="8"/>
      </top>
      <bottom style="thick">
        <color indexed="8"/>
      </bottom>
      <diagonal/>
    </border>
    <border>
      <left style="thin">
        <color indexed="13"/>
      </left>
      <right style="thin">
        <color indexed="13"/>
      </right>
      <top style="thick">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medium">
        <color indexed="8"/>
      </bottom>
      <diagonal/>
    </border>
    <border>
      <left/>
      <right/>
      <top style="thin">
        <color indexed="13"/>
      </top>
      <bottom style="medium">
        <color indexed="8"/>
      </bottom>
      <diagonal/>
    </border>
    <border>
      <left/>
      <right/>
      <top style="thin">
        <color indexed="13"/>
      </top>
      <bottom/>
      <diagonal/>
    </border>
    <border>
      <left/>
      <right style="thin">
        <color indexed="13"/>
      </right>
      <top style="thin">
        <color indexed="13"/>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right style="thin">
        <color indexed="13"/>
      </right>
      <top/>
      <bottom/>
      <diagonal/>
    </border>
    <border>
      <left/>
      <right style="medium">
        <color indexed="8"/>
      </right>
      <top/>
      <bottom style="medium">
        <color indexed="8"/>
      </bottom>
      <diagonal/>
    </border>
    <border>
      <left style="thin">
        <color indexed="13"/>
      </left>
      <right/>
      <top style="medium">
        <color indexed="8"/>
      </top>
      <bottom/>
      <diagonal/>
    </border>
    <border>
      <left/>
      <right/>
      <top style="medium">
        <color indexed="8"/>
      </top>
      <bottom style="medium">
        <color indexed="8"/>
      </bottom>
      <diagonal/>
    </border>
    <border>
      <left style="thin">
        <color indexed="13"/>
      </left>
      <right style="medium">
        <color indexed="8"/>
      </right>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13"/>
      </left>
      <right/>
      <top/>
      <bottom/>
      <diagonal/>
    </border>
    <border>
      <left style="thin">
        <color indexed="13"/>
      </left>
      <right/>
      <top/>
      <bottom style="medium">
        <color indexed="8"/>
      </bottom>
      <diagonal/>
    </border>
    <border>
      <left style="medium">
        <color indexed="8"/>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top style="thin">
        <color indexed="13"/>
      </top>
      <bottom style="thin">
        <color indexed="8"/>
      </bottom>
      <diagonal/>
    </border>
    <border>
      <left/>
      <right/>
      <top style="thin">
        <color indexed="13"/>
      </top>
      <bottom style="thin">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3"/>
      </right>
      <top/>
      <bottom style="thin">
        <color indexed="8"/>
      </bottom>
      <diagonal/>
    </border>
    <border>
      <left style="thin">
        <color indexed="13"/>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13"/>
      </left>
      <right/>
      <top style="medium">
        <color indexed="8"/>
      </top>
      <bottom style="medium">
        <color indexed="8"/>
      </bottom>
      <diagonal/>
    </border>
    <border>
      <left/>
      <right style="thin">
        <color indexed="13"/>
      </right>
      <top style="thin">
        <color indexed="8"/>
      </top>
      <bottom/>
      <diagonal/>
    </border>
    <border>
      <left style="medium">
        <color indexed="8"/>
      </left>
      <right style="thin">
        <color indexed="13"/>
      </right>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style="thin">
        <color indexed="13"/>
      </top>
      <bottom style="thin">
        <color indexed="8"/>
      </bottom>
      <diagonal/>
    </border>
    <border>
      <left style="thin">
        <color indexed="13"/>
      </left>
      <right style="thin">
        <color indexed="8"/>
      </right>
      <top/>
      <bottom/>
      <diagonal/>
    </border>
    <border>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
      <left style="thin">
        <color indexed="8"/>
      </left>
      <right style="thin">
        <color indexed="8"/>
      </right>
      <top style="thin">
        <color indexed="13"/>
      </top>
      <bottom style="thin">
        <color indexed="13"/>
      </bottom>
      <diagonal/>
    </border>
    <border>
      <left style="thin">
        <color indexed="8"/>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thin">
        <color indexed="8"/>
      </right>
      <top style="thin">
        <color indexed="8"/>
      </top>
      <bottom style="thin">
        <color indexed="13"/>
      </bottom>
      <diagonal/>
    </border>
    <border>
      <left style="thin">
        <color indexed="8"/>
      </left>
      <right style="thin">
        <color indexed="13"/>
      </right>
      <top style="thin">
        <color indexed="13"/>
      </top>
      <bottom style="thin">
        <color indexed="8"/>
      </bottom>
      <diagonal/>
    </border>
    <border>
      <left style="thin">
        <color indexed="13"/>
      </left>
      <right style="thin">
        <color indexed="8"/>
      </right>
      <top style="thin">
        <color indexed="13"/>
      </top>
      <bottom style="thin">
        <color indexed="8"/>
      </bottom>
      <diagonal/>
    </border>
    <border>
      <left style="thin">
        <color indexed="13"/>
      </left>
      <right style="thin">
        <color indexed="13"/>
      </right>
      <top style="thin">
        <color indexed="13"/>
      </top>
      <bottom style="medium">
        <color indexed="8"/>
      </bottom>
      <diagonal/>
    </border>
    <border>
      <left style="medium">
        <color indexed="8"/>
      </left>
      <right style="thin">
        <color indexed="13"/>
      </right>
      <top style="medium">
        <color indexed="8"/>
      </top>
      <bottom style="medium">
        <color indexed="8"/>
      </bottom>
      <diagonal/>
    </border>
    <border>
      <left style="thin">
        <color indexed="13"/>
      </left>
      <right style="medium">
        <color indexed="8"/>
      </right>
      <top style="medium">
        <color indexed="8"/>
      </top>
      <bottom style="medium">
        <color indexed="8"/>
      </bottom>
      <diagonal/>
    </border>
    <border>
      <left style="medium">
        <color indexed="8"/>
      </left>
      <right style="medium">
        <color indexed="8"/>
      </right>
      <top style="thin">
        <color indexed="13"/>
      </top>
      <bottom style="thin">
        <color indexed="13"/>
      </bottom>
      <diagonal/>
    </border>
    <border>
      <left style="thin">
        <color indexed="13"/>
      </left>
      <right style="thin">
        <color indexed="13"/>
      </right>
      <top style="medium">
        <color indexed="8"/>
      </top>
      <bottom style="medium">
        <color indexed="8"/>
      </bottom>
      <diagonal/>
    </border>
    <border>
      <left style="medium">
        <color indexed="8"/>
      </left>
      <right style="thin">
        <color indexed="13"/>
      </right>
      <top style="thin">
        <color indexed="13"/>
      </top>
      <bottom style="medium">
        <color indexed="8"/>
      </bottom>
      <diagonal/>
    </border>
    <border>
      <left style="medium">
        <color indexed="8"/>
      </left>
      <right style="medium">
        <color indexed="8"/>
      </right>
      <top style="medium">
        <color indexed="8"/>
      </top>
      <bottom/>
      <diagonal/>
    </border>
    <border>
      <left style="medium">
        <color indexed="8"/>
      </left>
      <right style="thin">
        <color indexed="13"/>
      </right>
      <top style="thin">
        <color indexed="13"/>
      </top>
      <bottom style="thin">
        <color indexed="13"/>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thin">
        <color indexed="13"/>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diagonal/>
    </border>
    <border>
      <left/>
      <right style="medium">
        <color indexed="8"/>
      </right>
      <top style="thin">
        <color indexed="8"/>
      </top>
      <bottom/>
      <diagonal/>
    </border>
    <border>
      <left/>
      <right/>
      <top style="thin">
        <color indexed="8"/>
      </top>
      <bottom/>
      <diagonal/>
    </border>
    <border>
      <left/>
      <right style="medium">
        <color indexed="8"/>
      </right>
      <top style="thin">
        <color indexed="8"/>
      </top>
      <bottom style="thin">
        <color indexed="8"/>
      </bottom>
      <diagonal/>
    </border>
    <border>
      <left style="medium">
        <color indexed="8"/>
      </left>
      <right style="medium">
        <color indexed="8"/>
      </right>
      <top style="thin">
        <color indexed="8"/>
      </top>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diagonal/>
    </border>
    <border>
      <left style="thin">
        <color indexed="13"/>
      </left>
      <right/>
      <top style="thin">
        <color indexed="13"/>
      </top>
      <bottom style="thin">
        <color indexed="13"/>
      </bottom>
      <diagonal/>
    </border>
    <border>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thin">
        <color indexed="13"/>
      </left>
      <right style="thin">
        <color indexed="13"/>
      </right>
      <top style="thin">
        <color indexed="13"/>
      </top>
      <bottom style="thin">
        <color indexed="16"/>
      </bottom>
      <diagonal/>
    </border>
    <border>
      <left style="medium">
        <color indexed="8"/>
      </left>
      <right style="thin">
        <color indexed="16"/>
      </right>
      <top style="thin">
        <color indexed="16"/>
      </top>
      <bottom style="thin">
        <color indexed="16"/>
      </bottom>
      <diagonal/>
    </border>
    <border>
      <left style="thin">
        <color indexed="16"/>
      </left>
      <right style="thin">
        <color indexed="13"/>
      </right>
      <top style="thin">
        <color indexed="13"/>
      </top>
      <bottom style="thin">
        <color indexed="13"/>
      </bottom>
      <diagonal/>
    </border>
    <border>
      <left style="medium">
        <color indexed="8"/>
      </left>
      <right style="thin">
        <color indexed="16"/>
      </right>
      <top style="thin">
        <color indexed="16"/>
      </top>
      <bottom style="medium">
        <color indexed="8"/>
      </bottom>
      <diagonal/>
    </border>
    <border>
      <left style="thin">
        <color indexed="13"/>
      </left>
      <right/>
      <top style="thin">
        <color indexed="13"/>
      </top>
      <bottom/>
      <diagonal/>
    </border>
    <border>
      <left/>
      <right style="thin">
        <color indexed="13"/>
      </right>
      <top style="thin">
        <color indexed="13"/>
      </top>
      <bottom style="medium">
        <color indexed="8"/>
      </bottom>
      <diagonal/>
    </border>
    <border>
      <left/>
      <right style="medium">
        <color indexed="8"/>
      </right>
      <top/>
      <bottom style="thin">
        <color indexed="8"/>
      </bottom>
      <diagonal/>
    </border>
    <border>
      <left/>
      <right style="thin">
        <color indexed="8"/>
      </right>
      <top/>
      <bottom/>
      <diagonal/>
    </border>
    <border>
      <left style="thin">
        <color indexed="8"/>
      </left>
      <right/>
      <top/>
      <bottom/>
      <diagonal/>
    </border>
    <border>
      <left/>
      <right/>
      <top/>
      <bottom style="thin">
        <color indexed="8"/>
      </bottom>
      <diagonal/>
    </border>
    <border>
      <left/>
      <right style="thin">
        <color indexed="13"/>
      </right>
      <top/>
      <bottom style="medium">
        <color indexed="8"/>
      </bottom>
      <diagonal/>
    </border>
    <border>
      <left style="thin">
        <color indexed="13"/>
      </left>
      <right/>
      <top/>
      <bottom style="thin">
        <color indexed="13"/>
      </bottom>
      <diagonal/>
    </border>
    <border>
      <left/>
      <right style="medium">
        <color indexed="8"/>
      </right>
      <top/>
      <bottom style="thin">
        <color indexed="13"/>
      </bottom>
      <diagonal/>
    </border>
    <border>
      <left style="thin">
        <color indexed="13"/>
      </left>
      <right style="medium">
        <color indexed="8"/>
      </right>
      <top style="thin">
        <color indexed="13"/>
      </top>
      <bottom/>
      <diagonal/>
    </border>
    <border>
      <left style="thin">
        <color indexed="13"/>
      </left>
      <right style="medium">
        <color indexed="8"/>
      </right>
      <top/>
      <bottom style="thin">
        <color indexed="13"/>
      </bottom>
      <diagonal/>
    </border>
    <border>
      <left style="thin">
        <color indexed="8"/>
      </left>
      <right/>
      <top style="thin">
        <color indexed="8"/>
      </top>
      <bottom/>
      <diagonal/>
    </border>
    <border>
      <left/>
      <right/>
      <top style="thin">
        <color indexed="8"/>
      </top>
      <bottom style="thin">
        <color indexed="13"/>
      </bottom>
      <diagonal/>
    </border>
    <border>
      <left style="thin">
        <color indexed="13"/>
      </left>
      <right style="thin">
        <color indexed="13"/>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13"/>
      </left>
      <right style="thin">
        <color indexed="8"/>
      </right>
      <top style="thin">
        <color indexed="13"/>
      </top>
      <bottom/>
      <diagonal/>
    </border>
  </borders>
  <cellStyleXfs count="1">
    <xf numFmtId="0" fontId="0" applyNumberFormat="0" applyFont="1" applyFill="0" applyBorder="0" applyAlignment="1" applyProtection="0">
      <alignment vertical="bottom"/>
    </xf>
  </cellStyleXfs>
  <cellXfs count="5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horizontal="center" vertical="center" wrapText="1"/>
    </xf>
    <xf numFmtId="0" fontId="6" fillId="4" borderId="2" applyNumberFormat="0" applyFont="1" applyFill="1" applyBorder="1" applyAlignment="1" applyProtection="0">
      <alignment horizontal="center" vertical="center" wrapText="1"/>
    </xf>
    <xf numFmtId="0" fontId="7" fillId="5" borderId="3" applyNumberFormat="0" applyFont="1" applyFill="1" applyBorder="1" applyAlignment="1" applyProtection="0">
      <alignment horizontal="center" vertical="bottom"/>
    </xf>
    <xf numFmtId="0" fontId="0" fillId="5" borderId="4" applyNumberFormat="0" applyFont="1" applyFill="1" applyBorder="1" applyAlignment="1" applyProtection="0">
      <alignment horizontal="right" vertical="bottom"/>
    </xf>
    <xf numFmtId="0" fontId="0" fillId="5" borderId="5" applyNumberFormat="0" applyFont="1" applyFill="1" applyBorder="1" applyAlignment="1" applyProtection="0">
      <alignment horizontal="right" vertical="bottom"/>
    </xf>
    <xf numFmtId="0" fontId="6" fillId="4" borderId="6" applyNumberFormat="0" applyFont="1" applyFill="1" applyBorder="1" applyAlignment="1" applyProtection="0">
      <alignment horizontal="center" vertical="center" wrapText="1"/>
    </xf>
    <xf numFmtId="0" fontId="6" fillId="4" borderId="7" applyNumberFormat="0" applyFont="1" applyFill="1" applyBorder="1" applyAlignment="1" applyProtection="0">
      <alignment horizontal="center" vertical="center" wrapText="1"/>
    </xf>
    <xf numFmtId="49" fontId="7" fillId="5" borderId="8" applyNumberFormat="1" applyFont="1" applyFill="1" applyBorder="1" applyAlignment="1" applyProtection="0">
      <alignment horizontal="center" vertical="bottom" readingOrder="2"/>
    </xf>
    <xf numFmtId="0" fontId="0" fillId="5" borderId="9" applyNumberFormat="0" applyFont="1" applyFill="1" applyBorder="1" applyAlignment="1" applyProtection="0">
      <alignment horizontal="right" vertical="bottom"/>
    </xf>
    <xf numFmtId="0" fontId="0" fillId="5" borderId="10" applyNumberFormat="0" applyFont="1" applyFill="1" applyBorder="1" applyAlignment="1" applyProtection="0">
      <alignment horizontal="right" vertical="bottom"/>
    </xf>
    <xf numFmtId="0" fontId="0" fillId="5" borderId="8" applyNumberFormat="0" applyFont="1" applyFill="1" applyBorder="1" applyAlignment="1" applyProtection="0">
      <alignment horizontal="right" vertical="bottom"/>
    </xf>
    <xf numFmtId="0" fontId="6" fillId="4" borderId="11" applyNumberFormat="0" applyFont="1" applyFill="1" applyBorder="1" applyAlignment="1" applyProtection="0">
      <alignment horizontal="center" vertical="center" wrapText="1"/>
    </xf>
    <xf numFmtId="0" fontId="0" fillId="5" borderId="12" applyNumberFormat="0" applyFont="1" applyFill="1" applyBorder="1" applyAlignment="1" applyProtection="0">
      <alignment horizontal="right" vertical="bottom"/>
    </xf>
    <xf numFmtId="49" fontId="8" fillId="5" borderId="8" applyNumberFormat="1" applyFont="1" applyFill="1" applyBorder="1" applyAlignment="1" applyProtection="0">
      <alignment horizontal="center" vertical="center" wrapText="1" readingOrder="2"/>
    </xf>
    <xf numFmtId="0" fontId="9" fillId="5" borderId="9" applyNumberFormat="0" applyFont="1" applyFill="1" applyBorder="1" applyAlignment="1" applyProtection="0">
      <alignment horizontal="center" vertical="center"/>
    </xf>
    <xf numFmtId="0" fontId="9" fillId="5" borderId="10" applyNumberFormat="0" applyFont="1" applyFill="1" applyBorder="1" applyAlignment="1" applyProtection="0">
      <alignment horizontal="center" vertical="center"/>
    </xf>
    <xf numFmtId="0" fontId="9" fillId="5" borderId="8" applyNumberFormat="0" applyFont="1" applyFill="1" applyBorder="1" applyAlignment="1" applyProtection="0">
      <alignment horizontal="center" vertical="center"/>
    </xf>
    <xf numFmtId="0" fontId="10" fillId="5" borderId="9" applyNumberFormat="0" applyFont="1" applyFill="1" applyBorder="1" applyAlignment="1" applyProtection="0">
      <alignment horizontal="right" vertical="bottom"/>
    </xf>
    <xf numFmtId="0" fontId="11" fillId="5" borderId="8" applyNumberFormat="0" applyFont="1" applyFill="1" applyBorder="1" applyAlignment="1" applyProtection="0">
      <alignment horizontal="center" vertical="bottom"/>
    </xf>
    <xf numFmtId="0" fontId="11" fillId="5" borderId="9" applyNumberFormat="0" applyFont="1" applyFill="1" applyBorder="1" applyAlignment="1" applyProtection="0">
      <alignment horizontal="center" vertical="bottom"/>
    </xf>
    <xf numFmtId="0" fontId="11" fillId="5" borderId="10" applyNumberFormat="0" applyFont="1" applyFill="1" applyBorder="1" applyAlignment="1" applyProtection="0">
      <alignment horizontal="center" vertical="bottom"/>
    </xf>
    <xf numFmtId="49" fontId="12" fillId="5" borderId="8" applyNumberFormat="1" applyFont="1" applyFill="1" applyBorder="1" applyAlignment="1" applyProtection="0">
      <alignment horizontal="center" vertical="center" readingOrder="2"/>
    </xf>
    <xf numFmtId="0" fontId="12" fillId="5" borderId="9" applyNumberFormat="0" applyFont="1" applyFill="1" applyBorder="1" applyAlignment="1" applyProtection="0">
      <alignment horizontal="center" vertical="center"/>
    </xf>
    <xf numFmtId="0" fontId="12" fillId="5" borderId="10" applyNumberFormat="0" applyFont="1" applyFill="1" applyBorder="1" applyAlignment="1" applyProtection="0">
      <alignment horizontal="center" vertical="center"/>
    </xf>
    <xf numFmtId="0" fontId="12" fillId="5" borderId="8" applyNumberFormat="0" applyFont="1" applyFill="1" applyBorder="1" applyAlignment="1" applyProtection="0">
      <alignment horizontal="center" vertical="center"/>
    </xf>
    <xf numFmtId="0" fontId="13" fillId="5" borderId="9" applyNumberFormat="0" applyFont="1" applyFill="1" applyBorder="1" applyAlignment="1" applyProtection="0">
      <alignment horizontal="center" vertical="center"/>
    </xf>
    <xf numFmtId="0" fontId="14" fillId="5" borderId="9" applyNumberFormat="0" applyFont="1" applyFill="1" applyBorder="1" applyAlignment="1" applyProtection="0">
      <alignment horizontal="center" vertical="bottom"/>
    </xf>
    <xf numFmtId="0" fontId="15" fillId="5" borderId="8" applyNumberFormat="0" applyFont="1" applyFill="1" applyBorder="1" applyAlignment="1" applyProtection="0">
      <alignment horizontal="right" vertical="bottom"/>
    </xf>
    <xf numFmtId="0" fontId="15" fillId="5" borderId="10" applyNumberFormat="0" applyFont="1" applyFill="1" applyBorder="1" applyAlignment="1" applyProtection="0">
      <alignment horizontal="right" vertical="bottom"/>
    </xf>
    <xf numFmtId="49" fontId="16" fillId="5" borderId="13" applyNumberFormat="1" applyFont="1" applyFill="1" applyBorder="1" applyAlignment="1" applyProtection="0">
      <alignment horizontal="right" vertical="center" readingOrder="2"/>
    </xf>
    <xf numFmtId="0" fontId="17" fillId="5" borderId="8" applyNumberFormat="0" applyFont="1" applyFill="1" applyBorder="1" applyAlignment="1" applyProtection="0">
      <alignment horizontal="right" vertical="bottom"/>
    </xf>
    <xf numFmtId="49" fontId="17" fillId="5" borderId="9" applyNumberFormat="1" applyFont="1" applyFill="1" applyBorder="1" applyAlignment="1" applyProtection="0">
      <alignment horizontal="center" vertical="center" readingOrder="1"/>
    </xf>
    <xf numFmtId="0" fontId="17" fillId="5" borderId="9" applyNumberFormat="0" applyFont="1" applyFill="1" applyBorder="1" applyAlignment="1" applyProtection="0">
      <alignment horizontal="center" vertical="center"/>
    </xf>
    <xf numFmtId="0" fontId="17" fillId="5" borderId="9" applyNumberFormat="0" applyFont="1" applyFill="1" applyBorder="1" applyAlignment="1" applyProtection="0">
      <alignment horizontal="right" vertical="bottom"/>
    </xf>
    <xf numFmtId="0" fontId="10" fillId="5" borderId="8" applyNumberFormat="0" applyFont="1" applyFill="1" applyBorder="1" applyAlignment="1" applyProtection="0">
      <alignment horizontal="right" vertical="center"/>
    </xf>
    <xf numFmtId="0" fontId="18" fillId="5" borderId="9" applyNumberFormat="0" applyFont="1" applyFill="1" applyBorder="1" applyAlignment="1" applyProtection="0">
      <alignment horizontal="left" vertical="bottom"/>
    </xf>
    <xf numFmtId="0" fontId="18" fillId="5" borderId="9" applyNumberFormat="0" applyFont="1" applyFill="1" applyBorder="1" applyAlignment="1" applyProtection="0">
      <alignment horizontal="left" vertical="center"/>
    </xf>
    <xf numFmtId="0" fontId="18" fillId="5" borderId="9" applyNumberFormat="0" applyFont="1" applyFill="1" applyBorder="1" applyAlignment="1" applyProtection="0">
      <alignment horizontal="right" vertical="center"/>
    </xf>
    <xf numFmtId="0" fontId="18" fillId="5" borderId="9" applyNumberFormat="0" applyFont="1" applyFill="1" applyBorder="1" applyAlignment="1" applyProtection="0">
      <alignment horizontal="right" vertical="bottom"/>
    </xf>
    <xf numFmtId="0" fontId="17" fillId="5" borderId="8" applyNumberFormat="0" applyFont="1" applyFill="1" applyBorder="1" applyAlignment="1" applyProtection="0">
      <alignment horizontal="right" vertical="center" wrapText="1"/>
    </xf>
    <xf numFmtId="49" fontId="17" fillId="5" borderId="9" applyNumberFormat="1" applyFont="1" applyFill="1" applyBorder="1" applyAlignment="1" applyProtection="0">
      <alignment horizontal="center" vertical="center" wrapText="1" readingOrder="1"/>
    </xf>
    <xf numFmtId="0" fontId="17" fillId="5" borderId="9" applyNumberFormat="0" applyFont="1" applyFill="1" applyBorder="1" applyAlignment="1" applyProtection="0">
      <alignment horizontal="center" vertical="center" wrapText="1"/>
    </xf>
    <xf numFmtId="0" fontId="17" fillId="5" borderId="9" applyNumberFormat="0" applyFont="1" applyFill="1" applyBorder="1" applyAlignment="1" applyProtection="0">
      <alignment horizontal="right" vertical="center" wrapText="1"/>
    </xf>
    <xf numFmtId="0" fontId="16" fillId="5" borderId="8" applyNumberFormat="0" applyFont="1" applyFill="1" applyBorder="1" applyAlignment="1" applyProtection="0">
      <alignment horizontal="right" vertical="center"/>
    </xf>
    <xf numFmtId="0" fontId="17" fillId="5" borderId="9" applyNumberFormat="0" applyFont="1" applyFill="1" applyBorder="1" applyAlignment="1" applyProtection="0">
      <alignment horizontal="left" vertical="bottom"/>
    </xf>
    <xf numFmtId="0" fontId="17" fillId="5" borderId="9" applyNumberFormat="0" applyFont="1" applyFill="1" applyBorder="1" applyAlignment="1" applyProtection="0">
      <alignment horizontal="left" vertical="center" wrapText="1"/>
    </xf>
    <xf numFmtId="0" fontId="17" fillId="5" borderId="8" applyNumberFormat="0" applyFont="1" applyFill="1" applyBorder="1" applyAlignment="1" applyProtection="0">
      <alignment horizontal="right" vertical="center"/>
    </xf>
    <xf numFmtId="0" fontId="17" fillId="5" borderId="9" applyNumberFormat="0" applyFont="1" applyFill="1" applyBorder="1" applyAlignment="1" applyProtection="0">
      <alignment horizontal="right" vertical="center"/>
    </xf>
    <xf numFmtId="0" fontId="10" fillId="5" borderId="10" applyNumberFormat="0" applyFont="1" applyFill="1" applyBorder="1" applyAlignment="1" applyProtection="0">
      <alignment horizontal="right" vertical="bottom"/>
    </xf>
    <xf numFmtId="0" fontId="18" fillId="5" borderId="8" applyNumberFormat="0" applyFont="1" applyFill="1" applyBorder="1" applyAlignment="1" applyProtection="0">
      <alignment horizontal="right" vertical="bottom"/>
    </xf>
    <xf numFmtId="49" fontId="17" fillId="5" borderId="9" applyNumberFormat="1" applyFont="1" applyFill="1" applyBorder="1" applyAlignment="1" applyProtection="0">
      <alignment horizontal="center" vertical="center" readingOrder="2"/>
    </xf>
    <xf numFmtId="0" fontId="6" fillId="4" borderId="14" applyNumberFormat="0" applyFont="1" applyFill="1" applyBorder="1" applyAlignment="1" applyProtection="0">
      <alignment horizontal="center" vertical="center" wrapText="1"/>
    </xf>
    <xf numFmtId="0" fontId="6" fillId="4" borderId="15" applyNumberFormat="0" applyFont="1" applyFill="1" applyBorder="1" applyAlignment="1" applyProtection="0">
      <alignment horizontal="center" vertical="center" wrapText="1"/>
    </xf>
    <xf numFmtId="0" fontId="0" fillId="5" borderId="16" applyNumberFormat="0" applyFont="1" applyFill="1" applyBorder="1" applyAlignment="1" applyProtection="0">
      <alignment horizontal="right" vertical="bottom"/>
    </xf>
    <xf numFmtId="0" fontId="18" fillId="5" borderId="17" applyNumberFormat="0" applyFont="1" applyFill="1" applyBorder="1" applyAlignment="1" applyProtection="0">
      <alignment horizontal="right" vertical="bottom"/>
    </xf>
    <xf numFmtId="0" fontId="18" fillId="5" borderId="17" applyNumberFormat="0" applyFont="1" applyFill="1" applyBorder="1" applyAlignment="1" applyProtection="0">
      <alignment horizontal="right" vertical="center"/>
    </xf>
    <xf numFmtId="0" fontId="10" fillId="5" borderId="18" applyNumberFormat="0" applyFont="1" applyFill="1" applyBorder="1" applyAlignment="1" applyProtection="0">
      <alignment horizontal="right" vertical="bottom"/>
    </xf>
    <xf numFmtId="0" fontId="6" fillId="6" borderId="3" applyNumberFormat="0" applyFont="1" applyFill="1" applyBorder="1" applyAlignment="1" applyProtection="0">
      <alignment horizontal="center" vertical="center" wrapText="1"/>
    </xf>
    <xf numFmtId="0" fontId="6" fillId="6" borderId="5" applyNumberFormat="0" applyFont="1" applyFill="1" applyBorder="1" applyAlignment="1" applyProtection="0">
      <alignment horizontal="center" vertical="center" wrapText="1"/>
    </xf>
    <xf numFmtId="49" fontId="16" fillId="4" borderId="19" applyNumberFormat="1" applyFont="1" applyFill="1" applyBorder="1" applyAlignment="1" applyProtection="0">
      <alignment horizontal="right" vertical="center" readingOrder="2"/>
    </xf>
    <xf numFmtId="0" fontId="17" fillId="4" borderId="20" applyNumberFormat="0" applyFont="1" applyFill="1" applyBorder="1" applyAlignment="1" applyProtection="0">
      <alignment horizontal="right" vertical="center" wrapText="1"/>
    </xf>
    <xf numFmtId="49" fontId="17" fillId="4" borderId="21" applyNumberFormat="1" applyFont="1" applyFill="1" applyBorder="1" applyAlignment="1" applyProtection="0">
      <alignment horizontal="center" vertical="center" wrapText="1" readingOrder="1"/>
    </xf>
    <xf numFmtId="0" fontId="17" fillId="4" borderId="21" applyNumberFormat="0" applyFont="1" applyFill="1" applyBorder="1" applyAlignment="1" applyProtection="0">
      <alignment horizontal="center" vertical="center" wrapText="1"/>
    </xf>
    <xf numFmtId="0" fontId="17" fillId="4" borderId="21" applyNumberFormat="0" applyFont="1" applyFill="1" applyBorder="1" applyAlignment="1" applyProtection="0">
      <alignment horizontal="right" vertical="center" wrapText="1"/>
    </xf>
    <xf numFmtId="0" fontId="17" fillId="4" borderId="22" applyNumberFormat="0" applyFont="1" applyFill="1" applyBorder="1" applyAlignment="1" applyProtection="0">
      <alignment horizontal="right" vertical="center" wrapText="1"/>
    </xf>
    <xf numFmtId="0" fontId="16" fillId="4" borderId="23" applyNumberFormat="0" applyFont="1" applyFill="1" applyBorder="1" applyAlignment="1" applyProtection="0">
      <alignment horizontal="right" vertical="center"/>
    </xf>
    <xf numFmtId="0" fontId="6" fillId="6" borderId="8" applyNumberFormat="0" applyFont="1" applyFill="1" applyBorder="1" applyAlignment="1" applyProtection="0">
      <alignment horizontal="center" vertical="center" wrapText="1"/>
    </xf>
    <xf numFmtId="0" fontId="6" fillId="6" borderId="10" applyNumberFormat="0" applyFont="1" applyFill="1" applyBorder="1" applyAlignment="1" applyProtection="0">
      <alignment horizontal="center" vertical="center" wrapText="1"/>
    </xf>
    <xf numFmtId="49" fontId="16" fillId="4" borderId="24" applyNumberFormat="1" applyFont="1" applyFill="1" applyBorder="1" applyAlignment="1" applyProtection="0">
      <alignment horizontal="right" vertical="center" readingOrder="2"/>
    </xf>
    <xf numFmtId="0" fontId="17" fillId="4" borderId="25" applyNumberFormat="0" applyFont="1" applyFill="1" applyBorder="1" applyAlignment="1" applyProtection="0">
      <alignment horizontal="right" vertical="center" wrapText="1"/>
    </xf>
    <xf numFmtId="49" fontId="17" fillId="4" borderId="26" applyNumberFormat="1" applyFont="1" applyFill="1" applyBorder="1" applyAlignment="1" applyProtection="0">
      <alignment horizontal="center" vertical="center" wrapText="1" readingOrder="1"/>
    </xf>
    <xf numFmtId="0" fontId="17" fillId="4" borderId="26" applyNumberFormat="0" applyFont="1" applyFill="1" applyBorder="1" applyAlignment="1" applyProtection="0">
      <alignment horizontal="center" vertical="center" wrapText="1"/>
    </xf>
    <xf numFmtId="0" fontId="17" fillId="4" borderId="26" applyNumberFormat="0" applyFont="1" applyFill="1" applyBorder="1" applyAlignment="1" applyProtection="0">
      <alignment horizontal="right" vertical="center" wrapText="1"/>
    </xf>
    <xf numFmtId="0" fontId="17" fillId="4" borderId="27" applyNumberFormat="0" applyFont="1" applyFill="1" applyBorder="1" applyAlignment="1" applyProtection="0">
      <alignment horizontal="right" vertical="center" wrapText="1"/>
    </xf>
    <xf numFmtId="0" fontId="16" fillId="4" borderId="28" applyNumberFormat="0" applyFont="1" applyFill="1" applyBorder="1" applyAlignment="1" applyProtection="0">
      <alignment horizontal="right" vertical="center"/>
    </xf>
    <xf numFmtId="0" fontId="6" fillId="6" borderId="29" applyNumberFormat="0" applyFont="1" applyFill="1" applyBorder="1" applyAlignment="1" applyProtection="0">
      <alignment horizontal="center" vertical="center" wrapText="1"/>
    </xf>
    <xf numFmtId="49" fontId="16" fillId="4" borderId="30" applyNumberFormat="1" applyFont="1" applyFill="1" applyBorder="1" applyAlignment="1" applyProtection="0">
      <alignment horizontal="right" vertical="center" readingOrder="2"/>
    </xf>
    <xf numFmtId="0" fontId="0" fillId="4" borderId="25" applyNumberFormat="0" applyFont="1" applyFill="1" applyBorder="1" applyAlignment="1" applyProtection="0">
      <alignment horizontal="right" vertical="bottom"/>
    </xf>
    <xf numFmtId="0" fontId="6" fillId="6" borderId="31" applyNumberFormat="0" applyFont="1" applyFill="1" applyBorder="1" applyAlignment="1" applyProtection="0">
      <alignment horizontal="center" vertical="center" wrapText="1"/>
    </xf>
    <xf numFmtId="0" fontId="6" fillId="6" borderId="32" applyNumberFormat="0" applyFont="1" applyFill="1" applyBorder="1" applyAlignment="1" applyProtection="0">
      <alignment horizontal="center" vertical="center" wrapText="1"/>
    </xf>
    <xf numFmtId="0" fontId="16" fillId="4" borderId="33" applyNumberFormat="0" applyFont="1" applyFill="1" applyBorder="1" applyAlignment="1" applyProtection="0">
      <alignment horizontal="right" vertical="center"/>
    </xf>
    <xf numFmtId="0" fontId="0" fillId="4" borderId="34" applyNumberFormat="0" applyFont="1" applyFill="1" applyBorder="1" applyAlignment="1" applyProtection="0">
      <alignment horizontal="right" vertical="bottom"/>
    </xf>
    <xf numFmtId="0" fontId="17" fillId="4" borderId="35" applyNumberFormat="0" applyFont="1" applyFill="1" applyBorder="1" applyAlignment="1" applyProtection="0">
      <alignment horizontal="center" vertical="center" wrapText="1"/>
    </xf>
    <xf numFmtId="0" fontId="17" fillId="4" borderId="35" applyNumberFormat="0" applyFont="1" applyFill="1" applyBorder="1" applyAlignment="1" applyProtection="0">
      <alignment horizontal="right" vertical="center" wrapText="1"/>
    </xf>
    <xf numFmtId="0" fontId="0" fillId="4" borderId="36" applyNumberFormat="0" applyFont="1" applyFill="1" applyBorder="1" applyAlignment="1" applyProtection="0">
      <alignment horizontal="right" vertical="bottom"/>
    </xf>
    <xf numFmtId="0" fontId="16" fillId="4" borderId="37" applyNumberFormat="0" applyFont="1" applyFill="1" applyBorder="1" applyAlignment="1" applyProtection="0">
      <alignment horizontal="right" vertical="center"/>
    </xf>
    <xf numFmtId="0" fontId="19" fillId="7" borderId="38" applyNumberFormat="0" applyFont="1" applyFill="1" applyBorder="1" applyAlignment="1" applyProtection="0">
      <alignment horizontal="right" vertical="bottom"/>
    </xf>
    <xf numFmtId="0" fontId="0" fillId="4" borderId="38" applyNumberFormat="0" applyFont="1" applyFill="1" applyBorder="1" applyAlignment="1" applyProtection="0">
      <alignment horizontal="right" vertical="bottom"/>
    </xf>
    <xf numFmtId="0" fontId="19" fillId="7" borderId="39" applyNumberFormat="0" applyFont="1" applyFill="1" applyBorder="1" applyAlignment="1" applyProtection="0">
      <alignment horizontal="right" vertical="bottom"/>
    </xf>
    <xf numFmtId="0" fontId="0" fillId="4" borderId="39" applyNumberFormat="0" applyFont="1" applyFill="1" applyBorder="1" applyAlignment="1" applyProtection="0">
      <alignment horizontal="right" vertical="bottom"/>
    </xf>
    <xf numFmtId="0" fontId="0" applyNumberFormat="1" applyFont="1" applyFill="0" applyBorder="0" applyAlignment="1" applyProtection="0">
      <alignment vertical="bottom"/>
    </xf>
    <xf numFmtId="0" fontId="0" fillId="4" borderId="40" applyNumberFormat="0" applyFont="1" applyFill="1" applyBorder="1" applyAlignment="1" applyProtection="0">
      <alignment horizontal="right" vertical="bottom" wrapText="1"/>
    </xf>
    <xf numFmtId="0" fontId="0" fillId="4" borderId="41" applyNumberFormat="0" applyFont="1" applyFill="1" applyBorder="1" applyAlignment="1" applyProtection="0">
      <alignment horizontal="right" vertical="bottom" wrapText="1"/>
    </xf>
    <xf numFmtId="0" fontId="0" fillId="4" borderId="42" applyNumberFormat="0" applyFont="1" applyFill="1" applyBorder="1" applyAlignment="1" applyProtection="0">
      <alignment horizontal="right" vertical="bottom" wrapText="1"/>
    </xf>
    <xf numFmtId="0" fontId="0" fillId="4" borderId="43" applyNumberFormat="0" applyFont="1" applyFill="1" applyBorder="1" applyAlignment="1" applyProtection="0">
      <alignment horizontal="right" vertical="bottom" wrapText="1"/>
    </xf>
    <xf numFmtId="0" fontId="20" fillId="4" borderId="44" applyNumberFormat="0" applyFont="1" applyFill="1" applyBorder="1" applyAlignment="1" applyProtection="0">
      <alignment horizontal="center" vertical="center" wrapText="1" readingOrder="2"/>
    </xf>
    <xf numFmtId="0" fontId="20" fillId="4" borderId="45" applyNumberFormat="0" applyFont="1" applyFill="1" applyBorder="1" applyAlignment="1" applyProtection="0">
      <alignment horizontal="center" vertical="center" wrapText="1" readingOrder="2"/>
    </xf>
    <xf numFmtId="0" fontId="20" fillId="4" borderId="46" applyNumberFormat="0" applyFont="1" applyFill="1" applyBorder="1" applyAlignment="1" applyProtection="0">
      <alignment horizontal="center" vertical="center" wrapText="1" readingOrder="2"/>
    </xf>
    <xf numFmtId="0" fontId="0" fillId="4" borderId="12" applyNumberFormat="0" applyFont="1" applyFill="1" applyBorder="1" applyAlignment="1" applyProtection="0">
      <alignment horizontal="right" vertical="bottom" wrapText="1"/>
    </xf>
    <xf numFmtId="0" fontId="0" fillId="4" borderId="9" applyNumberFormat="0" applyFont="1" applyFill="1" applyBorder="1" applyAlignment="1" applyProtection="0">
      <alignment horizontal="right" vertical="bottom" wrapText="1"/>
    </xf>
    <xf numFmtId="0" fontId="0" fillId="4" borderId="47" applyNumberFormat="0" applyFont="1" applyFill="1" applyBorder="1" applyAlignment="1" applyProtection="0">
      <alignment horizontal="right" vertical="bottom" wrapText="1"/>
    </xf>
    <xf numFmtId="0" fontId="20" fillId="4" borderId="12" applyNumberFormat="0" applyFont="1" applyFill="1" applyBorder="1" applyAlignment="1" applyProtection="0">
      <alignment horizontal="center" vertical="center" wrapText="1" readingOrder="2"/>
    </xf>
    <xf numFmtId="0" fontId="20" fillId="4" borderId="9" applyNumberFormat="0" applyFont="1" applyFill="1" applyBorder="1" applyAlignment="1" applyProtection="0">
      <alignment horizontal="center" vertical="center" wrapText="1" readingOrder="2"/>
    </xf>
    <xf numFmtId="0" fontId="20" fillId="4" borderId="29" applyNumberFormat="0" applyFont="1" applyFill="1" applyBorder="1" applyAlignment="1" applyProtection="0">
      <alignment horizontal="center" vertical="center" wrapText="1" readingOrder="2"/>
    </xf>
    <xf numFmtId="0" fontId="20" fillId="4" borderId="16" applyNumberFormat="0" applyFont="1" applyFill="1" applyBorder="1" applyAlignment="1" applyProtection="0">
      <alignment horizontal="center" vertical="center" wrapText="1" readingOrder="2"/>
    </xf>
    <xf numFmtId="0" fontId="20" fillId="4" borderId="17" applyNumberFormat="0" applyFont="1" applyFill="1" applyBorder="1" applyAlignment="1" applyProtection="0">
      <alignment horizontal="center" vertical="center" wrapText="1" readingOrder="2"/>
    </xf>
    <xf numFmtId="0" fontId="20" fillId="4" borderId="48" applyNumberFormat="0" applyFont="1" applyFill="1" applyBorder="1" applyAlignment="1" applyProtection="0">
      <alignment horizontal="center" vertical="center" wrapText="1" readingOrder="2"/>
    </xf>
    <xf numFmtId="0" fontId="0" fillId="4" borderId="49" applyNumberFormat="0" applyFont="1" applyFill="1" applyBorder="1" applyAlignment="1" applyProtection="0">
      <alignment horizontal="right" vertical="bottom" wrapText="1"/>
    </xf>
    <xf numFmtId="0" fontId="0" fillId="4" borderId="50" applyNumberFormat="0" applyFont="1" applyFill="1" applyBorder="1" applyAlignment="1" applyProtection="0">
      <alignment horizontal="right" vertical="bottom" wrapText="1"/>
    </xf>
    <xf numFmtId="0" fontId="0" fillId="4" borderId="45" applyNumberFormat="0" applyFont="1" applyFill="1" applyBorder="1" applyAlignment="1" applyProtection="0">
      <alignment horizontal="right" vertical="bottom" wrapText="1"/>
    </xf>
    <xf numFmtId="0" fontId="0" fillId="4" borderId="51" applyNumberFormat="0" applyFont="1" applyFill="1" applyBorder="1" applyAlignment="1" applyProtection="0">
      <alignment horizontal="right" vertical="bottom" wrapText="1"/>
    </xf>
    <xf numFmtId="49" fontId="16" fillId="5" borderId="52" applyNumberFormat="1" applyFont="1" applyFill="1" applyBorder="1" applyAlignment="1" applyProtection="0">
      <alignment horizontal="center" vertical="center" wrapText="1" readingOrder="2"/>
    </xf>
    <xf numFmtId="0" fontId="16" fillId="5" borderId="50" applyNumberFormat="0" applyFont="1" applyFill="1" applyBorder="1" applyAlignment="1" applyProtection="0">
      <alignment horizontal="center" vertical="center" wrapText="1" readingOrder="2"/>
    </xf>
    <xf numFmtId="0" fontId="16" fillId="5" borderId="53" applyNumberFormat="0" applyFont="1" applyFill="1" applyBorder="1" applyAlignment="1" applyProtection="0">
      <alignment horizontal="center" vertical="center" wrapText="1" readingOrder="2"/>
    </xf>
    <xf numFmtId="0" fontId="0" fillId="4" borderId="9" applyNumberFormat="0" applyFont="1" applyFill="1" applyBorder="1" applyAlignment="1" applyProtection="0">
      <alignment horizontal="left" vertical="bottom" wrapText="1" readingOrder="2"/>
    </xf>
    <xf numFmtId="0" fontId="0" fillId="4" borderId="47" applyNumberFormat="0" applyFont="1" applyFill="1" applyBorder="1" applyAlignment="1" applyProtection="0">
      <alignment horizontal="left" vertical="bottom" wrapText="1" readingOrder="2"/>
    </xf>
    <xf numFmtId="0" fontId="0" fillId="4" borderId="54" applyNumberFormat="0" applyFont="1" applyFill="1" applyBorder="1" applyAlignment="1" applyProtection="0">
      <alignment horizontal="right" vertical="bottom" wrapText="1"/>
    </xf>
    <xf numFmtId="49" fontId="21" fillId="4" borderId="54" applyNumberFormat="1" applyFont="1" applyFill="1" applyBorder="1" applyAlignment="1" applyProtection="0">
      <alignment horizontal="right" vertical="center" wrapText="1" readingOrder="2"/>
    </xf>
    <xf numFmtId="0" fontId="21" fillId="4" borderId="9" applyNumberFormat="0" applyFont="1" applyFill="1" applyBorder="1" applyAlignment="1" applyProtection="0">
      <alignment horizontal="right" vertical="center" wrapText="1" readingOrder="2"/>
    </xf>
    <xf numFmtId="49" fontId="22" fillId="4" borderId="54" applyNumberFormat="1" applyFont="1" applyFill="1" applyBorder="1" applyAlignment="1" applyProtection="0">
      <alignment horizontal="right" vertical="center" wrapText="1" readingOrder="2"/>
    </xf>
    <xf numFmtId="0" fontId="22" fillId="4" borderId="9" applyNumberFormat="0" applyFont="1" applyFill="1" applyBorder="1" applyAlignment="1" applyProtection="0">
      <alignment horizontal="right" vertical="center" wrapText="1" readingOrder="2"/>
    </xf>
    <xf numFmtId="49" fontId="21" fillId="4" borderId="54" applyNumberFormat="1" applyFont="1" applyFill="1" applyBorder="1" applyAlignment="1" applyProtection="0">
      <alignment horizontal="right" vertical="bottom" wrapText="1" readingOrder="2"/>
    </xf>
    <xf numFmtId="0" fontId="21" fillId="4" borderId="9" applyNumberFormat="0" applyFont="1" applyFill="1" applyBorder="1" applyAlignment="1" applyProtection="0">
      <alignment horizontal="right" vertical="bottom" wrapText="1" readingOrder="2"/>
    </xf>
    <xf numFmtId="0" fontId="21" fillId="4" borderId="55" applyNumberFormat="0" applyFont="1" applyFill="1" applyBorder="1" applyAlignment="1" applyProtection="0">
      <alignment horizontal="right" vertical="bottom" wrapText="1" readingOrder="2"/>
    </xf>
    <xf numFmtId="0" fontId="21" fillId="4" borderId="17" applyNumberFormat="0" applyFont="1" applyFill="1" applyBorder="1" applyAlignment="1" applyProtection="0">
      <alignment horizontal="right" vertical="bottom" wrapText="1" readingOrder="2"/>
    </xf>
    <xf numFmtId="49" fontId="23" fillId="4" borderId="52" applyNumberFormat="1" applyFont="1" applyFill="1" applyBorder="1" applyAlignment="1" applyProtection="0">
      <alignment horizontal="center" vertical="center" wrapText="1" readingOrder="2"/>
    </xf>
    <xf numFmtId="0" fontId="23" fillId="4" borderId="50" applyNumberFormat="0" applyFont="1" applyFill="1" applyBorder="1" applyAlignment="1" applyProtection="0">
      <alignment horizontal="center" vertical="center" wrapText="1" readingOrder="2"/>
    </xf>
    <xf numFmtId="0" fontId="23" fillId="4" borderId="53" applyNumberFormat="0" applyFont="1" applyFill="1" applyBorder="1" applyAlignment="1" applyProtection="0">
      <alignment horizontal="center" vertical="center" wrapText="1" readingOrder="2"/>
    </xf>
    <xf numFmtId="0" fontId="0" fillId="4" borderId="56" applyNumberFormat="0" applyFont="1" applyFill="1" applyBorder="1" applyAlignment="1" applyProtection="0">
      <alignment horizontal="right" vertical="bottom" wrapText="1"/>
    </xf>
    <xf numFmtId="0" fontId="0" fillId="4" borderId="57" applyNumberFormat="0" applyFont="1" applyFill="1" applyBorder="1" applyAlignment="1" applyProtection="0">
      <alignment horizontal="right" vertical="bottom" wrapText="1"/>
    </xf>
    <xf numFmtId="0" fontId="0" fillId="4" borderId="58" applyNumberFormat="0" applyFont="1" applyFill="1" applyBorder="1" applyAlignment="1" applyProtection="0">
      <alignment horizontal="right" vertical="bottom" wrapText="1"/>
    </xf>
    <xf numFmtId="0" fontId="0" applyNumberFormat="1" applyFont="1" applyFill="0" applyBorder="0" applyAlignment="1" applyProtection="0">
      <alignment vertical="bottom"/>
    </xf>
    <xf numFmtId="0" fontId="0" fillId="4" borderId="59" applyNumberFormat="0" applyFont="1" applyFill="1" applyBorder="1" applyAlignment="1" applyProtection="0">
      <alignment horizontal="right" vertical="center"/>
    </xf>
    <xf numFmtId="0" fontId="0" fillId="4" borderId="60" applyNumberFormat="0" applyFont="1" applyFill="1" applyBorder="1" applyAlignment="1" applyProtection="0">
      <alignment horizontal="right" vertical="center"/>
    </xf>
    <xf numFmtId="0" fontId="0" fillId="4" borderId="43" applyNumberFormat="0" applyFont="1" applyFill="1" applyBorder="1" applyAlignment="1" applyProtection="0">
      <alignment horizontal="right" vertical="center"/>
    </xf>
    <xf numFmtId="49" fontId="24" fillId="5" borderId="61" applyNumberFormat="1" applyFont="1" applyFill="1" applyBorder="1" applyAlignment="1" applyProtection="0">
      <alignment horizontal="center" vertical="center" wrapText="1" readingOrder="2"/>
    </xf>
    <xf numFmtId="0" fontId="16" fillId="5" borderId="62" applyNumberFormat="0" applyFont="1" applyFill="1" applyBorder="1" applyAlignment="1" applyProtection="0">
      <alignment horizontal="center" vertical="center" wrapText="1" readingOrder="2"/>
    </xf>
    <xf numFmtId="0" fontId="0" fillId="4" borderId="47" applyNumberFormat="0" applyFont="1" applyFill="1" applyBorder="1" applyAlignment="1" applyProtection="0">
      <alignment horizontal="right" vertical="center"/>
    </xf>
    <xf numFmtId="49" fontId="17" fillId="4" borderId="63" applyNumberFormat="1" applyFont="1" applyFill="1" applyBorder="1" applyAlignment="1" applyProtection="0">
      <alignment horizontal="center" vertical="center" wrapText="1" readingOrder="2"/>
    </xf>
    <xf numFmtId="0" fontId="17" fillId="4" borderId="64" applyNumberFormat="0" applyFont="1" applyFill="1" applyBorder="1" applyAlignment="1" applyProtection="0">
      <alignment horizontal="center" vertical="center" wrapText="1" readingOrder="2"/>
    </xf>
    <xf numFmtId="0" fontId="17" fillId="4" borderId="65" applyNumberFormat="0" applyFont="1" applyFill="1" applyBorder="1" applyAlignment="1" applyProtection="0">
      <alignment horizontal="center" vertical="center" wrapText="1" readingOrder="2"/>
    </xf>
    <xf numFmtId="0" fontId="0" fillId="4" borderId="66" applyNumberFormat="0" applyFont="1" applyFill="1" applyBorder="1" applyAlignment="1" applyProtection="0">
      <alignment horizontal="right" vertical="center"/>
    </xf>
    <xf numFmtId="49" fontId="26" fillId="5" borderId="67" applyNumberFormat="1" applyFont="1" applyFill="1" applyBorder="1" applyAlignment="1" applyProtection="0">
      <alignment horizontal="center" vertical="center" wrapText="1" readingOrder="2"/>
    </xf>
    <xf numFmtId="49" fontId="26" fillId="5" borderId="68" applyNumberFormat="1" applyFont="1" applyFill="1" applyBorder="1" applyAlignment="1" applyProtection="0">
      <alignment horizontal="center" vertical="center" wrapText="1" readingOrder="2"/>
    </xf>
    <xf numFmtId="49" fontId="26" fillId="5" borderId="69" applyNumberFormat="1" applyFont="1" applyFill="1" applyBorder="1" applyAlignment="1" applyProtection="0">
      <alignment horizontal="center" vertical="center" wrapText="1" readingOrder="2"/>
    </xf>
    <xf numFmtId="49" fontId="26" fillId="8" borderId="68" applyNumberFormat="1" applyFont="1" applyFill="1" applyBorder="1" applyAlignment="1" applyProtection="0">
      <alignment horizontal="center" vertical="center" wrapText="1" readingOrder="2"/>
    </xf>
    <xf numFmtId="0" fontId="27" fillId="4" borderId="68" applyNumberFormat="1" applyFont="1" applyFill="1" applyBorder="1" applyAlignment="1" applyProtection="0">
      <alignment horizontal="center" vertical="center" wrapText="1" readingOrder="2"/>
    </xf>
    <xf numFmtId="49" fontId="28" fillId="4" borderId="68" applyNumberFormat="1" applyFont="1" applyFill="1" applyBorder="1" applyAlignment="1" applyProtection="0">
      <alignment horizontal="center" vertical="center" wrapText="1" readingOrder="2"/>
    </xf>
    <xf numFmtId="49" fontId="2" fillId="4" borderId="68" applyNumberFormat="1" applyFont="1" applyFill="1" applyBorder="1" applyAlignment="1" applyProtection="0">
      <alignment horizontal="center" vertical="center" wrapText="1" readingOrder="2"/>
    </xf>
    <xf numFmtId="1" fontId="27" fillId="4" borderId="68" applyNumberFormat="1" applyFont="1" applyFill="1" applyBorder="1" applyAlignment="1" applyProtection="0">
      <alignment horizontal="center" vertical="center" wrapText="1" readingOrder="2"/>
    </xf>
    <xf numFmtId="9" fontId="29" fillId="4" borderId="68" applyNumberFormat="1" applyFont="1" applyFill="1" applyBorder="1" applyAlignment="1" applyProtection="0">
      <alignment horizontal="center" vertical="center" wrapText="1" readingOrder="2"/>
    </xf>
    <xf numFmtId="9" fontId="30" fillId="9" borderId="70" applyNumberFormat="1" applyFont="1" applyFill="1" applyBorder="1" applyAlignment="1" applyProtection="0">
      <alignment horizontal="center" vertical="center" readingOrder="2"/>
    </xf>
    <xf numFmtId="49" fontId="0" fillId="4" borderId="68" applyNumberFormat="1" applyFont="1" applyFill="1" applyBorder="1" applyAlignment="1" applyProtection="0">
      <alignment horizontal="right" vertical="center" wrapText="1" readingOrder="2"/>
    </xf>
    <xf numFmtId="1" fontId="27" fillId="4" borderId="69" applyNumberFormat="1" applyFont="1" applyFill="1" applyBorder="1" applyAlignment="1" applyProtection="0">
      <alignment horizontal="center" vertical="center" wrapText="1" readingOrder="2"/>
    </xf>
    <xf numFmtId="0" fontId="0" fillId="4" borderId="68" applyNumberFormat="0" applyFont="1" applyFill="1" applyBorder="1" applyAlignment="1" applyProtection="0">
      <alignment horizontal="right" vertical="center"/>
    </xf>
    <xf numFmtId="1" fontId="30" fillId="4" borderId="71" applyNumberFormat="1" applyFont="1" applyFill="1" applyBorder="1" applyAlignment="1" applyProtection="0">
      <alignment horizontal="center" vertical="center" readingOrder="2"/>
    </xf>
    <xf numFmtId="49" fontId="0" fillId="4" borderId="68" applyNumberFormat="1" applyFont="1" applyFill="1" applyBorder="1" applyAlignment="1" applyProtection="0">
      <alignment horizontal="right" vertical="center" readingOrder="2"/>
    </xf>
    <xf numFmtId="49" fontId="27" fillId="4" borderId="68" applyNumberFormat="1" applyFont="1" applyFill="1" applyBorder="1" applyAlignment="1" applyProtection="0">
      <alignment horizontal="center" vertical="center" wrapText="1" readingOrder="2"/>
    </xf>
    <xf numFmtId="2" fontId="27" fillId="4" borderId="68" applyNumberFormat="1" applyFont="1" applyFill="1" applyBorder="1" applyAlignment="1" applyProtection="0">
      <alignment horizontal="center" vertical="center" wrapText="1" readingOrder="2"/>
    </xf>
    <xf numFmtId="2" fontId="27" fillId="4" borderId="69" applyNumberFormat="1" applyFont="1" applyFill="1" applyBorder="1" applyAlignment="1" applyProtection="0">
      <alignment horizontal="center" vertical="center" wrapText="1" readingOrder="2"/>
    </xf>
    <xf numFmtId="1" fontId="30" fillId="4" borderId="70" applyNumberFormat="1" applyFont="1" applyFill="1" applyBorder="1" applyAlignment="1" applyProtection="0">
      <alignment horizontal="center" vertical="center" readingOrder="2"/>
    </xf>
    <xf numFmtId="9" fontId="27" fillId="4" borderId="68" applyNumberFormat="1" applyFont="1" applyFill="1" applyBorder="1" applyAlignment="1" applyProtection="0">
      <alignment horizontal="center" vertical="center" wrapText="1" readingOrder="2"/>
    </xf>
    <xf numFmtId="2" fontId="30" fillId="4" borderId="70" applyNumberFormat="1" applyFont="1" applyFill="1" applyBorder="1" applyAlignment="1" applyProtection="0">
      <alignment horizontal="center" vertical="center" readingOrder="2"/>
    </xf>
    <xf numFmtId="0" fontId="27" fillId="4" borderId="68" applyNumberFormat="0" applyFont="1" applyFill="1" applyBorder="1" applyAlignment="1" applyProtection="0">
      <alignment horizontal="center" vertical="center" wrapText="1" readingOrder="2"/>
    </xf>
    <xf numFmtId="0" fontId="0" fillId="4" borderId="72" applyNumberFormat="0" applyFont="1" applyFill="1" applyBorder="1" applyAlignment="1" applyProtection="0">
      <alignment horizontal="right" vertical="center"/>
    </xf>
    <xf numFmtId="0" fontId="0" fillId="4" borderId="73" applyNumberFormat="0" applyFont="1" applyFill="1" applyBorder="1" applyAlignment="1" applyProtection="0">
      <alignment horizontal="right" vertical="center"/>
    </xf>
    <xf numFmtId="0" fontId="0" fillId="4" borderId="74" applyNumberFormat="0" applyFont="1" applyFill="1" applyBorder="1" applyAlignment="1" applyProtection="0">
      <alignment horizontal="right" vertical="center"/>
    </xf>
    <xf numFmtId="0" fontId="23" fillId="4" borderId="75" applyNumberFormat="0" applyFont="1" applyFill="1" applyBorder="1" applyAlignment="1" applyProtection="0">
      <alignment horizontal="center" vertical="center" wrapText="1" readingOrder="2"/>
    </xf>
    <xf numFmtId="0" fontId="23" fillId="4" borderId="68" applyNumberFormat="0" applyFont="1" applyFill="1" applyBorder="1" applyAlignment="1" applyProtection="0">
      <alignment horizontal="left" vertical="center" wrapText="1" readingOrder="2"/>
    </xf>
    <xf numFmtId="0" fontId="23" fillId="4" borderId="76" applyNumberFormat="0" applyFont="1" applyFill="1" applyBorder="1" applyAlignment="1" applyProtection="0">
      <alignment horizontal="left" vertical="center" wrapText="1" readingOrder="2"/>
    </xf>
    <xf numFmtId="9" fontId="31" fillId="4" borderId="69" applyNumberFormat="1" applyFont="1" applyFill="1" applyBorder="1" applyAlignment="1" applyProtection="0">
      <alignment horizontal="center" vertical="center" readingOrder="2"/>
    </xf>
    <xf numFmtId="2" fontId="30" fillId="4" borderId="71" applyNumberFormat="1" applyFont="1" applyFill="1" applyBorder="1" applyAlignment="1" applyProtection="0">
      <alignment horizontal="center" vertical="center" readingOrder="2"/>
    </xf>
    <xf numFmtId="9" fontId="30" fillId="9" borderId="71" applyNumberFormat="1" applyFont="1" applyFill="1" applyBorder="1" applyAlignment="1" applyProtection="0">
      <alignment horizontal="center" vertical="center" readingOrder="2"/>
    </xf>
    <xf numFmtId="0" fontId="0" fillId="4" borderId="77" applyNumberFormat="0" applyFont="1" applyFill="1" applyBorder="1" applyAlignment="1" applyProtection="0">
      <alignment horizontal="right" vertical="center"/>
    </xf>
    <xf numFmtId="0" fontId="0" fillId="4" borderId="62" applyNumberFormat="0" applyFont="1" applyFill="1" applyBorder="1" applyAlignment="1" applyProtection="0">
      <alignment horizontal="right" vertical="center"/>
    </xf>
    <xf numFmtId="0" fontId="0" fillId="4" borderId="17" applyNumberFormat="0" applyFont="1" applyFill="1" applyBorder="1" applyAlignment="1" applyProtection="0">
      <alignment horizontal="right" vertical="center"/>
    </xf>
    <xf numFmtId="9" fontId="0" fillId="4" borderId="50" applyNumberFormat="1" applyFont="1" applyFill="1" applyBorder="1" applyAlignment="1" applyProtection="0">
      <alignment horizontal="right" vertical="center"/>
    </xf>
    <xf numFmtId="9" fontId="0" fillId="4" borderId="62" applyNumberFormat="1" applyFont="1" applyFill="1" applyBorder="1" applyAlignment="1" applyProtection="0">
      <alignment horizontal="right" vertical="center"/>
    </xf>
    <xf numFmtId="0" fontId="0" fillId="4" borderId="78" applyNumberFormat="0" applyFont="1" applyFill="1" applyBorder="1" applyAlignment="1" applyProtection="0">
      <alignment horizontal="right" vertical="center"/>
    </xf>
    <xf numFmtId="49" fontId="32" fillId="4" borderId="52" applyNumberFormat="1" applyFont="1" applyFill="1" applyBorder="1" applyAlignment="1" applyProtection="0">
      <alignment horizontal="center" vertical="center" readingOrder="2"/>
    </xf>
    <xf numFmtId="0" fontId="32" fillId="4" borderId="53" applyNumberFormat="0" applyFont="1" applyFill="1" applyBorder="1" applyAlignment="1" applyProtection="0">
      <alignment horizontal="center" vertical="center" readingOrder="2"/>
    </xf>
    <xf numFmtId="0" fontId="32" fillId="4" borderId="52" applyNumberFormat="0" applyFont="1" applyFill="1" applyBorder="1" applyAlignment="1" applyProtection="0">
      <alignment horizontal="center" vertical="center" readingOrder="2"/>
    </xf>
    <xf numFmtId="0" fontId="32" fillId="4" borderId="50" applyNumberFormat="0" applyFont="1" applyFill="1" applyBorder="1" applyAlignment="1" applyProtection="0">
      <alignment horizontal="center" vertical="center" readingOrder="2"/>
    </xf>
    <xf numFmtId="9" fontId="32" fillId="4" borderId="50" applyNumberFormat="1" applyFont="1" applyFill="1" applyBorder="1" applyAlignment="1" applyProtection="0">
      <alignment horizontal="center" vertical="center" readingOrder="2"/>
    </xf>
    <xf numFmtId="9" fontId="32" fillId="4" borderId="53" applyNumberFormat="1" applyFont="1" applyFill="1" applyBorder="1" applyAlignment="1" applyProtection="0">
      <alignment horizontal="center" vertical="center" readingOrder="2"/>
    </xf>
    <xf numFmtId="0" fontId="0" fillId="4" borderId="79" applyNumberFormat="0" applyFont="1" applyFill="1" applyBorder="1" applyAlignment="1" applyProtection="0">
      <alignment horizontal="right" vertical="center"/>
    </xf>
    <xf numFmtId="0" fontId="0" applyNumberFormat="1" applyFont="1" applyFill="0" applyBorder="0" applyAlignment="1" applyProtection="0">
      <alignment vertical="bottom"/>
    </xf>
    <xf numFmtId="0" fontId="0" fillId="4" borderId="80" applyNumberFormat="0" applyFont="1" applyFill="1" applyBorder="1" applyAlignment="1" applyProtection="0">
      <alignment horizontal="right" vertical="center"/>
    </xf>
    <xf numFmtId="0" fontId="33" fillId="4" borderId="81" applyNumberFormat="0" applyFont="1" applyFill="1" applyBorder="1" applyAlignment="1" applyProtection="0">
      <alignment horizontal="center" vertical="center" readingOrder="2"/>
    </xf>
    <xf numFmtId="0" fontId="0" fillId="4" borderId="81" applyNumberFormat="0" applyFont="1" applyFill="1" applyBorder="1" applyAlignment="1" applyProtection="0">
      <alignment horizontal="right" vertical="center"/>
    </xf>
    <xf numFmtId="0" fontId="0" fillId="4" borderId="39" applyNumberFormat="0" applyFont="1" applyFill="1" applyBorder="1" applyAlignment="1" applyProtection="0">
      <alignment horizontal="right" vertical="center"/>
    </xf>
    <xf numFmtId="0" fontId="0" fillId="4" borderId="82" applyNumberFormat="0" applyFont="1" applyFill="1" applyBorder="1" applyAlignment="1" applyProtection="0">
      <alignment horizontal="right" vertical="center"/>
    </xf>
    <xf numFmtId="0" fontId="24" fillId="5" borderId="62" applyNumberFormat="0" applyFont="1" applyFill="1" applyBorder="1" applyAlignment="1" applyProtection="0">
      <alignment horizontal="center" vertical="center" wrapText="1" readingOrder="2"/>
    </xf>
    <xf numFmtId="0" fontId="0" fillId="4" borderId="83" applyNumberFormat="0" applyFont="1" applyFill="1" applyBorder="1" applyAlignment="1" applyProtection="0">
      <alignment horizontal="right" vertical="center"/>
    </xf>
    <xf numFmtId="0" fontId="34" fillId="4" borderId="39" applyNumberFormat="0" applyFont="1" applyFill="1" applyBorder="1" applyAlignment="1" applyProtection="0">
      <alignment horizontal="left" vertical="center" readingOrder="2"/>
    </xf>
    <xf numFmtId="0" fontId="0" fillId="4" borderId="84" applyNumberFormat="0" applyFont="1" applyFill="1" applyBorder="1" applyAlignment="1" applyProtection="0">
      <alignment horizontal="right" vertical="center"/>
    </xf>
    <xf numFmtId="9" fontId="17" fillId="4" borderId="21" applyNumberFormat="1" applyFont="1" applyFill="1" applyBorder="1" applyAlignment="1" applyProtection="0">
      <alignment horizontal="right" vertical="center" wrapText="1" readingOrder="2"/>
    </xf>
    <xf numFmtId="9" fontId="17" fillId="4" borderId="85" applyNumberFormat="1" applyFont="1" applyFill="1" applyBorder="1" applyAlignment="1" applyProtection="0">
      <alignment horizontal="right" vertical="center" wrapText="1" readingOrder="2"/>
    </xf>
    <xf numFmtId="0" fontId="0" fillId="4" borderId="86" applyNumberFormat="0" applyFont="1" applyFill="1" applyBorder="1" applyAlignment="1" applyProtection="0">
      <alignment horizontal="right" vertical="center"/>
    </xf>
    <xf numFmtId="49" fontId="35" fillId="6" borderId="68" applyNumberFormat="1" applyFont="1" applyFill="1" applyBorder="1" applyAlignment="1" applyProtection="0">
      <alignment horizontal="center" vertical="center" wrapText="1" readingOrder="2"/>
    </xf>
    <xf numFmtId="0" fontId="35" fillId="6" borderId="68" applyNumberFormat="0" applyFont="1" applyFill="1" applyBorder="1" applyAlignment="1" applyProtection="0">
      <alignment horizontal="center" vertical="center" wrapText="1" readingOrder="2"/>
    </xf>
    <xf numFmtId="0" fontId="36" fillId="4" borderId="87" applyNumberFormat="0" applyFont="1" applyFill="1" applyBorder="1" applyAlignment="1" applyProtection="0">
      <alignment horizontal="left" vertical="center" wrapText="1" readingOrder="2"/>
    </xf>
    <xf numFmtId="0" fontId="37" fillId="4" borderId="81" applyNumberFormat="0" applyFont="1" applyFill="1" applyBorder="1" applyAlignment="1" applyProtection="0">
      <alignment horizontal="left" vertical="center" wrapText="1" readingOrder="2"/>
    </xf>
    <xf numFmtId="49" fontId="36" fillId="4" borderId="68" applyNumberFormat="1" applyFont="1" applyFill="1" applyBorder="1" applyAlignment="1" applyProtection="0">
      <alignment horizontal="center" vertical="center" wrapText="1" readingOrder="2"/>
    </xf>
    <xf numFmtId="0" fontId="36" fillId="4" borderId="68" applyNumberFormat="0" applyFont="1" applyFill="1" applyBorder="1" applyAlignment="1" applyProtection="0">
      <alignment horizontal="center" vertical="center" wrapText="1" readingOrder="2"/>
    </xf>
    <xf numFmtId="0" fontId="7" fillId="4" borderId="88" applyNumberFormat="0" applyFont="1" applyFill="1" applyBorder="1" applyAlignment="1" applyProtection="0">
      <alignment horizontal="right" vertical="center" wrapText="1"/>
    </xf>
    <xf numFmtId="49" fontId="7" fillId="4" borderId="89" applyNumberFormat="1" applyFont="1" applyFill="1" applyBorder="1" applyAlignment="1" applyProtection="0">
      <alignment horizontal="right" vertical="top" wrapText="1" readingOrder="2"/>
    </xf>
    <xf numFmtId="49" fontId="7" fillId="4" borderId="90" applyNumberFormat="1" applyFont="1" applyFill="1" applyBorder="1" applyAlignment="1" applyProtection="0">
      <alignment horizontal="right" vertical="top" wrapText="1" readingOrder="2"/>
    </xf>
    <xf numFmtId="49" fontId="7" fillId="4" borderId="91" applyNumberFormat="1" applyFont="1" applyFill="1" applyBorder="1" applyAlignment="1" applyProtection="0">
      <alignment horizontal="right" vertical="top" wrapText="1" readingOrder="2"/>
    </xf>
    <xf numFmtId="0" fontId="0" fillId="4" borderId="87" applyNumberFormat="0" applyFont="1" applyFill="1" applyBorder="1" applyAlignment="1" applyProtection="0">
      <alignment horizontal="right" vertical="center"/>
    </xf>
    <xf numFmtId="49" fontId="7" fillId="4" borderId="87" applyNumberFormat="1" applyFont="1" applyFill="1" applyBorder="1" applyAlignment="1" applyProtection="0">
      <alignment horizontal="right" vertical="top" wrapText="1" readingOrder="2"/>
    </xf>
    <xf numFmtId="49" fontId="7" fillId="4" borderId="39" applyNumberFormat="1" applyFont="1" applyFill="1" applyBorder="1" applyAlignment="1" applyProtection="0">
      <alignment horizontal="right" vertical="top" wrapText="1" readingOrder="2"/>
    </xf>
    <xf numFmtId="49" fontId="7" fillId="4" borderId="86" applyNumberFormat="1" applyFont="1" applyFill="1" applyBorder="1" applyAlignment="1" applyProtection="0">
      <alignment horizontal="right" vertical="top" wrapText="1" readingOrder="2"/>
    </xf>
    <xf numFmtId="49" fontId="7" fillId="4" borderId="92" applyNumberFormat="1" applyFont="1" applyFill="1" applyBorder="1" applyAlignment="1" applyProtection="0">
      <alignment horizontal="right" vertical="top" wrapText="1" readingOrder="2"/>
    </xf>
    <xf numFmtId="49" fontId="7" fillId="4" borderId="81" applyNumberFormat="1" applyFont="1" applyFill="1" applyBorder="1" applyAlignment="1" applyProtection="0">
      <alignment horizontal="right" vertical="top" wrapText="1" readingOrder="2"/>
    </xf>
    <xf numFmtId="49" fontId="7" fillId="4" borderId="93" applyNumberFormat="1" applyFont="1" applyFill="1" applyBorder="1" applyAlignment="1" applyProtection="0">
      <alignment horizontal="right" vertical="top" wrapText="1" readingOrder="2"/>
    </xf>
    <xf numFmtId="0" fontId="38" fillId="4" borderId="87" applyNumberFormat="0" applyFont="1" applyFill="1" applyBorder="1" applyAlignment="1" applyProtection="0">
      <alignment horizontal="left" vertical="center" readingOrder="2"/>
    </xf>
    <xf numFmtId="0" fontId="38" fillId="4" borderId="39" applyNumberFormat="0" applyFont="1" applyFill="1" applyBorder="1" applyAlignment="1" applyProtection="0">
      <alignment horizontal="left" vertical="center" readingOrder="2"/>
    </xf>
    <xf numFmtId="0" fontId="39" fillId="4" borderId="39" applyNumberFormat="0" applyFont="1" applyFill="1" applyBorder="1" applyAlignment="1" applyProtection="0">
      <alignment horizontal="left" vertical="center" readingOrder="2"/>
    </xf>
    <xf numFmtId="0" fontId="37" fillId="4" borderId="90" applyNumberFormat="0" applyFont="1" applyFill="1" applyBorder="1" applyAlignment="1" applyProtection="0">
      <alignment horizontal="left" vertical="center" wrapText="1" readingOrder="2"/>
    </xf>
    <xf numFmtId="0" fontId="0" fillId="4" borderId="90" applyNumberFormat="0" applyFont="1" applyFill="1" applyBorder="1" applyAlignment="1" applyProtection="0">
      <alignment horizontal="right" vertical="center"/>
    </xf>
    <xf numFmtId="49" fontId="0" fillId="4" borderId="68" applyNumberFormat="1" applyFont="1" applyFill="1" applyBorder="1" applyAlignment="1" applyProtection="0">
      <alignment horizontal="center" vertical="center" readingOrder="2"/>
    </xf>
    <xf numFmtId="0" fontId="0" fillId="4" borderId="68" applyNumberFormat="0" applyFont="1" applyFill="1" applyBorder="1" applyAlignment="1" applyProtection="0">
      <alignment horizontal="center" vertical="center"/>
    </xf>
    <xf numFmtId="0" fontId="37" fillId="4" borderId="39" applyNumberFormat="0" applyFont="1" applyFill="1" applyBorder="1" applyAlignment="1" applyProtection="0">
      <alignment horizontal="left" vertical="center" wrapText="1" readingOrder="2"/>
    </xf>
    <xf numFmtId="0" fontId="36" fillId="4" borderId="39" applyNumberFormat="0" applyFont="1" applyFill="1" applyBorder="1" applyAlignment="1" applyProtection="0">
      <alignment horizontal="center" vertical="center" wrapText="1" readingOrder="2"/>
    </xf>
    <xf numFmtId="9" fontId="22" fillId="4" borderId="90" applyNumberFormat="1" applyFont="1" applyFill="1" applyBorder="1" applyAlignment="1" applyProtection="0">
      <alignment horizontal="center" vertical="center" readingOrder="2"/>
    </xf>
    <xf numFmtId="9" fontId="36" fillId="4" borderId="90" applyNumberFormat="1" applyFont="1" applyFill="1" applyBorder="1" applyAlignment="1" applyProtection="0">
      <alignment horizontal="center" vertical="center" wrapText="1" readingOrder="2"/>
    </xf>
    <xf numFmtId="0" fontId="36" fillId="4" borderId="90" applyNumberFormat="0" applyFont="1" applyFill="1" applyBorder="1" applyAlignment="1" applyProtection="0">
      <alignment horizontal="right" vertical="center" wrapText="1" readingOrder="2"/>
    </xf>
    <xf numFmtId="0" fontId="36" fillId="4" borderId="90" applyNumberFormat="0" applyFont="1" applyFill="1" applyBorder="1" applyAlignment="1" applyProtection="0">
      <alignment horizontal="left" vertical="center" wrapText="1" readingOrder="2"/>
    </xf>
    <xf numFmtId="9" fontId="17" fillId="4" borderId="94" applyNumberFormat="1" applyFont="1" applyFill="1" applyBorder="1" applyAlignment="1" applyProtection="0">
      <alignment horizontal="center" vertical="center" wrapText="1" readingOrder="2"/>
    </xf>
    <xf numFmtId="0" fontId="40" fillId="4" borderId="39" applyNumberFormat="0" applyFont="1" applyFill="1" applyBorder="1" applyAlignment="1" applyProtection="0">
      <alignment horizontal="center" vertical="center" wrapText="1" readingOrder="2"/>
    </xf>
    <xf numFmtId="0" fontId="40" fillId="4" borderId="94" applyNumberFormat="0" applyFont="1" applyFill="1" applyBorder="1" applyAlignment="1" applyProtection="0">
      <alignment horizontal="center" vertical="center" wrapText="1" readingOrder="2"/>
    </xf>
    <xf numFmtId="0" fontId="40" fillId="4" borderId="94" applyNumberFormat="0" applyFont="1" applyFill="1" applyBorder="1" applyAlignment="1" applyProtection="0">
      <alignment horizontal="center" vertical="center" readingOrder="2"/>
    </xf>
    <xf numFmtId="0" fontId="39" fillId="4" borderId="39" applyNumberFormat="0" applyFont="1" applyFill="1" applyBorder="1" applyAlignment="1" applyProtection="0">
      <alignment horizontal="center" vertical="center" readingOrder="2"/>
    </xf>
    <xf numFmtId="0" fontId="0" fillId="4" borderId="11" applyNumberFormat="0" applyFont="1" applyFill="1" applyBorder="1" applyAlignment="1" applyProtection="0">
      <alignment horizontal="right" vertical="center"/>
    </xf>
    <xf numFmtId="49" fontId="7" fillId="4" borderId="95" applyNumberFormat="1" applyFont="1" applyFill="1" applyBorder="1" applyAlignment="1" applyProtection="0">
      <alignment horizontal="center" vertical="center" wrapText="1" readingOrder="2"/>
    </xf>
    <xf numFmtId="0" fontId="7" fillId="4" borderId="96" applyNumberFormat="0" applyFont="1" applyFill="1" applyBorder="1" applyAlignment="1" applyProtection="0">
      <alignment horizontal="center" vertical="center" readingOrder="2"/>
    </xf>
    <xf numFmtId="0" fontId="41" fillId="4" borderId="97" applyNumberFormat="0" applyFont="1" applyFill="1" applyBorder="1" applyAlignment="1" applyProtection="0">
      <alignment horizontal="left" vertical="center" readingOrder="2"/>
    </xf>
    <xf numFmtId="0" fontId="7" fillId="4" borderId="98" applyNumberFormat="0" applyFont="1" applyFill="1" applyBorder="1" applyAlignment="1" applyProtection="0">
      <alignment horizontal="center" vertical="center" wrapText="1" readingOrder="2"/>
    </xf>
    <xf numFmtId="0" fontId="7" fillId="4" borderId="98" applyNumberFormat="0" applyFont="1" applyFill="1" applyBorder="1" applyAlignment="1" applyProtection="0">
      <alignment horizontal="center" vertical="center" readingOrder="2"/>
    </xf>
    <xf numFmtId="0" fontId="0" fillId="4" borderId="99" applyNumberFormat="0" applyFont="1" applyFill="1" applyBorder="1" applyAlignment="1" applyProtection="0">
      <alignment horizontal="right" vertical="center"/>
    </xf>
    <xf numFmtId="49" fontId="17" fillId="5" borderId="44" applyNumberFormat="1" applyFont="1" applyFill="1" applyBorder="1" applyAlignment="1" applyProtection="0">
      <alignment horizontal="center" vertical="center" wrapText="1" readingOrder="2"/>
    </xf>
    <xf numFmtId="0" fontId="17" fillId="5" borderId="46" applyNumberFormat="0" applyFont="1" applyFill="1" applyBorder="1" applyAlignment="1" applyProtection="0">
      <alignment horizontal="center" vertical="center" wrapText="1" readingOrder="2"/>
    </xf>
    <xf numFmtId="0" fontId="0" fillId="4" borderId="97" applyNumberFormat="0" applyFont="1" applyFill="1" applyBorder="1" applyAlignment="1" applyProtection="0">
      <alignment horizontal="left" vertical="center" readingOrder="2"/>
    </xf>
    <xf numFmtId="49" fontId="7" fillId="5" borderId="44" applyNumberFormat="1" applyFont="1" applyFill="1" applyBorder="1" applyAlignment="1" applyProtection="0">
      <alignment horizontal="center" vertical="center" wrapText="1" readingOrder="2"/>
    </xf>
    <xf numFmtId="0" fontId="7" fillId="5" borderId="45" applyNumberFormat="0" applyFont="1" applyFill="1" applyBorder="1" applyAlignment="1" applyProtection="0">
      <alignment horizontal="center" vertical="center" wrapText="1" readingOrder="2"/>
    </xf>
    <xf numFmtId="0" fontId="7" fillId="5" borderId="46" applyNumberFormat="0" applyFont="1" applyFill="1" applyBorder="1" applyAlignment="1" applyProtection="0">
      <alignment horizontal="center" vertical="center" wrapText="1" readingOrder="2"/>
    </xf>
    <xf numFmtId="49" fontId="42" fillId="5" borderId="63" applyNumberFormat="1" applyFont="1" applyFill="1" applyBorder="1" applyAlignment="1" applyProtection="0">
      <alignment horizontal="center" vertical="center" readingOrder="2"/>
    </xf>
    <xf numFmtId="0" fontId="42" fillId="5" borderId="65" applyNumberFormat="0" applyFont="1" applyFill="1" applyBorder="1" applyAlignment="1" applyProtection="0">
      <alignment horizontal="center" vertical="center" readingOrder="2"/>
    </xf>
    <xf numFmtId="49" fontId="41" fillId="5" borderId="100" applyNumberFormat="1" applyFont="1" applyFill="1" applyBorder="1" applyAlignment="1" applyProtection="0">
      <alignment horizontal="center" vertical="center" wrapText="1" readingOrder="2"/>
    </xf>
    <xf numFmtId="0" fontId="0" fillId="4" borderId="101" applyNumberFormat="0" applyFont="1" applyFill="1" applyBorder="1" applyAlignment="1" applyProtection="0">
      <alignment horizontal="right" vertical="center"/>
    </xf>
    <xf numFmtId="0" fontId="17" fillId="5" borderId="16" applyNumberFormat="0" applyFont="1" applyFill="1" applyBorder="1" applyAlignment="1" applyProtection="0">
      <alignment horizontal="center" vertical="center" wrapText="1" readingOrder="2"/>
    </xf>
    <xf numFmtId="0" fontId="17" fillId="5" borderId="48" applyNumberFormat="0" applyFont="1" applyFill="1" applyBorder="1" applyAlignment="1" applyProtection="0">
      <alignment horizontal="center" vertical="center" wrapText="1" readingOrder="2"/>
    </xf>
    <xf numFmtId="0" fontId="7" fillId="5" borderId="16" applyNumberFormat="0" applyFont="1" applyFill="1" applyBorder="1" applyAlignment="1" applyProtection="0">
      <alignment horizontal="center" vertical="center" wrapText="1" readingOrder="2"/>
    </xf>
    <xf numFmtId="0" fontId="7" fillId="5" borderId="17" applyNumberFormat="0" applyFont="1" applyFill="1" applyBorder="1" applyAlignment="1" applyProtection="0">
      <alignment horizontal="center" vertical="center" wrapText="1" readingOrder="2"/>
    </xf>
    <xf numFmtId="0" fontId="7" fillId="5" borderId="48" applyNumberFormat="0" applyFont="1" applyFill="1" applyBorder="1" applyAlignment="1" applyProtection="0">
      <alignment horizontal="center" vertical="center" wrapText="1" readingOrder="2"/>
    </xf>
    <xf numFmtId="49" fontId="43" fillId="5" borderId="102" applyNumberFormat="1" applyFont="1" applyFill="1" applyBorder="1" applyAlignment="1" applyProtection="0">
      <alignment horizontal="center" vertical="center" wrapText="1" readingOrder="2"/>
    </xf>
    <xf numFmtId="0" fontId="41" fillId="5" borderId="103" applyNumberFormat="0" applyFont="1" applyFill="1" applyBorder="1" applyAlignment="1" applyProtection="0">
      <alignment horizontal="center" vertical="center" wrapText="1" readingOrder="2"/>
    </xf>
    <xf numFmtId="0" fontId="0" fillId="4" borderId="39" applyNumberFormat="0" applyFont="1" applyFill="1" applyBorder="1" applyAlignment="1" applyProtection="0">
      <alignment horizontal="center" vertical="center"/>
    </xf>
    <xf numFmtId="49" fontId="43" fillId="10" borderId="104" applyNumberFormat="1" applyFont="1" applyFill="1" applyBorder="1" applyAlignment="1" applyProtection="0">
      <alignment horizontal="center" vertical="center" wrapText="1" readingOrder="2"/>
    </xf>
    <xf numFmtId="0" fontId="43" fillId="10" borderId="105" applyNumberFormat="0" applyFont="1" applyFill="1" applyBorder="1" applyAlignment="1" applyProtection="0">
      <alignment horizontal="center" vertical="center" wrapText="1" readingOrder="2"/>
    </xf>
    <xf numFmtId="0" fontId="41" fillId="4" borderId="97" applyNumberFormat="0" applyFont="1" applyFill="1" applyBorder="1" applyAlignment="1" applyProtection="0">
      <alignment horizontal="right" vertical="center" readingOrder="2"/>
    </xf>
    <xf numFmtId="0" fontId="40" fillId="4" borderId="95" applyNumberFormat="0" applyFont="1" applyFill="1" applyBorder="1" applyAlignment="1" applyProtection="0">
      <alignment horizontal="right" vertical="top" wrapText="1" readingOrder="2"/>
    </xf>
    <xf numFmtId="0" fontId="40" fillId="4" borderId="98" applyNumberFormat="0" applyFont="1" applyFill="1" applyBorder="1" applyAlignment="1" applyProtection="0">
      <alignment horizontal="right" vertical="top" wrapText="1" readingOrder="2"/>
    </xf>
    <xf numFmtId="0" fontId="40" fillId="4" borderId="96" applyNumberFormat="0" applyFont="1" applyFill="1" applyBorder="1" applyAlignment="1" applyProtection="0">
      <alignment horizontal="right" vertical="top" wrapText="1" readingOrder="2"/>
    </xf>
    <xf numFmtId="0" fontId="43" fillId="4" borderId="106" applyNumberFormat="1" applyFont="1" applyFill="1" applyBorder="1" applyAlignment="1" applyProtection="0">
      <alignment horizontal="center" vertical="center" readingOrder="2"/>
    </xf>
    <xf numFmtId="49" fontId="44" fillId="4" borderId="106" applyNumberFormat="1" applyFont="1" applyFill="1" applyBorder="1" applyAlignment="1" applyProtection="0">
      <alignment horizontal="center" vertical="center" wrapText="1" readingOrder="2"/>
    </xf>
    <xf numFmtId="9" fontId="44" fillId="4" borderId="106" applyNumberFormat="1" applyFont="1" applyFill="1" applyBorder="1" applyAlignment="1" applyProtection="0">
      <alignment horizontal="center" vertical="center" wrapText="1" readingOrder="2"/>
    </xf>
    <xf numFmtId="9" fontId="17" fillId="4" borderId="21" applyNumberFormat="1" applyFont="1" applyFill="1" applyBorder="1" applyAlignment="1" applyProtection="0">
      <alignment horizontal="right" vertical="top" wrapText="1" readingOrder="2"/>
    </xf>
    <xf numFmtId="0" fontId="40" fillId="4" borderId="39" applyNumberFormat="0" applyFont="1" applyFill="1" applyBorder="1" applyAlignment="1" applyProtection="0">
      <alignment horizontal="right" vertical="top" wrapText="1" readingOrder="2"/>
    </xf>
    <xf numFmtId="0" fontId="40" fillId="4" borderId="21" applyNumberFormat="0" applyFont="1" applyFill="1" applyBorder="1" applyAlignment="1" applyProtection="0">
      <alignment horizontal="right" vertical="top" wrapText="1" readingOrder="2"/>
    </xf>
    <xf numFmtId="0" fontId="40" fillId="4" borderId="21" applyNumberFormat="0" applyFont="1" applyFill="1" applyBorder="1" applyAlignment="1" applyProtection="0">
      <alignment horizontal="right" vertical="center" readingOrder="2"/>
    </xf>
    <xf numFmtId="0" fontId="40" fillId="4" borderId="107" applyNumberFormat="0" applyFont="1" applyFill="1" applyBorder="1" applyAlignment="1" applyProtection="0">
      <alignment horizontal="right" vertical="center" readingOrder="2"/>
    </xf>
    <xf numFmtId="0" fontId="39" fillId="4" borderId="39" applyNumberFormat="0" applyFont="1" applyFill="1" applyBorder="1" applyAlignment="1" applyProtection="0">
      <alignment horizontal="right" vertical="center" readingOrder="2"/>
    </xf>
    <xf numFmtId="49" fontId="7" fillId="4" borderId="68" applyNumberFormat="1" applyFont="1" applyFill="1" applyBorder="1" applyAlignment="1" applyProtection="0">
      <alignment horizontal="center" vertical="center" wrapText="1" readingOrder="2"/>
    </xf>
    <xf numFmtId="0" fontId="7" fillId="4" borderId="68" applyNumberFormat="0" applyFont="1" applyFill="1" applyBorder="1" applyAlignment="1" applyProtection="0">
      <alignment horizontal="center" vertical="center" readingOrder="2"/>
    </xf>
    <xf numFmtId="0" fontId="41" fillId="4" borderId="88" applyNumberFormat="0" applyFont="1" applyFill="1" applyBorder="1" applyAlignment="1" applyProtection="0">
      <alignment horizontal="center" vertical="center" readingOrder="2"/>
    </xf>
    <xf numFmtId="0" fontId="7" fillId="4" borderId="68" applyNumberFormat="0" applyFont="1" applyFill="1" applyBorder="1" applyAlignment="1" applyProtection="0">
      <alignment horizontal="center" vertical="center" wrapText="1" readingOrder="2"/>
    </xf>
    <xf numFmtId="0" fontId="7" fillId="4" borderId="108" applyNumberFormat="0" applyFont="1" applyFill="1" applyBorder="1" applyAlignment="1" applyProtection="0">
      <alignment horizontal="center" vertical="center" readingOrder="2"/>
    </xf>
    <xf numFmtId="49" fontId="0" fillId="4" borderId="97" applyNumberFormat="1" applyFont="1" applyFill="1" applyBorder="1" applyAlignment="1" applyProtection="0">
      <alignment horizontal="center" vertical="center" wrapText="1" readingOrder="2"/>
    </xf>
    <xf numFmtId="49" fontId="17" fillId="5" borderId="109" applyNumberFormat="1" applyFont="1" applyFill="1" applyBorder="1" applyAlignment="1" applyProtection="0">
      <alignment horizontal="center" vertical="center" wrapText="1" readingOrder="2"/>
    </xf>
    <xf numFmtId="0" fontId="17" fillId="5" borderId="110" applyNumberFormat="0" applyFont="1" applyFill="1" applyBorder="1" applyAlignment="1" applyProtection="0">
      <alignment horizontal="center" vertical="center" wrapText="1" readingOrder="2"/>
    </xf>
    <xf numFmtId="0" fontId="0" fillId="4" borderId="97" applyNumberFormat="0" applyFont="1" applyFill="1" applyBorder="1" applyAlignment="1" applyProtection="0">
      <alignment horizontal="center" vertical="center" readingOrder="2"/>
    </xf>
    <xf numFmtId="49" fontId="7" fillId="5" borderId="109" applyNumberFormat="1" applyFont="1" applyFill="1" applyBorder="1" applyAlignment="1" applyProtection="0">
      <alignment horizontal="center" vertical="center" wrapText="1" readingOrder="2"/>
    </xf>
    <xf numFmtId="0" fontId="7" fillId="5" borderId="111" applyNumberFormat="0" applyFont="1" applyFill="1" applyBorder="1" applyAlignment="1" applyProtection="0">
      <alignment horizontal="center" vertical="center" wrapText="1" readingOrder="2"/>
    </xf>
    <xf numFmtId="0" fontId="7" fillId="5" borderId="110" applyNumberFormat="0" applyFont="1" applyFill="1" applyBorder="1" applyAlignment="1" applyProtection="0">
      <alignment horizontal="center" vertical="center" wrapText="1" readingOrder="2"/>
    </xf>
    <xf numFmtId="49" fontId="42" fillId="5" borderId="30" applyNumberFormat="1" applyFont="1" applyFill="1" applyBorder="1" applyAlignment="1" applyProtection="0">
      <alignment horizontal="center" vertical="center" readingOrder="2"/>
    </xf>
    <xf numFmtId="0" fontId="42" fillId="5" borderId="112" applyNumberFormat="0" applyFont="1" applyFill="1" applyBorder="1" applyAlignment="1" applyProtection="0">
      <alignment horizontal="center" vertical="center" readingOrder="2"/>
    </xf>
    <xf numFmtId="49" fontId="41" fillId="5" borderId="113" applyNumberFormat="1" applyFont="1" applyFill="1" applyBorder="1" applyAlignment="1" applyProtection="0">
      <alignment horizontal="center" vertical="center" wrapText="1" readingOrder="2"/>
    </xf>
    <xf numFmtId="0" fontId="0" fillId="4" borderId="97" applyNumberFormat="0" applyFont="1" applyFill="1" applyBorder="1" applyAlignment="1" applyProtection="0">
      <alignment horizontal="center" vertical="center" wrapText="1" readingOrder="2"/>
    </xf>
    <xf numFmtId="0" fontId="0" fillId="4" borderId="97" applyNumberFormat="0" applyFont="1" applyFill="1" applyBorder="1" applyAlignment="1" applyProtection="0">
      <alignment horizontal="right" vertical="center"/>
    </xf>
    <xf numFmtId="0" fontId="0" fillId="4" borderId="11" applyNumberFormat="1" applyFont="1" applyFill="1" applyBorder="1" applyAlignment="1" applyProtection="0">
      <alignment horizontal="right" vertical="center"/>
    </xf>
    <xf numFmtId="0" fontId="45" fillId="11" borderId="52" applyNumberFormat="0" applyFont="1" applyFill="1" applyBorder="1" applyAlignment="1" applyProtection="0">
      <alignment horizontal="center" vertical="center" wrapText="1" readingOrder="2"/>
    </xf>
    <xf numFmtId="0" fontId="45" fillId="11" borderId="53" applyNumberFormat="0" applyFont="1" applyFill="1" applyBorder="1" applyAlignment="1" applyProtection="0">
      <alignment horizontal="center" vertical="center" wrapText="1" readingOrder="2"/>
    </xf>
    <xf numFmtId="9" fontId="17" fillId="4" borderId="98" applyNumberFormat="1" applyFont="1" applyFill="1" applyBorder="1" applyAlignment="1" applyProtection="0">
      <alignment horizontal="center" vertical="center" wrapText="1" readingOrder="2"/>
    </xf>
    <xf numFmtId="0" fontId="40" fillId="4" borderId="98" applyNumberFormat="0" applyFont="1" applyFill="1" applyBorder="1" applyAlignment="1" applyProtection="0">
      <alignment horizontal="right" vertical="center" readingOrder="2"/>
    </xf>
    <xf numFmtId="0" fontId="40" fillId="4" borderId="96" applyNumberFormat="0" applyFont="1" applyFill="1" applyBorder="1" applyAlignment="1" applyProtection="0">
      <alignment horizontal="right" vertical="center" readingOrder="2"/>
    </xf>
    <xf numFmtId="0" fontId="40" fillId="4" borderId="81" applyNumberFormat="0" applyFont="1" applyFill="1" applyBorder="1" applyAlignment="1" applyProtection="0">
      <alignment horizontal="right" vertical="top" wrapText="1" readingOrder="2"/>
    </xf>
    <xf numFmtId="0" fontId="40" fillId="4" borderId="85" applyNumberFormat="0" applyFont="1" applyFill="1" applyBorder="1" applyAlignment="1" applyProtection="0">
      <alignment horizontal="right" vertical="center" readingOrder="2"/>
    </xf>
    <xf numFmtId="0" fontId="0" fillId="4" borderId="85" applyNumberFormat="0" applyFont="1" applyFill="1" applyBorder="1" applyAlignment="1" applyProtection="0">
      <alignment horizontal="right" vertical="center"/>
    </xf>
    <xf numFmtId="9" fontId="7" fillId="4" borderId="114" applyNumberFormat="1" applyFont="1" applyFill="1" applyBorder="1" applyAlignment="1" applyProtection="0">
      <alignment horizontal="center" vertical="center" wrapText="1" readingOrder="2"/>
    </xf>
    <xf numFmtId="9" fontId="7" fillId="4" borderId="26" applyNumberFormat="1" applyFont="1" applyFill="1" applyBorder="1" applyAlignment="1" applyProtection="0">
      <alignment horizontal="center" vertical="center" wrapText="1" readingOrder="2"/>
    </xf>
    <xf numFmtId="9" fontId="7" fillId="4" borderId="67" applyNumberFormat="1" applyFont="1" applyFill="1" applyBorder="1" applyAlignment="1" applyProtection="0">
      <alignment horizontal="center" vertical="center" wrapText="1" readingOrder="2"/>
    </xf>
    <xf numFmtId="0" fontId="40" fillId="4" borderId="87" applyNumberFormat="0" applyFont="1" applyFill="1" applyBorder="1" applyAlignment="1" applyProtection="0">
      <alignment horizontal="right" vertical="center" readingOrder="2"/>
    </xf>
    <xf numFmtId="0" fontId="40" fillId="4" borderId="39" applyNumberFormat="0" applyFont="1" applyFill="1" applyBorder="1" applyAlignment="1" applyProtection="0">
      <alignment horizontal="right" vertical="center" readingOrder="2"/>
    </xf>
    <xf numFmtId="49" fontId="7" fillId="5" borderId="68" applyNumberFormat="1" applyFont="1" applyFill="1" applyBorder="1" applyAlignment="1" applyProtection="0">
      <alignment horizontal="center" vertical="center" wrapText="1" readingOrder="2"/>
    </xf>
    <xf numFmtId="0" fontId="7" fillId="5" borderId="68" applyNumberFormat="0" applyFont="1" applyFill="1" applyBorder="1" applyAlignment="1" applyProtection="0">
      <alignment horizontal="center" vertical="center" wrapText="1" readingOrder="2"/>
    </xf>
    <xf numFmtId="9" fontId="7" fillId="4" borderId="68" applyNumberFormat="1" applyFont="1" applyFill="1" applyBorder="1" applyAlignment="1" applyProtection="0">
      <alignment horizontal="center" vertical="center" wrapText="1" readingOrder="2"/>
    </xf>
    <xf numFmtId="9" fontId="40" fillId="4" borderId="87" applyNumberFormat="1" applyFont="1" applyFill="1" applyBorder="1" applyAlignment="1" applyProtection="0">
      <alignment horizontal="right" vertical="center" readingOrder="2"/>
    </xf>
    <xf numFmtId="9" fontId="40" fillId="4" borderId="39" applyNumberFormat="1" applyFont="1" applyFill="1" applyBorder="1" applyAlignment="1" applyProtection="0">
      <alignment horizontal="right" vertical="center" readingOrder="2"/>
    </xf>
    <xf numFmtId="9" fontId="0" fillId="4" borderId="39" applyNumberFormat="1" applyFont="1" applyFill="1" applyBorder="1" applyAlignment="1" applyProtection="0">
      <alignment horizontal="right" vertical="center"/>
    </xf>
    <xf numFmtId="49" fontId="43" fillId="4" borderId="68" applyNumberFormat="1" applyFont="1" applyFill="1" applyBorder="1" applyAlignment="1" applyProtection="0">
      <alignment horizontal="center" vertical="center" wrapText="1" readingOrder="2"/>
    </xf>
    <xf numFmtId="0" fontId="7" fillId="4" borderId="114" applyNumberFormat="0" applyFont="1" applyFill="1" applyBorder="1" applyAlignment="1" applyProtection="0">
      <alignment horizontal="center" vertical="center" wrapText="1" readingOrder="2"/>
    </xf>
    <xf numFmtId="0" fontId="7" fillId="4" borderId="67" applyNumberFormat="0" applyFont="1" applyFill="1" applyBorder="1" applyAlignment="1" applyProtection="0">
      <alignment horizontal="center" vertical="center" wrapText="1" readingOrder="2"/>
    </xf>
    <xf numFmtId="9" fontId="43" fillId="4" borderId="68" applyNumberFormat="1" applyFont="1" applyFill="1" applyBorder="1" applyAlignment="1" applyProtection="0">
      <alignment horizontal="center" vertical="center" wrapText="1" readingOrder="2"/>
    </xf>
    <xf numFmtId="9" fontId="43" fillId="4" borderId="114" applyNumberFormat="1" applyFont="1" applyFill="1" applyBorder="1" applyAlignment="1" applyProtection="0">
      <alignment horizontal="center" vertical="center" wrapText="1" readingOrder="2"/>
    </xf>
    <xf numFmtId="9" fontId="43" fillId="4" borderId="67" applyNumberFormat="1" applyFont="1" applyFill="1" applyBorder="1" applyAlignment="1" applyProtection="0">
      <alignment horizontal="center" vertical="center" wrapText="1" readingOrder="2"/>
    </xf>
    <xf numFmtId="59" fontId="46" fillId="4" borderId="87" applyNumberFormat="1" applyFont="1" applyFill="1" applyBorder="1" applyAlignment="1" applyProtection="0">
      <alignment horizontal="right" vertical="center" readingOrder="2"/>
    </xf>
    <xf numFmtId="59" fontId="46" fillId="4" borderId="39" applyNumberFormat="1" applyFont="1" applyFill="1" applyBorder="1" applyAlignment="1" applyProtection="0">
      <alignment horizontal="right" vertical="center" readingOrder="2"/>
    </xf>
    <xf numFmtId="9" fontId="43" fillId="4" borderId="39" applyNumberFormat="1" applyFont="1" applyFill="1" applyBorder="1" applyAlignment="1" applyProtection="0">
      <alignment horizontal="center" vertical="center" wrapText="1" readingOrder="2"/>
    </xf>
    <xf numFmtId="9" fontId="47" fillId="12" borderId="68" applyNumberFormat="1" applyFont="1" applyFill="1" applyBorder="1" applyAlignment="1" applyProtection="0">
      <alignment horizontal="center" vertical="center" readingOrder="2"/>
    </xf>
    <xf numFmtId="9" fontId="40" fillId="4" borderId="87" applyNumberFormat="1" applyFont="1" applyFill="1" applyBorder="1" applyAlignment="1" applyProtection="0">
      <alignment horizontal="center" vertical="center" readingOrder="2"/>
    </xf>
    <xf numFmtId="9" fontId="40" fillId="4" borderId="39" applyNumberFormat="1" applyFont="1" applyFill="1" applyBorder="1" applyAlignment="1" applyProtection="0">
      <alignment horizontal="center" vertical="center" readingOrder="2"/>
    </xf>
    <xf numFmtId="0" fontId="40" fillId="4" borderId="115" applyNumberFormat="0" applyFont="1" applyFill="1" applyBorder="1" applyAlignment="1" applyProtection="0">
      <alignment horizontal="right" vertical="top" readingOrder="2"/>
    </xf>
    <xf numFmtId="0" fontId="40" fillId="4" borderId="90" applyNumberFormat="0" applyFont="1" applyFill="1" applyBorder="1" applyAlignment="1" applyProtection="0">
      <alignment horizontal="right" vertical="top" readingOrder="2"/>
    </xf>
    <xf numFmtId="0" fontId="0" fillId="4" borderId="116" applyNumberFormat="0" applyFont="1" applyFill="1" applyBorder="1" applyAlignment="1" applyProtection="0">
      <alignment horizontal="right" vertical="center"/>
    </xf>
    <xf numFmtId="49" fontId="48" fillId="5" borderId="9" applyNumberFormat="1" applyFont="1" applyFill="1" applyBorder="1" applyAlignment="1" applyProtection="0">
      <alignment horizontal="center" vertical="top" wrapText="1" readingOrder="2"/>
    </xf>
    <xf numFmtId="0" fontId="48" fillId="5" borderId="9" applyNumberFormat="0" applyFont="1" applyFill="1" applyBorder="1" applyAlignment="1" applyProtection="0">
      <alignment horizontal="center" vertical="top" wrapText="1" readingOrder="2"/>
    </xf>
    <xf numFmtId="0" fontId="49" fillId="5" borderId="9" applyNumberFormat="0" applyFont="1" applyFill="1" applyBorder="1" applyAlignment="1" applyProtection="0">
      <alignment horizontal="right" vertical="top" readingOrder="2"/>
    </xf>
    <xf numFmtId="9" fontId="50" fillId="5" borderId="9" applyNumberFormat="1" applyFont="1" applyFill="1" applyBorder="1" applyAlignment="1" applyProtection="0">
      <alignment horizontal="center" vertical="top" readingOrder="2"/>
    </xf>
    <xf numFmtId="59" fontId="48" fillId="4" borderId="83" applyNumberFormat="1" applyFont="1" applyFill="1" applyBorder="1" applyAlignment="1" applyProtection="0">
      <alignment horizontal="right" vertical="top" readingOrder="2"/>
    </xf>
    <xf numFmtId="0" fontId="40" fillId="4" borderId="84" applyNumberFormat="0" applyFont="1" applyFill="1" applyBorder="1" applyAlignment="1" applyProtection="0">
      <alignment horizontal="center" vertical="center" readingOrder="2"/>
    </xf>
    <xf numFmtId="0" fontId="40" fillId="4" borderId="39" applyNumberFormat="0" applyFont="1" applyFill="1" applyBorder="1" applyAlignment="1" applyProtection="0">
      <alignment horizontal="center" vertical="center" readingOrder="2"/>
    </xf>
    <xf numFmtId="49" fontId="51" fillId="4" borderId="39" applyNumberFormat="1" applyFont="1" applyFill="1" applyBorder="1" applyAlignment="1" applyProtection="0">
      <alignment horizontal="right" vertical="center" readingOrder="2"/>
    </xf>
    <xf numFmtId="0" fontId="51" fillId="4" borderId="39" applyNumberFormat="0" applyFont="1" applyFill="1" applyBorder="1" applyAlignment="1" applyProtection="0">
      <alignment horizontal="right" vertical="center" readingOrder="2"/>
    </xf>
    <xf numFmtId="60" fontId="0" fillId="4" borderId="39" applyNumberFormat="1" applyFont="1" applyFill="1" applyBorder="1" applyAlignment="1" applyProtection="0">
      <alignment horizontal="right" vertical="center"/>
    </xf>
    <xf numFmtId="9" fontId="40" fillId="4" borderId="39" applyNumberFormat="1" applyFont="1" applyFill="1" applyBorder="1" applyAlignment="1" applyProtection="0">
      <alignment horizontal="center" vertical="top" readingOrder="2"/>
    </xf>
    <xf numFmtId="0" fontId="0" fillId="4" borderId="94" applyNumberFormat="0" applyFont="1" applyFill="1" applyBorder="1" applyAlignment="1" applyProtection="0">
      <alignment horizontal="right" vertical="center"/>
    </xf>
    <xf numFmtId="49" fontId="7" fillId="5" borderId="52" applyNumberFormat="1" applyFont="1" applyFill="1" applyBorder="1" applyAlignment="1" applyProtection="0">
      <alignment horizontal="center" vertical="center" wrapText="1" readingOrder="2"/>
    </xf>
    <xf numFmtId="0" fontId="7" fillId="5" borderId="117" applyNumberFormat="0" applyFont="1" applyFill="1" applyBorder="1" applyAlignment="1" applyProtection="0">
      <alignment horizontal="center" vertical="center" readingOrder="2"/>
    </xf>
    <xf numFmtId="0" fontId="0" fillId="4" borderId="88" applyNumberFormat="0" applyFont="1" applyFill="1" applyBorder="1" applyAlignment="1" applyProtection="0">
      <alignment horizontal="right" vertical="center"/>
    </xf>
    <xf numFmtId="49" fontId="7" fillId="5" borderId="68" applyNumberFormat="1" applyFont="1" applyFill="1" applyBorder="1" applyAlignment="1" applyProtection="0">
      <alignment horizontal="center" vertical="center" readingOrder="2"/>
    </xf>
    <xf numFmtId="49" fontId="7" fillId="5" borderId="118" applyNumberFormat="1" applyFont="1" applyFill="1" applyBorder="1" applyAlignment="1" applyProtection="0">
      <alignment horizontal="center" vertical="center" wrapText="1" readingOrder="2"/>
    </xf>
    <xf numFmtId="0" fontId="7" fillId="5" borderId="50" applyNumberFormat="0" applyFont="1" applyFill="1" applyBorder="1" applyAlignment="1" applyProtection="0">
      <alignment horizontal="center" vertical="center" wrapText="1" readingOrder="2"/>
    </xf>
    <xf numFmtId="0" fontId="7" fillId="5" borderId="53" applyNumberFormat="0" applyFont="1" applyFill="1" applyBorder="1" applyAlignment="1" applyProtection="0">
      <alignment horizontal="center" vertical="center" wrapText="1" readingOrder="2"/>
    </xf>
    <xf numFmtId="0" fontId="0" fillId="4" borderId="119" applyNumberFormat="0" applyFont="1" applyFill="1" applyBorder="1" applyAlignment="1" applyProtection="0">
      <alignment horizontal="right" vertical="center"/>
    </xf>
    <xf numFmtId="49" fontId="36" fillId="4" borderId="120" applyNumberFormat="1" applyFont="1" applyFill="1" applyBorder="1" applyAlignment="1" applyProtection="0">
      <alignment horizontal="center" vertical="center" wrapText="1" readingOrder="2"/>
    </xf>
    <xf numFmtId="0" fontId="0" fillId="4" borderId="121" applyNumberFormat="0" applyFont="1" applyFill="1" applyBorder="1" applyAlignment="1" applyProtection="0">
      <alignment horizontal="right" vertical="center"/>
    </xf>
    <xf numFmtId="49" fontId="36" fillId="4" borderId="122" applyNumberFormat="1" applyFont="1" applyFill="1" applyBorder="1" applyAlignment="1" applyProtection="0">
      <alignment horizontal="center" vertical="center" wrapText="1" readingOrder="2"/>
    </xf>
    <xf numFmtId="49" fontId="0" fillId="4" borderId="85" applyNumberFormat="1" applyFont="1" applyFill="1" applyBorder="1" applyAlignment="1" applyProtection="0">
      <alignment horizontal="center" vertical="center" readingOrder="2"/>
    </xf>
    <xf numFmtId="0" fontId="0" applyNumberFormat="1" applyFont="1" applyFill="0" applyBorder="0" applyAlignment="1" applyProtection="0">
      <alignment vertical="bottom"/>
    </xf>
    <xf numFmtId="0" fontId="0" fillId="4" borderId="123" applyNumberFormat="0" applyFont="1" applyFill="1" applyBorder="1" applyAlignment="1" applyProtection="0">
      <alignment horizontal="right" vertical="bottom"/>
    </xf>
    <xf numFmtId="0" fontId="0" fillId="4" borderId="42" applyNumberFormat="0" applyFont="1" applyFill="1" applyBorder="1" applyAlignment="1" applyProtection="0">
      <alignment horizontal="right" vertical="bottom"/>
    </xf>
    <xf numFmtId="0" fontId="0" fillId="4" borderId="41" applyNumberFormat="0" applyFont="1" applyFill="1" applyBorder="1" applyAlignment="1" applyProtection="0">
      <alignment horizontal="right" vertical="bottom"/>
    </xf>
    <xf numFmtId="0" fontId="0" fillId="4" borderId="124" applyNumberFormat="0" applyFont="1" applyFill="1" applyBorder="1" applyAlignment="1" applyProtection="0">
      <alignment horizontal="right" vertical="bottom"/>
    </xf>
    <xf numFmtId="0" fontId="0" fillId="4" borderId="54" applyNumberFormat="0" applyFont="1" applyFill="1" applyBorder="1" applyAlignment="1" applyProtection="0">
      <alignment horizontal="right" vertical="bottom"/>
    </xf>
    <xf numFmtId="0" fontId="0" fillId="4" borderId="29" applyNumberFormat="0" applyFont="1" applyFill="1" applyBorder="1" applyAlignment="1" applyProtection="0">
      <alignment horizontal="right" vertical="bottom"/>
    </xf>
    <xf numFmtId="0" fontId="20" fillId="4" borderId="45" applyNumberFormat="0" applyFont="1" applyFill="1" applyBorder="1" applyAlignment="1" applyProtection="0">
      <alignment horizontal="center" vertical="center" readingOrder="2"/>
    </xf>
    <xf numFmtId="0" fontId="20" fillId="4" borderId="46" applyNumberFormat="0" applyFont="1" applyFill="1" applyBorder="1" applyAlignment="1" applyProtection="0">
      <alignment horizontal="center" vertical="center" readingOrder="2"/>
    </xf>
    <xf numFmtId="0" fontId="20" fillId="4" borderId="16" applyNumberFormat="0" applyFont="1" applyFill="1" applyBorder="1" applyAlignment="1" applyProtection="0">
      <alignment horizontal="center" vertical="center" readingOrder="2"/>
    </xf>
    <xf numFmtId="0" fontId="20" fillId="4" borderId="17" applyNumberFormat="0" applyFont="1" applyFill="1" applyBorder="1" applyAlignment="1" applyProtection="0">
      <alignment horizontal="center" vertical="center" readingOrder="2"/>
    </xf>
    <xf numFmtId="0" fontId="20" fillId="4" borderId="48" applyNumberFormat="0" applyFont="1" applyFill="1" applyBorder="1" applyAlignment="1" applyProtection="0">
      <alignment horizontal="center" vertical="center" readingOrder="2"/>
    </xf>
    <xf numFmtId="0" fontId="0" fillId="4" borderId="125" applyNumberFormat="0" applyFont="1" applyFill="1" applyBorder="1" applyAlignment="1" applyProtection="0">
      <alignment horizontal="right" vertical="bottom"/>
    </xf>
    <xf numFmtId="49" fontId="52" fillId="6" borderId="63" applyNumberFormat="1" applyFont="1" applyFill="1" applyBorder="1" applyAlignment="1" applyProtection="0">
      <alignment horizontal="center" vertical="center" wrapText="1" readingOrder="2"/>
    </xf>
    <xf numFmtId="0" fontId="52" fillId="6" borderId="64" applyNumberFormat="0" applyFont="1" applyFill="1" applyBorder="1" applyAlignment="1" applyProtection="0">
      <alignment horizontal="center" vertical="center" readingOrder="2"/>
    </xf>
    <xf numFmtId="0" fontId="52" fillId="6" borderId="65" applyNumberFormat="0" applyFont="1" applyFill="1" applyBorder="1" applyAlignment="1" applyProtection="0">
      <alignment horizontal="center" vertical="center" readingOrder="2"/>
    </xf>
    <xf numFmtId="0" fontId="0" fillId="4" borderId="82" applyNumberFormat="0" applyFont="1" applyFill="1" applyBorder="1" applyAlignment="1" applyProtection="0">
      <alignment horizontal="right" vertical="bottom"/>
    </xf>
    <xf numFmtId="49" fontId="22" fillId="4" borderId="68" applyNumberFormat="1" applyFont="1" applyFill="1" applyBorder="1" applyAlignment="1" applyProtection="0">
      <alignment horizontal="center" vertical="center" wrapText="1" readingOrder="2"/>
    </xf>
    <xf numFmtId="49" fontId="7" fillId="13" borderId="68" applyNumberFormat="1" applyFont="1" applyFill="1" applyBorder="1" applyAlignment="1" applyProtection="0">
      <alignment horizontal="center" vertical="center" wrapText="1" readingOrder="2"/>
    </xf>
    <xf numFmtId="49" fontId="17" fillId="4" borderId="68" applyNumberFormat="1" applyFont="1" applyFill="1" applyBorder="1" applyAlignment="1" applyProtection="0">
      <alignment horizontal="center" vertical="center" wrapText="1" readingOrder="2"/>
    </xf>
    <xf numFmtId="0" fontId="53" fillId="4" borderId="68" applyNumberFormat="0" applyFont="1" applyFill="1" applyBorder="1" applyAlignment="1" applyProtection="0">
      <alignment horizontal="right" vertical="bottom"/>
    </xf>
    <xf numFmtId="49" fontId="22" fillId="5" borderId="68" applyNumberFormat="1" applyFont="1" applyFill="1" applyBorder="1" applyAlignment="1" applyProtection="0">
      <alignment horizontal="center" vertical="center" wrapText="1" readingOrder="2"/>
    </xf>
    <xf numFmtId="9" fontId="43" fillId="5" borderId="68" applyNumberFormat="1" applyFont="1" applyFill="1" applyBorder="1" applyAlignment="1" applyProtection="0">
      <alignment horizontal="center" vertical="center" wrapText="1" readingOrder="2"/>
    </xf>
    <xf numFmtId="0" fontId="0" fillId="4" borderId="68" applyNumberFormat="0" applyFont="1" applyFill="1" applyBorder="1" applyAlignment="1" applyProtection="0">
      <alignment horizontal="right" vertical="bottom"/>
    </xf>
    <xf numFmtId="9" fontId="16" fillId="4" borderId="68" applyNumberFormat="1" applyFont="1" applyFill="1" applyBorder="1" applyAlignment="1" applyProtection="0">
      <alignment horizontal="center" vertical="center" wrapText="1" readingOrder="2"/>
    </xf>
    <xf numFmtId="9" fontId="16" fillId="4" borderId="68" applyNumberFormat="1" applyFont="1" applyFill="1" applyBorder="1" applyAlignment="1" applyProtection="0">
      <alignment horizontal="center" vertical="center" wrapText="1"/>
    </xf>
    <xf numFmtId="9" fontId="16" fillId="13" borderId="68" applyNumberFormat="1" applyFont="1" applyFill="1" applyBorder="1" applyAlignment="1" applyProtection="0">
      <alignment horizontal="center" vertical="center" wrapText="1" readingOrder="2"/>
    </xf>
    <xf numFmtId="0" fontId="17" fillId="4" borderId="68" applyNumberFormat="0" applyFont="1" applyFill="1" applyBorder="1" applyAlignment="1" applyProtection="0">
      <alignment horizontal="center" vertical="center" wrapText="1" readingOrder="2"/>
    </xf>
    <xf numFmtId="9" fontId="17" fillId="4" borderId="68" applyNumberFormat="1" applyFont="1" applyFill="1" applyBorder="1" applyAlignment="1" applyProtection="0">
      <alignment horizontal="center" vertical="center" wrapText="1" readingOrder="2"/>
    </xf>
    <xf numFmtId="0" fontId="0" fillId="4" borderId="111" applyNumberFormat="0" applyFont="1" applyFill="1" applyBorder="1" applyAlignment="1" applyProtection="0">
      <alignment horizontal="right" vertical="bottom"/>
    </xf>
    <xf numFmtId="49" fontId="43" fillId="4" borderId="73" applyNumberFormat="1" applyFont="1" applyFill="1" applyBorder="1" applyAlignment="1" applyProtection="0">
      <alignment horizontal="right" vertical="center" wrapText="1" readingOrder="2"/>
    </xf>
    <xf numFmtId="9" fontId="43" fillId="4" borderId="111" applyNumberFormat="1" applyFont="1" applyFill="1" applyBorder="1" applyAlignment="1" applyProtection="0">
      <alignment horizontal="right" vertical="center" wrapText="1" readingOrder="2"/>
    </xf>
    <xf numFmtId="9" fontId="43" fillId="4" borderId="78" applyNumberFormat="1" applyFont="1" applyFill="1" applyBorder="1" applyAlignment="1" applyProtection="0">
      <alignment horizontal="right" vertical="center" wrapText="1" readingOrder="2"/>
    </xf>
    <xf numFmtId="0" fontId="0" fillId="4" borderId="126" applyNumberFormat="0" applyFont="1" applyFill="1" applyBorder="1" applyAlignment="1" applyProtection="0">
      <alignment horizontal="right" vertical="bottom"/>
    </xf>
    <xf numFmtId="49" fontId="41" fillId="4" borderId="127" applyNumberFormat="1" applyFont="1" applyFill="1" applyBorder="1" applyAlignment="1" applyProtection="0">
      <alignment horizontal="center" vertical="center" wrapText="1" readingOrder="2"/>
    </xf>
    <xf numFmtId="9" fontId="41" fillId="4" borderId="9" applyNumberFormat="1" applyFont="1" applyFill="1" applyBorder="1" applyAlignment="1" applyProtection="0">
      <alignment horizontal="center" vertical="center" wrapText="1" readingOrder="2"/>
    </xf>
    <xf numFmtId="9" fontId="41" fillId="4" borderId="47" applyNumberFormat="1" applyFont="1" applyFill="1" applyBorder="1" applyAlignment="1" applyProtection="0">
      <alignment horizontal="center" vertical="center" wrapText="1" readingOrder="2"/>
    </xf>
    <xf numFmtId="0" fontId="0" fillId="4" borderId="9" applyNumberFormat="0" applyFont="1" applyFill="1" applyBorder="1" applyAlignment="1" applyProtection="0">
      <alignment horizontal="right" vertical="bottom"/>
    </xf>
    <xf numFmtId="9" fontId="43" fillId="4" borderId="111" applyNumberFormat="1" applyFont="1" applyFill="1" applyBorder="1" applyAlignment="1" applyProtection="0">
      <alignment horizontal="center" vertical="center" wrapText="1" readingOrder="2"/>
    </xf>
    <xf numFmtId="49" fontId="41" fillId="4" borderId="9" applyNumberFormat="1" applyFont="1" applyFill="1" applyBorder="1" applyAlignment="1" applyProtection="0">
      <alignment horizontal="center" vertical="center" wrapText="1" readingOrder="2"/>
    </xf>
    <xf numFmtId="9" fontId="43" fillId="4" borderId="128" applyNumberFormat="1" applyFont="1" applyFill="1" applyBorder="1" applyAlignment="1" applyProtection="0">
      <alignment horizontal="center" vertical="center" wrapText="1" readingOrder="2"/>
    </xf>
    <xf numFmtId="0" fontId="0" fillId="4" borderId="62" applyNumberFormat="0" applyFont="1" applyFill="1" applyBorder="1" applyAlignment="1" applyProtection="0">
      <alignment horizontal="right" vertical="bottom"/>
    </xf>
    <xf numFmtId="49" fontId="41" fillId="4" borderId="17" applyNumberFormat="1" applyFont="1" applyFill="1" applyBorder="1" applyAlignment="1" applyProtection="0">
      <alignment horizontal="center" vertical="center" wrapText="1" readingOrder="2"/>
    </xf>
    <xf numFmtId="9" fontId="41" fillId="4" borderId="17" applyNumberFormat="1" applyFont="1" applyFill="1" applyBorder="1" applyAlignment="1" applyProtection="0">
      <alignment horizontal="center" vertical="center" wrapText="1" readingOrder="2"/>
    </xf>
    <xf numFmtId="9" fontId="41" fillId="4" borderId="129" applyNumberFormat="1" applyFont="1" applyFill="1" applyBorder="1" applyAlignment="1" applyProtection="0">
      <alignment horizontal="center" vertical="center" wrapText="1" readingOrder="2"/>
    </xf>
    <xf numFmtId="49" fontId="17" fillId="5" borderId="44" applyNumberFormat="1" applyFont="1" applyFill="1" applyBorder="1" applyAlignment="1" applyProtection="0">
      <alignment horizontal="right" vertical="center" wrapText="1" readingOrder="2"/>
    </xf>
    <xf numFmtId="0" fontId="17" fillId="5" borderId="45" applyNumberFormat="0" applyFont="1" applyFill="1" applyBorder="1" applyAlignment="1" applyProtection="0">
      <alignment horizontal="right" vertical="center" wrapText="1" readingOrder="2"/>
    </xf>
    <xf numFmtId="0" fontId="17" fillId="5" borderId="46" applyNumberFormat="0" applyFont="1" applyFill="1" applyBorder="1" applyAlignment="1" applyProtection="0">
      <alignment horizontal="right" vertical="center" wrapText="1" readingOrder="2"/>
    </xf>
    <xf numFmtId="0" fontId="17" fillId="5" borderId="16" applyNumberFormat="0" applyFont="1" applyFill="1" applyBorder="1" applyAlignment="1" applyProtection="0">
      <alignment horizontal="right" vertical="center" wrapText="1" readingOrder="2"/>
    </xf>
    <xf numFmtId="0" fontId="17" fillId="5" borderId="17" applyNumberFormat="0" applyFont="1" applyFill="1" applyBorder="1" applyAlignment="1" applyProtection="0">
      <alignment horizontal="right" vertical="center" wrapText="1" readingOrder="2"/>
    </xf>
    <xf numFmtId="0" fontId="17" fillId="5" borderId="48" applyNumberFormat="0" applyFont="1" applyFill="1" applyBorder="1" applyAlignment="1" applyProtection="0">
      <alignment horizontal="right" vertical="center" wrapText="1" readingOrder="2"/>
    </xf>
    <xf numFmtId="0" fontId="40" fillId="4" borderId="44" applyNumberFormat="0" applyFont="1" applyFill="1" applyBorder="1" applyAlignment="1" applyProtection="0">
      <alignment horizontal="right" vertical="bottom" readingOrder="2"/>
    </xf>
    <xf numFmtId="0" fontId="40" fillId="4" borderId="45" applyNumberFormat="0" applyFont="1" applyFill="1" applyBorder="1" applyAlignment="1" applyProtection="0">
      <alignment horizontal="right" vertical="bottom" readingOrder="2"/>
    </xf>
    <xf numFmtId="0" fontId="40" fillId="4" borderId="46" applyNumberFormat="0" applyFont="1" applyFill="1" applyBorder="1" applyAlignment="1" applyProtection="0">
      <alignment horizontal="right" vertical="bottom" readingOrder="2"/>
    </xf>
    <xf numFmtId="0" fontId="40" fillId="4" borderId="12" applyNumberFormat="0" applyFont="1" applyFill="1" applyBorder="1" applyAlignment="1" applyProtection="0">
      <alignment horizontal="right" vertical="bottom" readingOrder="2"/>
    </xf>
    <xf numFmtId="0" fontId="40" fillId="4" borderId="9" applyNumberFormat="0" applyFont="1" applyFill="1" applyBorder="1" applyAlignment="1" applyProtection="0">
      <alignment horizontal="right" vertical="bottom" readingOrder="2"/>
    </xf>
    <xf numFmtId="0" fontId="40" fillId="4" borderId="29" applyNumberFormat="0" applyFont="1" applyFill="1" applyBorder="1" applyAlignment="1" applyProtection="0">
      <alignment horizontal="right" vertical="bottom" readingOrder="2"/>
    </xf>
    <xf numFmtId="0" fontId="40" fillId="4" borderId="16" applyNumberFormat="0" applyFont="1" applyFill="1" applyBorder="1" applyAlignment="1" applyProtection="0">
      <alignment horizontal="right" vertical="bottom" readingOrder="2"/>
    </xf>
    <xf numFmtId="0" fontId="40" fillId="4" borderId="17" applyNumberFormat="0" applyFont="1" applyFill="1" applyBorder="1" applyAlignment="1" applyProtection="0">
      <alignment horizontal="right" vertical="bottom" readingOrder="2"/>
    </xf>
    <xf numFmtId="0" fontId="40" fillId="4" borderId="48" applyNumberFormat="0" applyFont="1" applyFill="1" applyBorder="1" applyAlignment="1" applyProtection="0">
      <alignment horizontal="right" vertical="bottom" readingOrder="2"/>
    </xf>
    <xf numFmtId="49" fontId="7" fillId="5" borderId="70" applyNumberFormat="1" applyFont="1" applyFill="1" applyBorder="1" applyAlignment="1" applyProtection="0">
      <alignment horizontal="center" vertical="center" readingOrder="2"/>
    </xf>
    <xf numFmtId="0" fontId="7" fillId="5" borderId="50" applyNumberFormat="0" applyFont="1" applyFill="1" applyBorder="1" applyAlignment="1" applyProtection="0">
      <alignment horizontal="center" vertical="center" readingOrder="2"/>
    </xf>
    <xf numFmtId="0" fontId="7" fillId="5" borderId="53" applyNumberFormat="0" applyFont="1" applyFill="1" applyBorder="1" applyAlignment="1" applyProtection="0">
      <alignment horizontal="center" vertical="center" readingOrder="2"/>
    </xf>
    <xf numFmtId="0" fontId="0" fillId="4" borderId="130" applyNumberFormat="0" applyFont="1" applyFill="1" applyBorder="1" applyAlignment="1" applyProtection="0">
      <alignment horizontal="right" vertical="bottom"/>
    </xf>
    <xf numFmtId="0" fontId="0" fillId="4" borderId="131" applyNumberFormat="0" applyFont="1" applyFill="1" applyBorder="1" applyAlignment="1" applyProtection="0">
      <alignment horizontal="right" vertical="bottom"/>
    </xf>
    <xf numFmtId="0" fontId="40" fillId="4" borderId="104" applyNumberFormat="0" applyFont="1" applyFill="1" applyBorder="1" applyAlignment="1" applyProtection="0">
      <alignment horizontal="center" vertical="bottom" readingOrder="2"/>
    </xf>
    <xf numFmtId="0" fontId="40" fillId="4" borderId="70" applyNumberFormat="0" applyFont="1" applyFill="1" applyBorder="1" applyAlignment="1" applyProtection="0">
      <alignment horizontal="center" vertical="bottom" readingOrder="2"/>
    </xf>
    <xf numFmtId="0" fontId="40" fillId="4" borderId="118" applyNumberFormat="0" applyFont="1" applyFill="1" applyBorder="1" applyAlignment="1" applyProtection="0">
      <alignment horizontal="center" vertical="bottom" readingOrder="2"/>
    </xf>
    <xf numFmtId="0" fontId="40" fillId="4" borderId="50" applyNumberFormat="0" applyFont="1" applyFill="1" applyBorder="1" applyAlignment="1" applyProtection="0">
      <alignment horizontal="center" vertical="bottom" readingOrder="2"/>
    </xf>
    <xf numFmtId="0" fontId="40" fillId="4" borderId="53" applyNumberFormat="0" applyFont="1" applyFill="1" applyBorder="1" applyAlignment="1" applyProtection="0">
      <alignment horizontal="center" vertical="bottom" readingOrder="2"/>
    </xf>
    <xf numFmtId="0" fontId="0" applyNumberFormat="1" applyFont="1" applyFill="0" applyBorder="0" applyAlignment="1" applyProtection="0">
      <alignment vertical="bottom"/>
    </xf>
    <xf numFmtId="0" fontId="0" fillId="4" borderId="132" applyNumberFormat="0" applyFont="1" applyFill="1" applyBorder="1" applyAlignment="1" applyProtection="0">
      <alignment horizontal="right" vertical="bottom"/>
    </xf>
    <xf numFmtId="49" fontId="54" fillId="9" borderId="44" applyNumberFormat="1" applyFont="1" applyFill="1" applyBorder="1" applyAlignment="1" applyProtection="0">
      <alignment horizontal="center" vertical="center" wrapText="1" readingOrder="2"/>
    </xf>
    <xf numFmtId="0" fontId="54" fillId="9" borderId="45" applyNumberFormat="0" applyFont="1" applyFill="1" applyBorder="1" applyAlignment="1" applyProtection="0">
      <alignment horizontal="center" vertical="center" wrapText="1"/>
    </xf>
    <xf numFmtId="0" fontId="54" fillId="9" borderId="46" applyNumberFormat="0" applyFont="1" applyFill="1" applyBorder="1" applyAlignment="1" applyProtection="0">
      <alignment horizontal="center" vertical="center" wrapText="1"/>
    </xf>
    <xf numFmtId="0" fontId="0" fillId="4" borderId="51" applyNumberFormat="0" applyFont="1" applyFill="1" applyBorder="1" applyAlignment="1" applyProtection="0">
      <alignment horizontal="right" vertical="bottom"/>
    </xf>
    <xf numFmtId="0" fontId="54" fillId="9" borderId="12" applyNumberFormat="0" applyFont="1" applyFill="1" applyBorder="1" applyAlignment="1" applyProtection="0">
      <alignment horizontal="center" vertical="center" wrapText="1"/>
    </xf>
    <xf numFmtId="0" fontId="54" fillId="9" borderId="9" applyNumberFormat="0" applyFont="1" applyFill="1" applyBorder="1" applyAlignment="1" applyProtection="0">
      <alignment horizontal="center" vertical="center" wrapText="1"/>
    </xf>
    <xf numFmtId="0" fontId="54" fillId="9" borderId="29" applyNumberFormat="0" applyFont="1" applyFill="1" applyBorder="1" applyAlignment="1" applyProtection="0">
      <alignment horizontal="center" vertical="center" wrapText="1"/>
    </xf>
    <xf numFmtId="0" fontId="54" fillId="9" borderId="16" applyNumberFormat="0" applyFont="1" applyFill="1" applyBorder="1" applyAlignment="1" applyProtection="0">
      <alignment horizontal="center" vertical="center" wrapText="1"/>
    </xf>
    <xf numFmtId="0" fontId="54" fillId="9" borderId="17" applyNumberFormat="0" applyFont="1" applyFill="1" applyBorder="1" applyAlignment="1" applyProtection="0">
      <alignment horizontal="center" vertical="center" wrapText="1"/>
    </xf>
    <xf numFmtId="0" fontId="54" fillId="9" borderId="48" applyNumberFormat="0" applyFont="1" applyFill="1" applyBorder="1" applyAlignment="1" applyProtection="0">
      <alignment horizontal="center" vertical="center" wrapText="1"/>
    </xf>
    <xf numFmtId="49" fontId="23" fillId="4" borderId="106" applyNumberFormat="1" applyFont="1" applyFill="1" applyBorder="1" applyAlignment="1" applyProtection="0">
      <alignment horizontal="center" vertical="center" wrapText="1"/>
    </xf>
    <xf numFmtId="0" fontId="23" fillId="4" borderId="106" applyNumberFormat="0" applyFont="1" applyFill="1" applyBorder="1" applyAlignment="1" applyProtection="0">
      <alignment horizontal="center" vertical="center" wrapText="1"/>
    </xf>
    <xf numFmtId="0" fontId="23" fillId="4" borderId="44" applyNumberFormat="0" applyFont="1" applyFill="1" applyBorder="1" applyAlignment="1" applyProtection="0">
      <alignment horizontal="center" vertical="center" wrapText="1"/>
    </xf>
    <xf numFmtId="0" fontId="23" fillId="4" borderId="45" applyNumberFormat="0" applyFont="1" applyFill="1" applyBorder="1" applyAlignment="1" applyProtection="0">
      <alignment horizontal="center" vertical="center" wrapText="1"/>
    </xf>
    <xf numFmtId="0" fontId="23" fillId="4" borderId="46" applyNumberFormat="0" applyFont="1" applyFill="1" applyBorder="1" applyAlignment="1" applyProtection="0">
      <alignment horizontal="center" vertical="center" wrapText="1"/>
    </xf>
    <xf numFmtId="0" fontId="23" fillId="4" borderId="12" applyNumberFormat="0" applyFont="1" applyFill="1" applyBorder="1" applyAlignment="1" applyProtection="0">
      <alignment horizontal="center" vertical="center" wrapText="1"/>
    </xf>
    <xf numFmtId="0" fontId="23" fillId="4" borderId="9" applyNumberFormat="0" applyFont="1" applyFill="1" applyBorder="1" applyAlignment="1" applyProtection="0">
      <alignment horizontal="center" vertical="center" wrapText="1"/>
    </xf>
    <xf numFmtId="0" fontId="23" fillId="4" borderId="29" applyNumberFormat="0" applyFont="1" applyFill="1" applyBorder="1" applyAlignment="1" applyProtection="0">
      <alignment horizontal="center" vertical="center" wrapText="1"/>
    </xf>
    <xf numFmtId="0" fontId="23" fillId="4" borderId="16" applyNumberFormat="0" applyFont="1" applyFill="1" applyBorder="1" applyAlignment="1" applyProtection="0">
      <alignment horizontal="center" vertical="center" wrapText="1"/>
    </xf>
    <xf numFmtId="0" fontId="23" fillId="4" borderId="17" applyNumberFormat="0" applyFont="1" applyFill="1" applyBorder="1" applyAlignment="1" applyProtection="0">
      <alignment horizontal="center" vertical="center" wrapText="1"/>
    </xf>
    <xf numFmtId="0" fontId="23" fillId="4" borderId="48" applyNumberFormat="0" applyFont="1" applyFill="1" applyBorder="1" applyAlignment="1" applyProtection="0">
      <alignment horizontal="center" vertical="center" wrapText="1"/>
    </xf>
    <xf numFmtId="49" fontId="23" fillId="14" borderId="52" applyNumberFormat="1" applyFont="1" applyFill="1" applyBorder="1" applyAlignment="1" applyProtection="0">
      <alignment horizontal="center" vertical="center" readingOrder="2"/>
    </xf>
    <xf numFmtId="0" fontId="23" fillId="14" borderId="50" applyNumberFormat="0" applyFont="1" applyFill="1" applyBorder="1" applyAlignment="1" applyProtection="0">
      <alignment horizontal="center" vertical="center"/>
    </xf>
    <xf numFmtId="0" fontId="23" fillId="14" borderId="53" applyNumberFormat="0" applyFont="1" applyFill="1" applyBorder="1" applyAlignment="1" applyProtection="0">
      <alignment horizontal="center" vertical="center"/>
    </xf>
    <xf numFmtId="0" fontId="0" fillId="4" borderId="133" applyNumberFormat="0" applyFont="1" applyFill="1" applyBorder="1" applyAlignment="1" applyProtection="0">
      <alignment horizontal="right" vertical="bottom"/>
    </xf>
    <xf numFmtId="0" fontId="56" fillId="4" borderId="52" applyNumberFormat="0" applyFont="1" applyFill="1" applyBorder="1" applyAlignment="1" applyProtection="0">
      <alignment horizontal="center" vertical="bottom"/>
    </xf>
    <xf numFmtId="0" fontId="56" fillId="4" borderId="50" applyNumberFormat="0" applyFont="1" applyFill="1" applyBorder="1" applyAlignment="1" applyProtection="0">
      <alignment horizontal="center" vertical="bottom"/>
    </xf>
    <xf numFmtId="0" fontId="56" fillId="4" borderId="53"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0" fillId="4" borderId="86" applyNumberFormat="0" applyFont="1" applyFill="1" applyBorder="1" applyAlignment="1" applyProtection="0">
      <alignment horizontal="right" vertical="top"/>
    </xf>
    <xf numFmtId="49" fontId="57" fillId="15" borderId="68" applyNumberFormat="1" applyFont="1" applyFill="1" applyBorder="1" applyAlignment="1" applyProtection="0">
      <alignment horizontal="right" vertical="top" wrapText="1" readingOrder="2"/>
    </xf>
    <xf numFmtId="0" fontId="57" fillId="15" borderId="68" applyNumberFormat="0" applyFont="1" applyFill="1" applyBorder="1" applyAlignment="1" applyProtection="0">
      <alignment horizontal="right" vertical="top" wrapText="1"/>
    </xf>
    <xf numFmtId="49" fontId="57" fillId="16" borderId="68" applyNumberFormat="1" applyFont="1" applyFill="1" applyBorder="1" applyAlignment="1" applyProtection="0">
      <alignment horizontal="right" vertical="top" wrapText="1" readingOrder="2"/>
    </xf>
    <xf numFmtId="0" fontId="57" fillId="16" borderId="68" applyNumberFormat="0" applyFont="1" applyFill="1" applyBorder="1" applyAlignment="1" applyProtection="0">
      <alignment horizontal="right" vertical="top" wrapText="1"/>
    </xf>
    <xf numFmtId="49" fontId="58" fillId="4" borderId="68" applyNumberFormat="1" applyFont="1" applyFill="1" applyBorder="1" applyAlignment="1" applyProtection="0">
      <alignment horizontal="right" vertical="top" wrapText="1" readingOrder="2"/>
    </xf>
    <xf numFmtId="0" fontId="58" fillId="4" borderId="68" applyNumberFormat="0" applyFont="1" applyFill="1" applyBorder="1" applyAlignment="1" applyProtection="0">
      <alignment horizontal="right" vertical="top" wrapText="1"/>
    </xf>
    <xf numFmtId="0" fontId="59" fillId="4" borderId="68" applyNumberFormat="1" applyFont="1" applyFill="1" applyBorder="1" applyAlignment="1" applyProtection="0">
      <alignment horizontal="right" vertical="top" wrapText="1"/>
    </xf>
    <xf numFmtId="49" fontId="60" fillId="9" borderId="68" applyNumberFormat="1" applyFont="1" applyFill="1" applyBorder="1" applyAlignment="1" applyProtection="0">
      <alignment horizontal="right" vertical="top" wrapText="1" readingOrder="2"/>
    </xf>
    <xf numFmtId="0" fontId="59" fillId="4" borderId="72" applyNumberFormat="0" applyFont="1" applyFill="1" applyBorder="1" applyAlignment="1" applyProtection="0">
      <alignment horizontal="right" vertical="top" wrapText="1"/>
    </xf>
    <xf numFmtId="0" fontId="60" fillId="9" borderId="73" applyNumberFormat="0" applyFont="1" applyFill="1" applyBorder="1" applyAlignment="1" applyProtection="0">
      <alignment horizontal="right" vertical="top" wrapText="1"/>
    </xf>
    <xf numFmtId="0" fontId="59" fillId="4" borderId="74" applyNumberFormat="0" applyFont="1" applyFill="1" applyBorder="1" applyAlignment="1" applyProtection="0">
      <alignment horizontal="right" vertical="top" wrapText="1"/>
    </xf>
    <xf numFmtId="0" fontId="60" fillId="9" borderId="68" applyNumberFormat="0" applyFont="1" applyFill="1" applyBorder="1" applyAlignment="1" applyProtection="0">
      <alignment horizontal="right" vertical="top" wrapText="1"/>
    </xf>
    <xf numFmtId="0" fontId="59" fillId="4" borderId="134" applyNumberFormat="0" applyFont="1" applyFill="1" applyBorder="1" applyAlignment="1" applyProtection="0">
      <alignment horizontal="right" vertical="top" wrapText="1"/>
    </xf>
    <xf numFmtId="0" fontId="60" fillId="9" borderId="78" applyNumberFormat="0" applyFont="1" applyFill="1" applyBorder="1" applyAlignment="1" applyProtection="0">
      <alignment horizontal="right" vertical="top" wrapText="1"/>
    </xf>
    <xf numFmtId="0" fontId="59" fillId="4" borderId="127" applyNumberFormat="0" applyFont="1" applyFill="1" applyBorder="1" applyAlignment="1" applyProtection="0">
      <alignment horizontal="right" vertical="top" wrapText="1"/>
    </xf>
    <xf numFmtId="0" fontId="60" fillId="9" borderId="47" applyNumberFormat="0" applyFont="1" applyFill="1" applyBorder="1" applyAlignment="1" applyProtection="0">
      <alignment horizontal="right" vertical="top" wrapText="1"/>
    </xf>
    <xf numFmtId="49" fontId="57" fillId="15" borderId="72" applyNumberFormat="1" applyFont="1" applyFill="1" applyBorder="1" applyAlignment="1" applyProtection="0">
      <alignment horizontal="right" vertical="top" wrapText="1" readingOrder="2"/>
    </xf>
    <xf numFmtId="0" fontId="57" fillId="15" borderId="73" applyNumberFormat="0" applyFont="1" applyFill="1" applyBorder="1" applyAlignment="1" applyProtection="0">
      <alignment horizontal="right" vertical="top" wrapText="1"/>
    </xf>
    <xf numFmtId="0" fontId="57" fillId="4" borderId="73" applyNumberFormat="0" applyFont="1" applyFill="1" applyBorder="1" applyAlignment="1" applyProtection="0">
      <alignment horizontal="right" vertical="top" wrapText="1"/>
    </xf>
    <xf numFmtId="0" fontId="0" fillId="4" borderId="135" applyNumberFormat="0" applyFont="1" applyFill="1" applyBorder="1" applyAlignment="1" applyProtection="0">
      <alignment horizontal="right" vertical="top" wrapText="1"/>
    </xf>
    <xf numFmtId="0" fontId="57" fillId="4" borderId="9" applyNumberFormat="0" applyFont="1" applyFill="1" applyBorder="1" applyAlignment="1" applyProtection="0">
      <alignment horizontal="right" vertical="top" wrapText="1"/>
    </xf>
    <xf numFmtId="0" fontId="0" fillId="4" borderId="58" applyNumberFormat="0" applyFont="1" applyFill="1" applyBorder="1" applyAlignment="1" applyProtection="0">
      <alignment horizontal="right" vertical="top" wrapText="1"/>
    </xf>
    <xf numFmtId="0" fontId="0" fillId="4" borderId="86" applyNumberFormat="1" applyFont="1" applyFill="1" applyBorder="1" applyAlignment="1" applyProtection="0">
      <alignment horizontal="right" vertical="top"/>
    </xf>
    <xf numFmtId="49" fontId="57" fillId="16" borderId="72" applyNumberFormat="1" applyFont="1" applyFill="1" applyBorder="1" applyAlignment="1" applyProtection="0">
      <alignment horizontal="right" vertical="top" wrapText="1" readingOrder="2"/>
    </xf>
    <xf numFmtId="0" fontId="57" fillId="16" borderId="73" applyNumberFormat="0" applyFont="1" applyFill="1" applyBorder="1" applyAlignment="1" applyProtection="0">
      <alignment horizontal="right" vertical="top" wrapText="1"/>
    </xf>
    <xf numFmtId="0" fontId="0" fillId="4" borderId="111" applyNumberFormat="0" applyFont="1" applyFill="1" applyBorder="1" applyAlignment="1" applyProtection="0">
      <alignment horizontal="right" vertical="top" wrapText="1"/>
    </xf>
    <xf numFmtId="0" fontId="0" fillId="4" borderId="83" applyNumberFormat="0" applyFont="1" applyFill="1" applyBorder="1" applyAlignment="1" applyProtection="0">
      <alignment horizontal="right" vertical="top" wrapText="1"/>
    </xf>
    <xf numFmtId="0" fontId="0" fillId="4" borderId="84" applyNumberFormat="0" applyFont="1" applyFill="1" applyBorder="1" applyAlignment="1" applyProtection="0">
      <alignment horizontal="right" vertical="top" wrapText="1"/>
    </xf>
    <xf numFmtId="0" fontId="0" fillId="4" borderId="39" applyNumberFormat="0" applyFont="1" applyFill="1" applyBorder="1" applyAlignment="1" applyProtection="0">
      <alignment horizontal="right" vertical="top" wrapText="1"/>
    </xf>
    <xf numFmtId="0" fontId="0" fillId="4" borderId="39" applyNumberFormat="0" applyFont="1" applyFill="1" applyBorder="1" applyAlignment="1" applyProtection="0">
      <alignment horizontal="right" vertical="top"/>
    </xf>
    <xf numFmtId="49" fontId="58" fillId="4" borderId="136" applyNumberFormat="1" applyFont="1" applyFill="1" applyBorder="1" applyAlignment="1" applyProtection="0">
      <alignment horizontal="right" vertical="top" wrapText="1" readingOrder="2"/>
    </xf>
    <xf numFmtId="0" fontId="58" fillId="4" borderId="26" applyNumberFormat="0" applyFont="1" applyFill="1" applyBorder="1" applyAlignment="1" applyProtection="0">
      <alignment horizontal="right" vertical="top" wrapText="1"/>
    </xf>
    <xf numFmtId="0" fontId="0" fillId="4" borderId="11" applyNumberFormat="0" applyFont="1" applyFill="1" applyBorder="1" applyAlignment="1" applyProtection="0">
      <alignment horizontal="right" vertical="top"/>
    </xf>
    <xf numFmtId="0" fontId="59" fillId="4" borderId="104" applyNumberFormat="1" applyFont="1" applyFill="1" applyBorder="1" applyAlignment="1" applyProtection="0">
      <alignment horizontal="right" vertical="top" wrapText="1" readingOrder="2"/>
    </xf>
    <xf numFmtId="0" fontId="0" fillId="4" borderId="87" applyNumberFormat="0" applyFont="1" applyFill="1" applyBorder="1" applyAlignment="1" applyProtection="0">
      <alignment horizontal="right" vertical="top" wrapText="1"/>
    </xf>
    <xf numFmtId="0" fontId="59" fillId="4" borderId="137" applyNumberFormat="1" applyFont="1" applyFill="1" applyBorder="1" applyAlignment="1" applyProtection="0">
      <alignment horizontal="right" vertical="top" wrapText="1" readingOrder="2"/>
    </xf>
    <xf numFmtId="49" fontId="57" fillId="16" borderId="68" applyNumberFormat="1" applyFont="1" applyFill="1" applyBorder="1" applyAlignment="1" applyProtection="0">
      <alignment horizontal="center" vertical="center" wrapText="1" readingOrder="2"/>
    </xf>
    <xf numFmtId="0" fontId="57" fillId="16" borderId="68" applyNumberFormat="0" applyFont="1" applyFill="1" applyBorder="1" applyAlignment="1" applyProtection="0">
      <alignment horizontal="center" vertical="center" wrapText="1"/>
    </xf>
    <xf numFmtId="49" fontId="58" fillId="4" borderId="68" applyNumberFormat="1" applyFont="1" applyFill="1" applyBorder="1" applyAlignment="1" applyProtection="0">
      <alignment horizontal="center" vertical="center" wrapText="1" readingOrder="2"/>
    </xf>
    <xf numFmtId="0" fontId="58" fillId="4" borderId="68" applyNumberFormat="0" applyFont="1" applyFill="1" applyBorder="1" applyAlignment="1" applyProtection="0">
      <alignment horizontal="center" vertical="center" wrapText="1"/>
    </xf>
    <xf numFmtId="0" fontId="59" fillId="4" borderId="68" applyNumberFormat="1" applyFont="1" applyFill="1" applyBorder="1" applyAlignment="1" applyProtection="0">
      <alignment horizontal="center" vertical="center" wrapText="1" readingOrder="2"/>
    </xf>
    <xf numFmtId="49" fontId="60" fillId="9" borderId="68" applyNumberFormat="1" applyFont="1" applyFill="1" applyBorder="1" applyAlignment="1" applyProtection="0">
      <alignment horizontal="left" vertical="center" wrapText="1" readingOrder="2"/>
    </xf>
    <xf numFmtId="0" fontId="60" fillId="9" borderId="68" applyNumberFormat="0" applyFont="1" applyFill="1" applyBorder="1" applyAlignment="1" applyProtection="0">
      <alignment horizontal="left" vertical="center" wrapText="1" readingOrder="2"/>
    </xf>
    <xf numFmtId="49" fontId="58" fillId="4" borderId="26" applyNumberFormat="1" applyFont="1" applyFill="1" applyBorder="1" applyAlignment="1" applyProtection="0">
      <alignment horizontal="center" vertical="center" wrapText="1" readingOrder="2"/>
    </xf>
    <xf numFmtId="0" fontId="58" fillId="4" borderId="67" applyNumberFormat="0" applyFont="1" applyFill="1" applyBorder="1" applyAlignment="1" applyProtection="0">
      <alignment horizontal="center" vertical="center" wrapText="1"/>
    </xf>
    <xf numFmtId="0" fontId="0" fillId="4" borderId="90" applyNumberFormat="0" applyFont="1" applyFill="1" applyBorder="1" applyAlignment="1" applyProtection="0">
      <alignment horizontal="right" vertical="top" wrapText="1"/>
    </xf>
    <xf numFmtId="0" fontId="0" fillId="4" borderId="26" applyNumberFormat="0" applyFont="1" applyFill="1" applyBorder="1" applyAlignment="1" applyProtection="0">
      <alignment horizontal="right" vertical="top" wrapText="1"/>
    </xf>
    <xf numFmtId="0" fontId="0" fillId="4" borderId="138" applyNumberFormat="0" applyFont="1" applyFill="1" applyBorder="1" applyAlignment="1" applyProtection="0">
      <alignment horizontal="right" vertical="top" wrapText="1"/>
    </xf>
    <xf numFmtId="0" fontId="0" fillId="4" borderId="116" applyNumberFormat="1" applyFont="1" applyFill="1" applyBorder="1" applyAlignment="1" applyProtection="0">
      <alignment horizontal="right" vertical="top"/>
    </xf>
    <xf numFmtId="49" fontId="57" fillId="16" borderId="128" applyNumberFormat="1" applyFont="1" applyFill="1" applyBorder="1" applyAlignment="1" applyProtection="0">
      <alignment horizontal="center" vertical="top" wrapText="1" readingOrder="2"/>
    </xf>
    <xf numFmtId="0" fontId="57" fillId="16" borderId="74" applyNumberFormat="0" applyFont="1" applyFill="1" applyBorder="1" applyAlignment="1" applyProtection="0">
      <alignment horizontal="center" vertical="top" wrapText="1"/>
    </xf>
    <xf numFmtId="0" fontId="59" fillId="4" borderId="68" applyNumberFormat="1" applyFont="1" applyFill="1" applyBorder="1" applyAlignment="1" applyProtection="0">
      <alignment horizontal="right" vertical="top" wrapText="1" readingOrder="2"/>
    </xf>
    <xf numFmtId="49" fontId="58" fillId="4" borderId="114" applyNumberFormat="1" applyFont="1" applyFill="1" applyBorder="1" applyAlignment="1" applyProtection="0">
      <alignment horizontal="right" vertical="top" wrapText="1" readingOrder="2"/>
    </xf>
    <xf numFmtId="0" fontId="59" fillId="4" borderId="68" applyNumberFormat="0" applyFont="1" applyFill="1" applyBorder="1" applyAlignment="1" applyProtection="0">
      <alignment horizontal="right" vertical="top" wrapText="1" readingOrder="2"/>
    </xf>
    <xf numFmtId="0" fontId="60" fillId="9" borderId="68" applyNumberFormat="0" applyFont="1" applyFill="1" applyBorder="1" applyAlignment="1" applyProtection="0">
      <alignment horizontal="right" vertical="top" wrapText="1" readingOrder="2"/>
    </xf>
    <xf numFmtId="0" fontId="0" fillId="4" borderId="91" applyNumberFormat="1" applyFont="1" applyFill="1" applyBorder="1" applyAlignment="1" applyProtection="0">
      <alignment horizontal="right" vertical="top" wrapText="1"/>
    </xf>
    <xf numFmtId="0" fontId="61" fillId="4" borderId="39" applyNumberFormat="0" applyFont="1" applyFill="1" applyBorder="1" applyAlignment="1" applyProtection="0">
      <alignment horizontal="center" vertical="center" readingOrder="2"/>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bfbfbf"/>
      <rgbColor rgb="ffb97034"/>
      <rgbColor rgb="ff0f243e"/>
      <rgbColor rgb="ff000090"/>
      <rgbColor rgb="ff17365d"/>
      <rgbColor rgb="ff800000"/>
      <rgbColor rgb="ffc0c0c0"/>
      <rgbColor rgb="ff0c0c0c"/>
      <rgbColor rgb="ffd8d8d8"/>
      <rgbColor rgb="ffff0000"/>
      <rgbColor rgb="ffa5a5a5"/>
      <rgbColor rgb="ffd2dae4"/>
      <rgbColor rgb="fff2dbdb"/>
      <rgbColor rgb="ffe5b8b7"/>
      <rgbColor rgb="ff002060"/>
      <rgbColor rgb="ff3b608d"/>
      <rgbColor rgb="ffdbe5f1"/>
      <rgbColor rgb="ff7891b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rightToLeft="1"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22</v>
      </c>
      <c r="C11" s="3"/>
      <c r="D11" s="3"/>
    </row>
    <row r="12">
      <c r="B12" s="4"/>
      <c r="C12" t="s" s="4">
        <v>5</v>
      </c>
      <c r="D12" t="s" s="5">
        <v>22</v>
      </c>
    </row>
    <row r="13">
      <c r="B13" t="s" s="3">
        <v>32</v>
      </c>
      <c r="C13" s="3"/>
      <c r="D13" s="3"/>
    </row>
    <row r="14">
      <c r="B14" s="4"/>
      <c r="C14" t="s" s="4">
        <v>5</v>
      </c>
      <c r="D14" t="s" s="5">
        <v>32</v>
      </c>
    </row>
    <row r="15">
      <c r="B15" t="s" s="3">
        <v>63</v>
      </c>
      <c r="C15" s="3"/>
      <c r="D15" s="3"/>
    </row>
    <row r="16">
      <c r="B16" s="4"/>
      <c r="C16" t="s" s="4">
        <v>5</v>
      </c>
      <c r="D16" t="s" s="5">
        <v>63</v>
      </c>
    </row>
    <row r="17">
      <c r="B17" t="s" s="3">
        <v>113</v>
      </c>
      <c r="C17" s="3"/>
      <c r="D17" s="3"/>
    </row>
    <row r="18">
      <c r="B18" s="4"/>
      <c r="C18" t="s" s="4">
        <v>5</v>
      </c>
      <c r="D18" t="s" s="5">
        <v>113</v>
      </c>
    </row>
    <row r="19">
      <c r="B19" t="s" s="3">
        <v>130</v>
      </c>
      <c r="C19" s="3"/>
      <c r="D19" s="3"/>
    </row>
    <row r="20">
      <c r="B20" s="4"/>
      <c r="C20" t="s" s="4">
        <v>5</v>
      </c>
      <c r="D20" t="s" s="5">
        <v>130</v>
      </c>
    </row>
    <row r="21">
      <c r="B21" t="s" s="3">
        <v>134</v>
      </c>
      <c r="C21" s="3"/>
      <c r="D21" s="3"/>
    </row>
    <row r="22">
      <c r="B22" s="4"/>
      <c r="C22" t="s" s="4">
        <v>5</v>
      </c>
      <c r="D22" t="s" s="5">
        <v>134</v>
      </c>
    </row>
  </sheetData>
  <mergeCells count="1">
    <mergeCell ref="B3:D3"/>
  </mergeCells>
  <hyperlinks>
    <hyperlink ref="D10" location="'Cover'!R1C1" tooltip="" display="Cover"/>
    <hyperlink ref="D12" location="'Introduction'!R1C1" tooltip="" display="Introduction"/>
    <hyperlink ref="D14" location="'Objectives'!R1C1" tooltip="" display="Objectives"/>
    <hyperlink ref="D16" location="'Non-Technical Competencies'!R1C1" tooltip="" display="Non-Technical Competencies"/>
    <hyperlink ref="D18" location="'Overall Performance Calculation'!R1C1" tooltip="" display="Overall Performance Calculation"/>
    <hyperlink ref="D20" location="'Evidence'!R1C1" tooltip="" display="Evidence"/>
    <hyperlink ref="D22" location="'V-lookup'!R1C1" tooltip="" display="V-lookup"/>
  </hyperlinks>
</worksheet>
</file>

<file path=xl/worksheets/sheet2.xml><?xml version="1.0" encoding="utf-8"?>
<worksheet xmlns:r="http://schemas.openxmlformats.org/officeDocument/2006/relationships" xmlns="http://schemas.openxmlformats.org/spreadsheetml/2006/main">
  <sheetPr>
    <pageSetUpPr fitToPage="1"/>
  </sheetPr>
  <dimension ref="A1:K606"/>
  <sheetViews>
    <sheetView workbookViewId="0" showGridLines="0" rightToLeft="1" defaultGridColor="1"/>
  </sheetViews>
  <sheetFormatPr defaultColWidth="8.83333" defaultRowHeight="12.75" customHeight="1" outlineLevelRow="0" outlineLevelCol="0"/>
  <cols>
    <col min="1" max="1" width="6.67188" style="6" customWidth="1"/>
    <col min="2" max="2" width="11.5" style="6" customWidth="1"/>
    <col min="3" max="3" width="30.5" style="6" customWidth="1"/>
    <col min="4" max="4" width="18.8516" style="6" customWidth="1"/>
    <col min="5" max="8" width="9.67188" style="6" customWidth="1"/>
    <col min="9" max="11" width="11.5" style="6" customWidth="1"/>
    <col min="12" max="16384" width="8.85156" style="6" customWidth="1"/>
  </cols>
  <sheetData>
    <row r="1" ht="21.75" customHeight="1">
      <c r="A1" s="7"/>
      <c r="B1" s="8"/>
      <c r="C1" s="9"/>
      <c r="D1" s="10"/>
      <c r="E1" s="10"/>
      <c r="F1" s="10"/>
      <c r="G1" s="10"/>
      <c r="H1" s="10"/>
      <c r="I1" s="10"/>
      <c r="J1" s="10"/>
      <c r="K1" s="11"/>
    </row>
    <row r="2" ht="21.75" customHeight="1">
      <c r="A2" s="12"/>
      <c r="B2" s="13"/>
      <c r="C2" t="s" s="14">
        <v>6</v>
      </c>
      <c r="D2" s="15"/>
      <c r="E2" s="15"/>
      <c r="F2" s="15"/>
      <c r="G2" s="15"/>
      <c r="H2" s="15"/>
      <c r="I2" s="15"/>
      <c r="J2" s="15"/>
      <c r="K2" s="16"/>
    </row>
    <row r="3" ht="21.75" customHeight="1">
      <c r="A3" s="12"/>
      <c r="B3" s="13"/>
      <c r="C3" s="17"/>
      <c r="D3" s="15"/>
      <c r="E3" s="15"/>
      <c r="F3" s="15"/>
      <c r="G3" s="15"/>
      <c r="H3" s="15"/>
      <c r="I3" s="15"/>
      <c r="J3" s="15"/>
      <c r="K3" s="16"/>
    </row>
    <row r="4" ht="21.75" customHeight="1">
      <c r="A4" s="12"/>
      <c r="B4" s="18"/>
      <c r="C4" s="19"/>
      <c r="D4" s="15"/>
      <c r="E4" s="15"/>
      <c r="F4" s="15"/>
      <c r="G4" s="15"/>
      <c r="H4" s="15"/>
      <c r="I4" s="15"/>
      <c r="J4" s="15"/>
      <c r="K4" s="16"/>
    </row>
    <row r="5" ht="21.75" customHeight="1">
      <c r="A5" s="12"/>
      <c r="B5" s="18"/>
      <c r="C5" s="19"/>
      <c r="D5" s="15"/>
      <c r="E5" s="15"/>
      <c r="F5" s="15"/>
      <c r="G5" s="15"/>
      <c r="H5" s="15"/>
      <c r="I5" s="15"/>
      <c r="J5" s="15"/>
      <c r="K5" s="16"/>
    </row>
    <row r="6" ht="21.75" customHeight="1">
      <c r="A6" s="12"/>
      <c r="B6" s="18"/>
      <c r="C6" s="19"/>
      <c r="D6" s="15"/>
      <c r="E6" s="15"/>
      <c r="F6" s="15"/>
      <c r="G6" s="15"/>
      <c r="H6" s="15"/>
      <c r="I6" s="15"/>
      <c r="J6" s="15"/>
      <c r="K6" s="16"/>
    </row>
    <row r="7" ht="21.75" customHeight="1">
      <c r="A7" s="12"/>
      <c r="B7" s="18"/>
      <c r="C7" s="19"/>
      <c r="D7" s="15"/>
      <c r="E7" s="15"/>
      <c r="F7" s="15"/>
      <c r="G7" s="15"/>
      <c r="H7" s="15"/>
      <c r="I7" s="15"/>
      <c r="J7" s="15"/>
      <c r="K7" s="16"/>
    </row>
    <row r="8" ht="21.75" customHeight="1">
      <c r="A8" s="12"/>
      <c r="B8" s="18"/>
      <c r="C8" s="19"/>
      <c r="D8" s="15"/>
      <c r="E8" s="15"/>
      <c r="F8" s="15"/>
      <c r="G8" s="15"/>
      <c r="H8" s="15"/>
      <c r="I8" s="15"/>
      <c r="J8" s="15"/>
      <c r="K8" s="16"/>
    </row>
    <row r="9" ht="21.75" customHeight="1">
      <c r="A9" s="12"/>
      <c r="B9" s="18"/>
      <c r="C9" s="19"/>
      <c r="D9" s="15"/>
      <c r="E9" s="15"/>
      <c r="F9" s="15"/>
      <c r="G9" s="15"/>
      <c r="H9" s="15"/>
      <c r="I9" s="15"/>
      <c r="J9" s="15"/>
      <c r="K9" s="16"/>
    </row>
    <row r="10" ht="60.75" customHeight="1">
      <c r="A10" s="12"/>
      <c r="B10" s="13"/>
      <c r="C10" t="s" s="20">
        <v>7</v>
      </c>
      <c r="D10" s="21"/>
      <c r="E10" s="21"/>
      <c r="F10" s="21"/>
      <c r="G10" s="21"/>
      <c r="H10" s="21"/>
      <c r="I10" s="21"/>
      <c r="J10" s="21"/>
      <c r="K10" s="22"/>
    </row>
    <row r="11" ht="60.75" customHeight="1">
      <c r="A11" s="12"/>
      <c r="B11" s="13"/>
      <c r="C11" s="23"/>
      <c r="D11" s="21"/>
      <c r="E11" s="21"/>
      <c r="F11" s="21"/>
      <c r="G11" s="21"/>
      <c r="H11" s="21"/>
      <c r="I11" s="21"/>
      <c r="J11" s="21"/>
      <c r="K11" s="22"/>
    </row>
    <row r="12" ht="20.25" customHeight="1">
      <c r="A12" s="12"/>
      <c r="B12" s="13"/>
      <c r="C12" s="17"/>
      <c r="D12" s="15"/>
      <c r="E12" s="15"/>
      <c r="F12" s="24"/>
      <c r="G12" s="15"/>
      <c r="H12" s="15"/>
      <c r="I12" s="15"/>
      <c r="J12" s="15"/>
      <c r="K12" s="16"/>
    </row>
    <row r="13" ht="20.25" customHeight="1">
      <c r="A13" s="12"/>
      <c r="B13" s="13"/>
      <c r="C13" s="25"/>
      <c r="D13" s="26"/>
      <c r="E13" s="26"/>
      <c r="F13" s="26"/>
      <c r="G13" s="26"/>
      <c r="H13" s="26"/>
      <c r="I13" s="26"/>
      <c r="J13" s="26"/>
      <c r="K13" s="27"/>
    </row>
    <row r="14" ht="24.75" customHeight="1">
      <c r="A14" s="12"/>
      <c r="B14" s="13"/>
      <c r="C14" t="s" s="28">
        <v>8</v>
      </c>
      <c r="D14" s="29"/>
      <c r="E14" s="29"/>
      <c r="F14" s="29"/>
      <c r="G14" s="29"/>
      <c r="H14" s="29"/>
      <c r="I14" s="29"/>
      <c r="J14" s="29"/>
      <c r="K14" s="30"/>
    </row>
    <row r="15" ht="24.75" customHeight="1">
      <c r="A15" s="12"/>
      <c r="B15" s="13"/>
      <c r="C15" s="31"/>
      <c r="D15" s="29"/>
      <c r="E15" s="29"/>
      <c r="F15" s="29"/>
      <c r="G15" s="29"/>
      <c r="H15" s="29"/>
      <c r="I15" s="29"/>
      <c r="J15" s="29"/>
      <c r="K15" s="30"/>
    </row>
    <row r="16" ht="24.75" customHeight="1">
      <c r="A16" s="12"/>
      <c r="B16" s="13"/>
      <c r="C16" s="31"/>
      <c r="D16" s="29"/>
      <c r="E16" s="29"/>
      <c r="F16" s="29"/>
      <c r="G16" s="29"/>
      <c r="H16" s="32"/>
      <c r="I16" s="29"/>
      <c r="J16" s="29"/>
      <c r="K16" s="30"/>
    </row>
    <row r="17" ht="20.25" customHeight="1">
      <c r="A17" s="12"/>
      <c r="B17" s="13"/>
      <c r="C17" s="31"/>
      <c r="D17" s="29"/>
      <c r="E17" s="29"/>
      <c r="F17" s="29"/>
      <c r="G17" s="29"/>
      <c r="H17" s="29"/>
      <c r="I17" s="29"/>
      <c r="J17" s="29"/>
      <c r="K17" s="30"/>
    </row>
    <row r="18" ht="20.25" customHeight="1">
      <c r="A18" s="12"/>
      <c r="B18" s="13"/>
      <c r="C18" s="31"/>
      <c r="D18" s="29"/>
      <c r="E18" s="29"/>
      <c r="F18" s="29"/>
      <c r="G18" s="29"/>
      <c r="H18" s="29"/>
      <c r="I18" s="29"/>
      <c r="J18" s="29"/>
      <c r="K18" s="30"/>
    </row>
    <row r="19" ht="14.25" customHeight="1">
      <c r="A19" s="12"/>
      <c r="B19" s="13"/>
      <c r="C19" s="25"/>
      <c r="D19" s="33"/>
      <c r="E19" s="33"/>
      <c r="F19" s="33"/>
      <c r="G19" s="33"/>
      <c r="H19" s="33"/>
      <c r="I19" s="33"/>
      <c r="J19" s="33"/>
      <c r="K19" s="27"/>
    </row>
    <row r="20" ht="14.25" customHeight="1">
      <c r="A20" s="12"/>
      <c r="B20" s="13"/>
      <c r="C20" s="34"/>
      <c r="D20" s="33"/>
      <c r="E20" s="33"/>
      <c r="F20" s="33"/>
      <c r="G20" s="33"/>
      <c r="H20" s="33"/>
      <c r="I20" s="33"/>
      <c r="J20" s="33"/>
      <c r="K20" s="35"/>
    </row>
    <row r="21" ht="14.25" customHeight="1">
      <c r="A21" s="12"/>
      <c r="B21" s="13"/>
      <c r="C21" s="34"/>
      <c r="D21" s="26"/>
      <c r="E21" s="26"/>
      <c r="F21" s="26"/>
      <c r="G21" s="26"/>
      <c r="H21" s="26"/>
      <c r="I21" s="26"/>
      <c r="J21" s="26"/>
      <c r="K21" s="35"/>
    </row>
    <row r="22" ht="18.75" customHeight="1">
      <c r="A22" s="12"/>
      <c r="B22" s="13"/>
      <c r="C22" s="17"/>
      <c r="D22" s="15"/>
      <c r="E22" s="15"/>
      <c r="F22" s="15"/>
      <c r="G22" s="15"/>
      <c r="H22" s="15"/>
      <c r="I22" s="15"/>
      <c r="J22" s="15"/>
      <c r="K22" s="16"/>
    </row>
    <row r="23" ht="21" customHeight="1">
      <c r="A23" s="12"/>
      <c r="B23" s="13"/>
      <c r="C23" t="s" s="36">
        <v>9</v>
      </c>
      <c r="D23" s="37"/>
      <c r="E23" t="s" s="38">
        <v>10</v>
      </c>
      <c r="F23" s="39"/>
      <c r="G23" s="39"/>
      <c r="H23" s="39"/>
      <c r="I23" s="40"/>
      <c r="J23" s="40"/>
      <c r="K23" s="16"/>
    </row>
    <row r="24" ht="21" customHeight="1">
      <c r="A24" s="12"/>
      <c r="B24" s="13"/>
      <c r="C24" s="41"/>
      <c r="D24" s="42"/>
      <c r="E24" s="43"/>
      <c r="F24" s="43"/>
      <c r="G24" s="44"/>
      <c r="H24" s="44"/>
      <c r="I24" s="45"/>
      <c r="J24" s="45"/>
      <c r="K24" s="16"/>
    </row>
    <row r="25" ht="20.25" customHeight="1">
      <c r="A25" s="12"/>
      <c r="B25" s="13"/>
      <c r="C25" t="s" s="36">
        <v>11</v>
      </c>
      <c r="D25" s="46"/>
      <c r="E25" t="s" s="47">
        <v>12</v>
      </c>
      <c r="F25" s="48"/>
      <c r="G25" s="48"/>
      <c r="H25" s="48"/>
      <c r="I25" s="40"/>
      <c r="J25" s="49"/>
      <c r="K25" s="16"/>
    </row>
    <row r="26" ht="21" customHeight="1">
      <c r="A26" s="12"/>
      <c r="B26" s="13"/>
      <c r="C26" s="50"/>
      <c r="D26" s="51"/>
      <c r="E26" s="52"/>
      <c r="F26" s="52"/>
      <c r="G26" s="49"/>
      <c r="H26" s="49"/>
      <c r="I26" s="40"/>
      <c r="J26" s="40"/>
      <c r="K26" s="16"/>
    </row>
    <row r="27" ht="21" customHeight="1">
      <c r="A27" s="12"/>
      <c r="B27" s="13"/>
      <c r="C27" t="s" s="36">
        <v>13</v>
      </c>
      <c r="D27" s="46"/>
      <c r="E27" s="48"/>
      <c r="F27" s="48"/>
      <c r="G27" s="48"/>
      <c r="H27" s="48"/>
      <c r="I27" s="40"/>
      <c r="J27" s="49"/>
      <c r="K27" s="16"/>
    </row>
    <row r="28" ht="21" customHeight="1">
      <c r="A28" s="12"/>
      <c r="B28" s="13"/>
      <c r="C28" s="41"/>
      <c r="D28" s="42"/>
      <c r="E28" s="43"/>
      <c r="F28" s="43"/>
      <c r="G28" s="44"/>
      <c r="H28" s="44"/>
      <c r="I28" s="45"/>
      <c r="J28" s="45"/>
      <c r="K28" s="16"/>
    </row>
    <row r="29" ht="21" customHeight="1">
      <c r="A29" s="12"/>
      <c r="B29" s="13"/>
      <c r="C29" t="s" s="36">
        <v>14</v>
      </c>
      <c r="D29" s="53"/>
      <c r="E29" t="s" s="38">
        <v>10</v>
      </c>
      <c r="F29" s="39"/>
      <c r="G29" s="39"/>
      <c r="H29" s="39"/>
      <c r="I29" s="40"/>
      <c r="J29" s="54"/>
      <c r="K29" s="16"/>
    </row>
    <row r="30" ht="20.25" customHeight="1">
      <c r="A30" s="12"/>
      <c r="B30" s="13"/>
      <c r="C30" s="17"/>
      <c r="D30" s="45"/>
      <c r="E30" s="44"/>
      <c r="F30" s="44"/>
      <c r="G30" s="44"/>
      <c r="H30" s="44"/>
      <c r="I30" s="45"/>
      <c r="J30" s="45"/>
      <c r="K30" s="55"/>
    </row>
    <row r="31" ht="20.25" customHeight="1">
      <c r="A31" s="12"/>
      <c r="B31" s="13"/>
      <c r="C31" t="s" s="36">
        <v>15</v>
      </c>
      <c r="D31" s="56"/>
      <c r="E31" t="s" s="57">
        <v>16</v>
      </c>
      <c r="F31" s="39"/>
      <c r="G31" s="39"/>
      <c r="H31" s="39"/>
      <c r="I31" s="45"/>
      <c r="J31" s="45"/>
      <c r="K31" s="55"/>
    </row>
    <row r="32" ht="20.25" customHeight="1">
      <c r="A32" s="12"/>
      <c r="B32" s="13"/>
      <c r="C32" s="17"/>
      <c r="D32" s="45"/>
      <c r="E32" s="44"/>
      <c r="F32" s="44"/>
      <c r="G32" s="44"/>
      <c r="H32" s="44"/>
      <c r="I32" s="45"/>
      <c r="J32" s="45"/>
      <c r="K32" s="55"/>
    </row>
    <row r="33" ht="20.25" customHeight="1">
      <c r="A33" s="58"/>
      <c r="B33" s="59"/>
      <c r="C33" s="60"/>
      <c r="D33" s="61"/>
      <c r="E33" s="62"/>
      <c r="F33" s="62"/>
      <c r="G33" s="62"/>
      <c r="H33" s="62"/>
      <c r="I33" s="61"/>
      <c r="J33" s="61"/>
      <c r="K33" s="63"/>
    </row>
    <row r="34" ht="36.75" customHeight="1">
      <c r="A34" s="64"/>
      <c r="B34" s="65"/>
      <c r="C34" t="s" s="66">
        <v>17</v>
      </c>
      <c r="D34" s="67"/>
      <c r="E34" t="s" s="68">
        <v>18</v>
      </c>
      <c r="F34" s="69"/>
      <c r="G34" s="69"/>
      <c r="H34" s="69"/>
      <c r="I34" s="70"/>
      <c r="J34" s="71"/>
      <c r="K34" s="72"/>
    </row>
    <row r="35" ht="36.75" customHeight="1">
      <c r="A35" s="73"/>
      <c r="B35" s="74"/>
      <c r="C35" t="s" s="75">
        <v>19</v>
      </c>
      <c r="D35" s="76"/>
      <c r="E35" t="s" s="77">
        <v>18</v>
      </c>
      <c r="F35" s="78"/>
      <c r="G35" s="78"/>
      <c r="H35" s="78"/>
      <c r="I35" s="79"/>
      <c r="J35" s="80"/>
      <c r="K35" s="81"/>
    </row>
    <row r="36" ht="36.75" customHeight="1">
      <c r="A36" s="73"/>
      <c r="B36" s="74"/>
      <c r="C36" t="s" s="75">
        <v>20</v>
      </c>
      <c r="D36" s="76"/>
      <c r="E36" t="s" s="77">
        <v>18</v>
      </c>
      <c r="F36" s="78"/>
      <c r="G36" s="78"/>
      <c r="H36" s="78"/>
      <c r="I36" s="79"/>
      <c r="J36" s="80"/>
      <c r="K36" s="81"/>
    </row>
    <row r="37" ht="36.75" customHeight="1">
      <c r="A37" s="73"/>
      <c r="B37" s="82"/>
      <c r="C37" t="s" s="83">
        <v>21</v>
      </c>
      <c r="D37" s="84"/>
      <c r="E37" t="s" s="77">
        <v>18</v>
      </c>
      <c r="F37" s="78"/>
      <c r="G37" s="78"/>
      <c r="H37" s="78"/>
      <c r="I37" s="79"/>
      <c r="J37" s="80"/>
      <c r="K37" s="81"/>
    </row>
    <row r="38" ht="36.75" customHeight="1">
      <c r="A38" s="85"/>
      <c r="B38" s="86"/>
      <c r="C38" s="87"/>
      <c r="D38" s="88"/>
      <c r="E38" s="89"/>
      <c r="F38" s="89"/>
      <c r="G38" s="89"/>
      <c r="H38" s="89"/>
      <c r="I38" s="90"/>
      <c r="J38" s="91"/>
      <c r="K38" s="92"/>
    </row>
    <row r="39" ht="13.5" customHeight="1">
      <c r="A39" s="93"/>
      <c r="B39" s="93"/>
      <c r="C39" s="94"/>
      <c r="D39" s="94"/>
      <c r="E39" s="94"/>
      <c r="F39" s="94"/>
      <c r="G39" s="94"/>
      <c r="H39" s="94"/>
      <c r="I39" s="94"/>
      <c r="J39" s="94"/>
      <c r="K39" s="94"/>
    </row>
    <row r="40" ht="43.45" customHeight="1">
      <c r="A40" s="95"/>
      <c r="B40" s="95"/>
      <c r="C40" s="96"/>
      <c r="D40" s="96"/>
      <c r="E40" s="96"/>
      <c r="F40" s="96"/>
      <c r="G40" s="96"/>
      <c r="H40" s="96"/>
      <c r="I40" s="96"/>
      <c r="J40" s="96"/>
      <c r="K40" s="96"/>
    </row>
    <row r="41" ht="43.45" customHeight="1">
      <c r="A41" s="95"/>
      <c r="B41" s="95"/>
      <c r="C41" s="96"/>
      <c r="D41" s="96"/>
      <c r="E41" s="96"/>
      <c r="F41" s="96"/>
      <c r="G41" s="96"/>
      <c r="H41" s="96"/>
      <c r="I41" s="96"/>
      <c r="J41" s="96"/>
      <c r="K41" s="96"/>
    </row>
    <row r="42" ht="43.45" customHeight="1">
      <c r="A42" s="95"/>
      <c r="B42" s="95"/>
      <c r="C42" s="96"/>
      <c r="D42" s="96"/>
      <c r="E42" s="96"/>
      <c r="F42" s="96"/>
      <c r="G42" s="96"/>
      <c r="H42" s="96"/>
      <c r="I42" s="96"/>
      <c r="J42" s="96"/>
      <c r="K42" s="96"/>
    </row>
    <row r="43" ht="43.45" customHeight="1">
      <c r="A43" s="95"/>
      <c r="B43" s="95"/>
      <c r="C43" s="96"/>
      <c r="D43" s="96"/>
      <c r="E43" s="96"/>
      <c r="F43" s="96"/>
      <c r="G43" s="96"/>
      <c r="H43" s="96"/>
      <c r="I43" s="96"/>
      <c r="J43" s="96"/>
      <c r="K43" s="96"/>
    </row>
    <row r="44" ht="43.45" customHeight="1">
      <c r="A44" s="95"/>
      <c r="B44" s="95"/>
      <c r="C44" s="96"/>
      <c r="D44" s="96"/>
      <c r="E44" s="96"/>
      <c r="F44" s="96"/>
      <c r="G44" s="96"/>
      <c r="H44" s="96"/>
      <c r="I44" s="96"/>
      <c r="J44" s="96"/>
      <c r="K44" s="96"/>
    </row>
    <row r="45" ht="43.45" customHeight="1">
      <c r="A45" s="95"/>
      <c r="B45" s="95"/>
      <c r="C45" s="96"/>
      <c r="D45" s="96"/>
      <c r="E45" s="96"/>
      <c r="F45" s="96"/>
      <c r="G45" s="96"/>
      <c r="H45" s="96"/>
      <c r="I45" s="96"/>
      <c r="J45" s="96"/>
      <c r="K45" s="96"/>
    </row>
    <row r="46" ht="43.45" customHeight="1">
      <c r="A46" s="95"/>
      <c r="B46" s="95"/>
      <c r="C46" s="96"/>
      <c r="D46" s="96"/>
      <c r="E46" s="96"/>
      <c r="F46" s="96"/>
      <c r="G46" s="96"/>
      <c r="H46" s="96"/>
      <c r="I46" s="96"/>
      <c r="J46" s="96"/>
      <c r="K46" s="96"/>
    </row>
    <row r="47" ht="43.45" customHeight="1">
      <c r="A47" s="95"/>
      <c r="B47" s="95"/>
      <c r="C47" s="96"/>
      <c r="D47" s="96"/>
      <c r="E47" s="96"/>
      <c r="F47" s="96"/>
      <c r="G47" s="96"/>
      <c r="H47" s="96"/>
      <c r="I47" s="96"/>
      <c r="J47" s="96"/>
      <c r="K47" s="96"/>
    </row>
    <row r="48" ht="43.45" customHeight="1">
      <c r="A48" s="95"/>
      <c r="B48" s="95"/>
      <c r="C48" s="96"/>
      <c r="D48" s="96"/>
      <c r="E48" s="96"/>
      <c r="F48" s="96"/>
      <c r="G48" s="96"/>
      <c r="H48" s="96"/>
      <c r="I48" s="96"/>
      <c r="J48" s="96"/>
      <c r="K48" s="96"/>
    </row>
    <row r="49" ht="43.45" customHeight="1">
      <c r="A49" s="95"/>
      <c r="B49" s="95"/>
      <c r="C49" s="96"/>
      <c r="D49" s="96"/>
      <c r="E49" s="96"/>
      <c r="F49" s="96"/>
      <c r="G49" s="96"/>
      <c r="H49" s="96"/>
      <c r="I49" s="96"/>
      <c r="J49" s="96"/>
      <c r="K49" s="96"/>
    </row>
    <row r="50" ht="43.45" customHeight="1">
      <c r="A50" s="95"/>
      <c r="B50" s="95"/>
      <c r="C50" s="96"/>
      <c r="D50" s="96"/>
      <c r="E50" s="96"/>
      <c r="F50" s="96"/>
      <c r="G50" s="96"/>
      <c r="H50" s="96"/>
      <c r="I50" s="96"/>
      <c r="J50" s="96"/>
      <c r="K50" s="96"/>
    </row>
    <row r="51" ht="43.45" customHeight="1">
      <c r="A51" s="95"/>
      <c r="B51" s="95"/>
      <c r="C51" s="96"/>
      <c r="D51" s="96"/>
      <c r="E51" s="96"/>
      <c r="F51" s="96"/>
      <c r="G51" s="96"/>
      <c r="H51" s="96"/>
      <c r="I51" s="96"/>
      <c r="J51" s="96"/>
      <c r="K51" s="96"/>
    </row>
    <row r="52" ht="43.45" customHeight="1">
      <c r="A52" s="95"/>
      <c r="B52" s="95"/>
      <c r="C52" s="96"/>
      <c r="D52" s="96"/>
      <c r="E52" s="96"/>
      <c r="F52" s="96"/>
      <c r="G52" s="96"/>
      <c r="H52" s="96"/>
      <c r="I52" s="96"/>
      <c r="J52" s="96"/>
      <c r="K52" s="96"/>
    </row>
    <row r="53" ht="43.45" customHeight="1">
      <c r="A53" s="95"/>
      <c r="B53" s="95"/>
      <c r="C53" s="96"/>
      <c r="D53" s="96"/>
      <c r="E53" s="96"/>
      <c r="F53" s="96"/>
      <c r="G53" s="96"/>
      <c r="H53" s="96"/>
      <c r="I53" s="96"/>
      <c r="J53" s="96"/>
      <c r="K53" s="96"/>
    </row>
    <row r="54" ht="43.45" customHeight="1">
      <c r="A54" s="95"/>
      <c r="B54" s="95"/>
      <c r="C54" s="96"/>
      <c r="D54" s="96"/>
      <c r="E54" s="96"/>
      <c r="F54" s="96"/>
      <c r="G54" s="96"/>
      <c r="H54" s="96"/>
      <c r="I54" s="96"/>
      <c r="J54" s="96"/>
      <c r="K54" s="96"/>
    </row>
    <row r="55" ht="43.45" customHeight="1">
      <c r="A55" s="95"/>
      <c r="B55" s="95"/>
      <c r="C55" s="96"/>
      <c r="D55" s="96"/>
      <c r="E55" s="96"/>
      <c r="F55" s="96"/>
      <c r="G55" s="96"/>
      <c r="H55" s="96"/>
      <c r="I55" s="96"/>
      <c r="J55" s="96"/>
      <c r="K55" s="96"/>
    </row>
    <row r="56" ht="43.45" customHeight="1">
      <c r="A56" s="95"/>
      <c r="B56" s="95"/>
      <c r="C56" s="96"/>
      <c r="D56" s="96"/>
      <c r="E56" s="96"/>
      <c r="F56" s="96"/>
      <c r="G56" s="96"/>
      <c r="H56" s="96"/>
      <c r="I56" s="96"/>
      <c r="J56" s="96"/>
      <c r="K56" s="96"/>
    </row>
    <row r="57" ht="43.45" customHeight="1">
      <c r="A57" s="95"/>
      <c r="B57" s="95"/>
      <c r="C57" s="96"/>
      <c r="D57" s="96"/>
      <c r="E57" s="96"/>
      <c r="F57" s="96"/>
      <c r="G57" s="96"/>
      <c r="H57" s="96"/>
      <c r="I57" s="96"/>
      <c r="J57" s="96"/>
      <c r="K57" s="96"/>
    </row>
    <row r="58" ht="43.45" customHeight="1">
      <c r="A58" s="95"/>
      <c r="B58" s="95"/>
      <c r="C58" s="96"/>
      <c r="D58" s="96"/>
      <c r="E58" s="96"/>
      <c r="F58" s="96"/>
      <c r="G58" s="96"/>
      <c r="H58" s="96"/>
      <c r="I58" s="96"/>
      <c r="J58" s="96"/>
      <c r="K58" s="96"/>
    </row>
    <row r="59" ht="43.45" customHeight="1">
      <c r="A59" s="95"/>
      <c r="B59" s="95"/>
      <c r="C59" s="96"/>
      <c r="D59" s="96"/>
      <c r="E59" s="96"/>
      <c r="F59" s="96"/>
      <c r="G59" s="96"/>
      <c r="H59" s="96"/>
      <c r="I59" s="96"/>
      <c r="J59" s="96"/>
      <c r="K59" s="96"/>
    </row>
    <row r="60" ht="43.45" customHeight="1">
      <c r="A60" s="95"/>
      <c r="B60" s="95"/>
      <c r="C60" s="96"/>
      <c r="D60" s="96"/>
      <c r="E60" s="96"/>
      <c r="F60" s="96"/>
      <c r="G60" s="96"/>
      <c r="H60" s="96"/>
      <c r="I60" s="96"/>
      <c r="J60" s="96"/>
      <c r="K60" s="96"/>
    </row>
    <row r="61" ht="43.45" customHeight="1">
      <c r="A61" s="95"/>
      <c r="B61" s="95"/>
      <c r="C61" s="96"/>
      <c r="D61" s="96"/>
      <c r="E61" s="96"/>
      <c r="F61" s="96"/>
      <c r="G61" s="96"/>
      <c r="H61" s="96"/>
      <c r="I61" s="96"/>
      <c r="J61" s="96"/>
      <c r="K61" s="96"/>
    </row>
    <row r="62" ht="43.45" customHeight="1">
      <c r="A62" s="95"/>
      <c r="B62" s="95"/>
      <c r="C62" s="96"/>
      <c r="D62" s="96"/>
      <c r="E62" s="96"/>
      <c r="F62" s="96"/>
      <c r="G62" s="96"/>
      <c r="H62" s="96"/>
      <c r="I62" s="96"/>
      <c r="J62" s="96"/>
      <c r="K62" s="96"/>
    </row>
    <row r="63" ht="43.45" customHeight="1">
      <c r="A63" s="95"/>
      <c r="B63" s="95"/>
      <c r="C63" s="96"/>
      <c r="D63" s="96"/>
      <c r="E63" s="96"/>
      <c r="F63" s="96"/>
      <c r="G63" s="96"/>
      <c r="H63" s="96"/>
      <c r="I63" s="96"/>
      <c r="J63" s="96"/>
      <c r="K63" s="96"/>
    </row>
    <row r="64" ht="43.45" customHeight="1">
      <c r="A64" s="95"/>
      <c r="B64" s="95"/>
      <c r="C64" s="96"/>
      <c r="D64" s="96"/>
      <c r="E64" s="96"/>
      <c r="F64" s="96"/>
      <c r="G64" s="96"/>
      <c r="H64" s="96"/>
      <c r="I64" s="96"/>
      <c r="J64" s="96"/>
      <c r="K64" s="96"/>
    </row>
    <row r="65" ht="43.45" customHeight="1">
      <c r="A65" s="95"/>
      <c r="B65" s="95"/>
      <c r="C65" s="96"/>
      <c r="D65" s="96"/>
      <c r="E65" s="96"/>
      <c r="F65" s="96"/>
      <c r="G65" s="96"/>
      <c r="H65" s="96"/>
      <c r="I65" s="96"/>
      <c r="J65" s="96"/>
      <c r="K65" s="96"/>
    </row>
    <row r="66" ht="43.45" customHeight="1">
      <c r="A66" s="95"/>
      <c r="B66" s="95"/>
      <c r="C66" s="96"/>
      <c r="D66" s="96"/>
      <c r="E66" s="96"/>
      <c r="F66" s="96"/>
      <c r="G66" s="96"/>
      <c r="H66" s="96"/>
      <c r="I66" s="96"/>
      <c r="J66" s="96"/>
      <c r="K66" s="96"/>
    </row>
    <row r="67" ht="43.45" customHeight="1">
      <c r="A67" s="95"/>
      <c r="B67" s="95"/>
      <c r="C67" s="96"/>
      <c r="D67" s="96"/>
      <c r="E67" s="96"/>
      <c r="F67" s="96"/>
      <c r="G67" s="96"/>
      <c r="H67" s="96"/>
      <c r="I67" s="96"/>
      <c r="J67" s="96"/>
      <c r="K67" s="96"/>
    </row>
    <row r="68" ht="43.45" customHeight="1">
      <c r="A68" s="95"/>
      <c r="B68" s="95"/>
      <c r="C68" s="96"/>
      <c r="D68" s="96"/>
      <c r="E68" s="96"/>
      <c r="F68" s="96"/>
      <c r="G68" s="96"/>
      <c r="H68" s="96"/>
      <c r="I68" s="96"/>
      <c r="J68" s="96"/>
      <c r="K68" s="96"/>
    </row>
    <row r="69" ht="43.45" customHeight="1">
      <c r="A69" s="95"/>
      <c r="B69" s="95"/>
      <c r="C69" s="96"/>
      <c r="D69" s="96"/>
      <c r="E69" s="96"/>
      <c r="F69" s="96"/>
      <c r="G69" s="96"/>
      <c r="H69" s="96"/>
      <c r="I69" s="96"/>
      <c r="J69" s="96"/>
      <c r="K69" s="96"/>
    </row>
    <row r="70" ht="43.45" customHeight="1">
      <c r="A70" s="95"/>
      <c r="B70" s="95"/>
      <c r="C70" s="96"/>
      <c r="D70" s="96"/>
      <c r="E70" s="96"/>
      <c r="F70" s="96"/>
      <c r="G70" s="96"/>
      <c r="H70" s="96"/>
      <c r="I70" s="96"/>
      <c r="J70" s="96"/>
      <c r="K70" s="96"/>
    </row>
    <row r="71" ht="43.45" customHeight="1">
      <c r="A71" s="95"/>
      <c r="B71" s="95"/>
      <c r="C71" s="96"/>
      <c r="D71" s="96"/>
      <c r="E71" s="96"/>
      <c r="F71" s="96"/>
      <c r="G71" s="96"/>
      <c r="H71" s="96"/>
      <c r="I71" s="96"/>
      <c r="J71" s="96"/>
      <c r="K71" s="96"/>
    </row>
    <row r="72" ht="43.45" customHeight="1">
      <c r="A72" s="95"/>
      <c r="B72" s="95"/>
      <c r="C72" s="96"/>
      <c r="D72" s="96"/>
      <c r="E72" s="96"/>
      <c r="F72" s="96"/>
      <c r="G72" s="96"/>
      <c r="H72" s="96"/>
      <c r="I72" s="96"/>
      <c r="J72" s="96"/>
      <c r="K72" s="96"/>
    </row>
    <row r="73" ht="43.45" customHeight="1">
      <c r="A73" s="95"/>
      <c r="B73" s="95"/>
      <c r="C73" s="96"/>
      <c r="D73" s="96"/>
      <c r="E73" s="96"/>
      <c r="F73" s="96"/>
      <c r="G73" s="96"/>
      <c r="H73" s="96"/>
      <c r="I73" s="96"/>
      <c r="J73" s="96"/>
      <c r="K73" s="96"/>
    </row>
    <row r="74" ht="43.45" customHeight="1">
      <c r="A74" s="95"/>
      <c r="B74" s="95"/>
      <c r="C74" s="96"/>
      <c r="D74" s="96"/>
      <c r="E74" s="96"/>
      <c r="F74" s="96"/>
      <c r="G74" s="96"/>
      <c r="H74" s="96"/>
      <c r="I74" s="96"/>
      <c r="J74" s="96"/>
      <c r="K74" s="96"/>
    </row>
    <row r="75" ht="43.45" customHeight="1">
      <c r="A75" s="95"/>
      <c r="B75" s="95"/>
      <c r="C75" s="96"/>
      <c r="D75" s="96"/>
      <c r="E75" s="96"/>
      <c r="F75" s="96"/>
      <c r="G75" s="96"/>
      <c r="H75" s="96"/>
      <c r="I75" s="96"/>
      <c r="J75" s="96"/>
      <c r="K75" s="96"/>
    </row>
    <row r="76" ht="43.45" customHeight="1">
      <c r="A76" s="95"/>
      <c r="B76" s="95"/>
      <c r="C76" s="96"/>
      <c r="D76" s="96"/>
      <c r="E76" s="96"/>
      <c r="F76" s="96"/>
      <c r="G76" s="96"/>
      <c r="H76" s="96"/>
      <c r="I76" s="96"/>
      <c r="J76" s="96"/>
      <c r="K76" s="96"/>
    </row>
    <row r="77" ht="43.45" customHeight="1">
      <c r="A77" s="95"/>
      <c r="B77" s="95"/>
      <c r="C77" s="96"/>
      <c r="D77" s="96"/>
      <c r="E77" s="96"/>
      <c r="F77" s="96"/>
      <c r="G77" s="96"/>
      <c r="H77" s="96"/>
      <c r="I77" s="96"/>
      <c r="J77" s="96"/>
      <c r="K77" s="96"/>
    </row>
    <row r="78" ht="43.45" customHeight="1">
      <c r="A78" s="95"/>
      <c r="B78" s="95"/>
      <c r="C78" s="96"/>
      <c r="D78" s="96"/>
      <c r="E78" s="96"/>
      <c r="F78" s="96"/>
      <c r="G78" s="96"/>
      <c r="H78" s="96"/>
      <c r="I78" s="96"/>
      <c r="J78" s="96"/>
      <c r="K78" s="96"/>
    </row>
    <row r="79" ht="43.45" customHeight="1">
      <c r="A79" s="95"/>
      <c r="B79" s="95"/>
      <c r="C79" s="96"/>
      <c r="D79" s="96"/>
      <c r="E79" s="96"/>
      <c r="F79" s="96"/>
      <c r="G79" s="96"/>
      <c r="H79" s="96"/>
      <c r="I79" s="96"/>
      <c r="J79" s="96"/>
      <c r="K79" s="96"/>
    </row>
    <row r="80" ht="43.45" customHeight="1">
      <c r="A80" s="95"/>
      <c r="B80" s="95"/>
      <c r="C80" s="96"/>
      <c r="D80" s="96"/>
      <c r="E80" s="96"/>
      <c r="F80" s="96"/>
      <c r="G80" s="96"/>
      <c r="H80" s="96"/>
      <c r="I80" s="96"/>
      <c r="J80" s="96"/>
      <c r="K80" s="96"/>
    </row>
    <row r="81" ht="43.45" customHeight="1">
      <c r="A81" s="95"/>
      <c r="B81" s="95"/>
      <c r="C81" s="96"/>
      <c r="D81" s="96"/>
      <c r="E81" s="96"/>
      <c r="F81" s="96"/>
      <c r="G81" s="96"/>
      <c r="H81" s="96"/>
      <c r="I81" s="96"/>
      <c r="J81" s="96"/>
      <c r="K81" s="96"/>
    </row>
    <row r="82" ht="43.45" customHeight="1">
      <c r="A82" s="95"/>
      <c r="B82" s="95"/>
      <c r="C82" s="96"/>
      <c r="D82" s="96"/>
      <c r="E82" s="96"/>
      <c r="F82" s="96"/>
      <c r="G82" s="96"/>
      <c r="H82" s="96"/>
      <c r="I82" s="96"/>
      <c r="J82" s="96"/>
      <c r="K82" s="96"/>
    </row>
    <row r="83" ht="43.45" customHeight="1">
      <c r="A83" s="95"/>
      <c r="B83" s="95"/>
      <c r="C83" s="96"/>
      <c r="D83" s="96"/>
      <c r="E83" s="96"/>
      <c r="F83" s="96"/>
      <c r="G83" s="96"/>
      <c r="H83" s="96"/>
      <c r="I83" s="96"/>
      <c r="J83" s="96"/>
      <c r="K83" s="96"/>
    </row>
    <row r="84" ht="43.45" customHeight="1">
      <c r="A84" s="95"/>
      <c r="B84" s="95"/>
      <c r="C84" s="96"/>
      <c r="D84" s="96"/>
      <c r="E84" s="96"/>
      <c r="F84" s="96"/>
      <c r="G84" s="96"/>
      <c r="H84" s="96"/>
      <c r="I84" s="96"/>
      <c r="J84" s="96"/>
      <c r="K84" s="96"/>
    </row>
    <row r="85" ht="43.45" customHeight="1">
      <c r="A85" s="95"/>
      <c r="B85" s="95"/>
      <c r="C85" s="96"/>
      <c r="D85" s="96"/>
      <c r="E85" s="96"/>
      <c r="F85" s="96"/>
      <c r="G85" s="96"/>
      <c r="H85" s="96"/>
      <c r="I85" s="96"/>
      <c r="J85" s="96"/>
      <c r="K85" s="96"/>
    </row>
    <row r="86" ht="43.45" customHeight="1">
      <c r="A86" s="95"/>
      <c r="B86" s="95"/>
      <c r="C86" s="96"/>
      <c r="D86" s="96"/>
      <c r="E86" s="96"/>
      <c r="F86" s="96"/>
      <c r="G86" s="96"/>
      <c r="H86" s="96"/>
      <c r="I86" s="96"/>
      <c r="J86" s="96"/>
      <c r="K86" s="96"/>
    </row>
    <row r="87" ht="43.45" customHeight="1">
      <c r="A87" s="95"/>
      <c r="B87" s="95"/>
      <c r="C87" s="96"/>
      <c r="D87" s="96"/>
      <c r="E87" s="96"/>
      <c r="F87" s="96"/>
      <c r="G87" s="96"/>
      <c r="H87" s="96"/>
      <c r="I87" s="96"/>
      <c r="J87" s="96"/>
      <c r="K87" s="96"/>
    </row>
    <row r="88" ht="43.45" customHeight="1">
      <c r="A88" s="95"/>
      <c r="B88" s="95"/>
      <c r="C88" s="96"/>
      <c r="D88" s="96"/>
      <c r="E88" s="96"/>
      <c r="F88" s="96"/>
      <c r="G88" s="96"/>
      <c r="H88" s="96"/>
      <c r="I88" s="96"/>
      <c r="J88" s="96"/>
      <c r="K88" s="96"/>
    </row>
    <row r="89" ht="43.45" customHeight="1">
      <c r="A89" s="95"/>
      <c r="B89" s="95"/>
      <c r="C89" s="96"/>
      <c r="D89" s="96"/>
      <c r="E89" s="96"/>
      <c r="F89" s="96"/>
      <c r="G89" s="96"/>
      <c r="H89" s="96"/>
      <c r="I89" s="96"/>
      <c r="J89" s="96"/>
      <c r="K89" s="96"/>
    </row>
    <row r="90" ht="43.45" customHeight="1">
      <c r="A90" s="95"/>
      <c r="B90" s="95"/>
      <c r="C90" s="96"/>
      <c r="D90" s="96"/>
      <c r="E90" s="96"/>
      <c r="F90" s="96"/>
      <c r="G90" s="96"/>
      <c r="H90" s="96"/>
      <c r="I90" s="96"/>
      <c r="J90" s="96"/>
      <c r="K90" s="96"/>
    </row>
    <row r="91" ht="43.45" customHeight="1">
      <c r="A91" s="95"/>
      <c r="B91" s="95"/>
      <c r="C91" s="96"/>
      <c r="D91" s="96"/>
      <c r="E91" s="96"/>
      <c r="F91" s="96"/>
      <c r="G91" s="96"/>
      <c r="H91" s="96"/>
      <c r="I91" s="96"/>
      <c r="J91" s="96"/>
      <c r="K91" s="96"/>
    </row>
    <row r="92" ht="43.45" customHeight="1">
      <c r="A92" s="95"/>
      <c r="B92" s="95"/>
      <c r="C92" s="96"/>
      <c r="D92" s="96"/>
      <c r="E92" s="96"/>
      <c r="F92" s="96"/>
      <c r="G92" s="96"/>
      <c r="H92" s="96"/>
      <c r="I92" s="96"/>
      <c r="J92" s="96"/>
      <c r="K92" s="96"/>
    </row>
    <row r="93" ht="43.45" customHeight="1">
      <c r="A93" s="95"/>
      <c r="B93" s="95"/>
      <c r="C93" s="96"/>
      <c r="D93" s="96"/>
      <c r="E93" s="96"/>
      <c r="F93" s="96"/>
      <c r="G93" s="96"/>
      <c r="H93" s="96"/>
      <c r="I93" s="96"/>
      <c r="J93" s="96"/>
      <c r="K93" s="96"/>
    </row>
    <row r="94" ht="43.45" customHeight="1">
      <c r="A94" s="95"/>
      <c r="B94" s="95"/>
      <c r="C94" s="96"/>
      <c r="D94" s="96"/>
      <c r="E94" s="96"/>
      <c r="F94" s="96"/>
      <c r="G94" s="96"/>
      <c r="H94" s="96"/>
      <c r="I94" s="96"/>
      <c r="J94" s="96"/>
      <c r="K94" s="96"/>
    </row>
    <row r="95" ht="43.45" customHeight="1">
      <c r="A95" s="95"/>
      <c r="B95" s="95"/>
      <c r="C95" s="96"/>
      <c r="D95" s="96"/>
      <c r="E95" s="96"/>
      <c r="F95" s="96"/>
      <c r="G95" s="96"/>
      <c r="H95" s="96"/>
      <c r="I95" s="96"/>
      <c r="J95" s="96"/>
      <c r="K95" s="96"/>
    </row>
    <row r="96" ht="43.45" customHeight="1">
      <c r="A96" s="95"/>
      <c r="B96" s="95"/>
      <c r="C96" s="96"/>
      <c r="D96" s="96"/>
      <c r="E96" s="96"/>
      <c r="F96" s="96"/>
      <c r="G96" s="96"/>
      <c r="H96" s="96"/>
      <c r="I96" s="96"/>
      <c r="J96" s="96"/>
      <c r="K96" s="96"/>
    </row>
    <row r="97" ht="43.45" customHeight="1">
      <c r="A97" s="95"/>
      <c r="B97" s="95"/>
      <c r="C97" s="96"/>
      <c r="D97" s="96"/>
      <c r="E97" s="96"/>
      <c r="F97" s="96"/>
      <c r="G97" s="96"/>
      <c r="H97" s="96"/>
      <c r="I97" s="96"/>
      <c r="J97" s="96"/>
      <c r="K97" s="96"/>
    </row>
    <row r="98" ht="43.45" customHeight="1">
      <c r="A98" s="95"/>
      <c r="B98" s="95"/>
      <c r="C98" s="96"/>
      <c r="D98" s="96"/>
      <c r="E98" s="96"/>
      <c r="F98" s="96"/>
      <c r="G98" s="96"/>
      <c r="H98" s="96"/>
      <c r="I98" s="96"/>
      <c r="J98" s="96"/>
      <c r="K98" s="96"/>
    </row>
    <row r="99" ht="43.45" customHeight="1">
      <c r="A99" s="95"/>
      <c r="B99" s="95"/>
      <c r="C99" s="96"/>
      <c r="D99" s="96"/>
      <c r="E99" s="96"/>
      <c r="F99" s="96"/>
      <c r="G99" s="96"/>
      <c r="H99" s="96"/>
      <c r="I99" s="96"/>
      <c r="J99" s="96"/>
      <c r="K99" s="96"/>
    </row>
    <row r="100" ht="43.45" customHeight="1">
      <c r="A100" s="95"/>
      <c r="B100" s="95"/>
      <c r="C100" s="96"/>
      <c r="D100" s="96"/>
      <c r="E100" s="96"/>
      <c r="F100" s="96"/>
      <c r="G100" s="96"/>
      <c r="H100" s="96"/>
      <c r="I100" s="96"/>
      <c r="J100" s="96"/>
      <c r="K100" s="96"/>
    </row>
    <row r="101" ht="43.45" customHeight="1">
      <c r="A101" s="95"/>
      <c r="B101" s="95"/>
      <c r="C101" s="96"/>
      <c r="D101" s="96"/>
      <c r="E101" s="96"/>
      <c r="F101" s="96"/>
      <c r="G101" s="96"/>
      <c r="H101" s="96"/>
      <c r="I101" s="96"/>
      <c r="J101" s="96"/>
      <c r="K101" s="96"/>
    </row>
    <row r="102" ht="43.45" customHeight="1">
      <c r="A102" s="95"/>
      <c r="B102" s="95"/>
      <c r="C102" s="96"/>
      <c r="D102" s="96"/>
      <c r="E102" s="96"/>
      <c r="F102" s="96"/>
      <c r="G102" s="96"/>
      <c r="H102" s="96"/>
      <c r="I102" s="96"/>
      <c r="J102" s="96"/>
      <c r="K102" s="96"/>
    </row>
    <row r="103" ht="43.45" customHeight="1">
      <c r="A103" s="95"/>
      <c r="B103" s="95"/>
      <c r="C103" s="96"/>
      <c r="D103" s="96"/>
      <c r="E103" s="96"/>
      <c r="F103" s="96"/>
      <c r="G103" s="96"/>
      <c r="H103" s="96"/>
      <c r="I103" s="96"/>
      <c r="J103" s="96"/>
      <c r="K103" s="96"/>
    </row>
    <row r="104" ht="43.45" customHeight="1">
      <c r="A104" s="95"/>
      <c r="B104" s="95"/>
      <c r="C104" s="96"/>
      <c r="D104" s="96"/>
      <c r="E104" s="96"/>
      <c r="F104" s="96"/>
      <c r="G104" s="96"/>
      <c r="H104" s="96"/>
      <c r="I104" s="96"/>
      <c r="J104" s="96"/>
      <c r="K104" s="96"/>
    </row>
    <row r="105" ht="43.45" customHeight="1">
      <c r="A105" s="95"/>
      <c r="B105" s="95"/>
      <c r="C105" s="96"/>
      <c r="D105" s="96"/>
      <c r="E105" s="96"/>
      <c r="F105" s="96"/>
      <c r="G105" s="96"/>
      <c r="H105" s="96"/>
      <c r="I105" s="96"/>
      <c r="J105" s="96"/>
      <c r="K105" s="96"/>
    </row>
    <row r="106" ht="43.45" customHeight="1">
      <c r="A106" s="95"/>
      <c r="B106" s="95"/>
      <c r="C106" s="96"/>
      <c r="D106" s="96"/>
      <c r="E106" s="96"/>
      <c r="F106" s="96"/>
      <c r="G106" s="96"/>
      <c r="H106" s="96"/>
      <c r="I106" s="96"/>
      <c r="J106" s="96"/>
      <c r="K106" s="96"/>
    </row>
    <row r="107" ht="43.45" customHeight="1">
      <c r="A107" s="95"/>
      <c r="B107" s="95"/>
      <c r="C107" s="96"/>
      <c r="D107" s="96"/>
      <c r="E107" s="96"/>
      <c r="F107" s="96"/>
      <c r="G107" s="96"/>
      <c r="H107" s="96"/>
      <c r="I107" s="96"/>
      <c r="J107" s="96"/>
      <c r="K107" s="96"/>
    </row>
    <row r="108" ht="43.45" customHeight="1">
      <c r="A108" s="95"/>
      <c r="B108" s="95"/>
      <c r="C108" s="96"/>
      <c r="D108" s="96"/>
      <c r="E108" s="96"/>
      <c r="F108" s="96"/>
      <c r="G108" s="96"/>
      <c r="H108" s="96"/>
      <c r="I108" s="96"/>
      <c r="J108" s="96"/>
      <c r="K108" s="96"/>
    </row>
    <row r="109" ht="43.45" customHeight="1">
      <c r="A109" s="95"/>
      <c r="B109" s="95"/>
      <c r="C109" s="96"/>
      <c r="D109" s="96"/>
      <c r="E109" s="96"/>
      <c r="F109" s="96"/>
      <c r="G109" s="96"/>
      <c r="H109" s="96"/>
      <c r="I109" s="96"/>
      <c r="J109" s="96"/>
      <c r="K109" s="96"/>
    </row>
    <row r="110" ht="43.45" customHeight="1">
      <c r="A110" s="95"/>
      <c r="B110" s="95"/>
      <c r="C110" s="96"/>
      <c r="D110" s="96"/>
      <c r="E110" s="96"/>
      <c r="F110" s="96"/>
      <c r="G110" s="96"/>
      <c r="H110" s="96"/>
      <c r="I110" s="96"/>
      <c r="J110" s="96"/>
      <c r="K110" s="96"/>
    </row>
    <row r="111" ht="43.45" customHeight="1">
      <c r="A111" s="95"/>
      <c r="B111" s="95"/>
      <c r="C111" s="96"/>
      <c r="D111" s="96"/>
      <c r="E111" s="96"/>
      <c r="F111" s="96"/>
      <c r="G111" s="96"/>
      <c r="H111" s="96"/>
      <c r="I111" s="96"/>
      <c r="J111" s="96"/>
      <c r="K111" s="96"/>
    </row>
    <row r="112" ht="43.45" customHeight="1">
      <c r="A112" s="95"/>
      <c r="B112" s="95"/>
      <c r="C112" s="96"/>
      <c r="D112" s="96"/>
      <c r="E112" s="96"/>
      <c r="F112" s="96"/>
      <c r="G112" s="96"/>
      <c r="H112" s="96"/>
      <c r="I112" s="96"/>
      <c r="J112" s="96"/>
      <c r="K112" s="96"/>
    </row>
    <row r="113" ht="43.45" customHeight="1">
      <c r="A113" s="95"/>
      <c r="B113" s="95"/>
      <c r="C113" s="96"/>
      <c r="D113" s="96"/>
      <c r="E113" s="96"/>
      <c r="F113" s="96"/>
      <c r="G113" s="96"/>
      <c r="H113" s="96"/>
      <c r="I113" s="96"/>
      <c r="J113" s="96"/>
      <c r="K113" s="96"/>
    </row>
    <row r="114" ht="43.45" customHeight="1">
      <c r="A114" s="95"/>
      <c r="B114" s="95"/>
      <c r="C114" s="96"/>
      <c r="D114" s="96"/>
      <c r="E114" s="96"/>
      <c r="F114" s="96"/>
      <c r="G114" s="96"/>
      <c r="H114" s="96"/>
      <c r="I114" s="96"/>
      <c r="J114" s="96"/>
      <c r="K114" s="96"/>
    </row>
    <row r="115" ht="43.45" customHeight="1">
      <c r="A115" s="95"/>
      <c r="B115" s="95"/>
      <c r="C115" s="96"/>
      <c r="D115" s="96"/>
      <c r="E115" s="96"/>
      <c r="F115" s="96"/>
      <c r="G115" s="96"/>
      <c r="H115" s="96"/>
      <c r="I115" s="96"/>
      <c r="J115" s="96"/>
      <c r="K115" s="96"/>
    </row>
    <row r="116" ht="43.45" customHeight="1">
      <c r="A116" s="95"/>
      <c r="B116" s="95"/>
      <c r="C116" s="96"/>
      <c r="D116" s="96"/>
      <c r="E116" s="96"/>
      <c r="F116" s="96"/>
      <c r="G116" s="96"/>
      <c r="H116" s="96"/>
      <c r="I116" s="96"/>
      <c r="J116" s="96"/>
      <c r="K116" s="96"/>
    </row>
    <row r="117" ht="43.45" customHeight="1">
      <c r="A117" s="95"/>
      <c r="B117" s="95"/>
      <c r="C117" s="96"/>
      <c r="D117" s="96"/>
      <c r="E117" s="96"/>
      <c r="F117" s="96"/>
      <c r="G117" s="96"/>
      <c r="H117" s="96"/>
      <c r="I117" s="96"/>
      <c r="J117" s="96"/>
      <c r="K117" s="96"/>
    </row>
    <row r="118" ht="43.45" customHeight="1">
      <c r="A118" s="95"/>
      <c r="B118" s="95"/>
      <c r="C118" s="96"/>
      <c r="D118" s="96"/>
      <c r="E118" s="96"/>
      <c r="F118" s="96"/>
      <c r="G118" s="96"/>
      <c r="H118" s="96"/>
      <c r="I118" s="96"/>
      <c r="J118" s="96"/>
      <c r="K118" s="96"/>
    </row>
    <row r="119" ht="43.45" customHeight="1">
      <c r="A119" s="95"/>
      <c r="B119" s="95"/>
      <c r="C119" s="96"/>
      <c r="D119" s="96"/>
      <c r="E119" s="96"/>
      <c r="F119" s="96"/>
      <c r="G119" s="96"/>
      <c r="H119" s="96"/>
      <c r="I119" s="96"/>
      <c r="J119" s="96"/>
      <c r="K119" s="96"/>
    </row>
    <row r="120" ht="43.45" customHeight="1">
      <c r="A120" s="95"/>
      <c r="B120" s="95"/>
      <c r="C120" s="96"/>
      <c r="D120" s="96"/>
      <c r="E120" s="96"/>
      <c r="F120" s="96"/>
      <c r="G120" s="96"/>
      <c r="H120" s="96"/>
      <c r="I120" s="96"/>
      <c r="J120" s="96"/>
      <c r="K120" s="96"/>
    </row>
    <row r="121" ht="43.45" customHeight="1">
      <c r="A121" s="95"/>
      <c r="B121" s="95"/>
      <c r="C121" s="96"/>
      <c r="D121" s="96"/>
      <c r="E121" s="96"/>
      <c r="F121" s="96"/>
      <c r="G121" s="96"/>
      <c r="H121" s="96"/>
      <c r="I121" s="96"/>
      <c r="J121" s="96"/>
      <c r="K121" s="96"/>
    </row>
    <row r="122" ht="43.45" customHeight="1">
      <c r="A122" s="95"/>
      <c r="B122" s="95"/>
      <c r="C122" s="96"/>
      <c r="D122" s="96"/>
      <c r="E122" s="96"/>
      <c r="F122" s="96"/>
      <c r="G122" s="96"/>
      <c r="H122" s="96"/>
      <c r="I122" s="96"/>
      <c r="J122" s="96"/>
      <c r="K122" s="96"/>
    </row>
    <row r="123" ht="43.45" customHeight="1">
      <c r="A123" s="95"/>
      <c r="B123" s="95"/>
      <c r="C123" s="96"/>
      <c r="D123" s="96"/>
      <c r="E123" s="96"/>
      <c r="F123" s="96"/>
      <c r="G123" s="96"/>
      <c r="H123" s="96"/>
      <c r="I123" s="96"/>
      <c r="J123" s="96"/>
      <c r="K123" s="96"/>
    </row>
    <row r="124" ht="43.45" customHeight="1">
      <c r="A124" s="95"/>
      <c r="B124" s="95"/>
      <c r="C124" s="96"/>
      <c r="D124" s="96"/>
      <c r="E124" s="96"/>
      <c r="F124" s="96"/>
      <c r="G124" s="96"/>
      <c r="H124" s="96"/>
      <c r="I124" s="96"/>
      <c r="J124" s="96"/>
      <c r="K124" s="96"/>
    </row>
    <row r="125" ht="43.45" customHeight="1">
      <c r="A125" s="95"/>
      <c r="B125" s="95"/>
      <c r="C125" s="96"/>
      <c r="D125" s="96"/>
      <c r="E125" s="96"/>
      <c r="F125" s="96"/>
      <c r="G125" s="96"/>
      <c r="H125" s="96"/>
      <c r="I125" s="96"/>
      <c r="J125" s="96"/>
      <c r="K125" s="96"/>
    </row>
    <row r="126" ht="43.45" customHeight="1">
      <c r="A126" s="95"/>
      <c r="B126" s="95"/>
      <c r="C126" s="96"/>
      <c r="D126" s="96"/>
      <c r="E126" s="96"/>
      <c r="F126" s="96"/>
      <c r="G126" s="96"/>
      <c r="H126" s="96"/>
      <c r="I126" s="96"/>
      <c r="J126" s="96"/>
      <c r="K126" s="96"/>
    </row>
    <row r="127" ht="43.45" customHeight="1">
      <c r="A127" s="95"/>
      <c r="B127" s="95"/>
      <c r="C127" s="96"/>
      <c r="D127" s="96"/>
      <c r="E127" s="96"/>
      <c r="F127" s="96"/>
      <c r="G127" s="96"/>
      <c r="H127" s="96"/>
      <c r="I127" s="96"/>
      <c r="J127" s="96"/>
      <c r="K127" s="96"/>
    </row>
    <row r="128" ht="43.45" customHeight="1">
      <c r="A128" s="95"/>
      <c r="B128" s="95"/>
      <c r="C128" s="96"/>
      <c r="D128" s="96"/>
      <c r="E128" s="96"/>
      <c r="F128" s="96"/>
      <c r="G128" s="96"/>
      <c r="H128" s="96"/>
      <c r="I128" s="96"/>
      <c r="J128" s="96"/>
      <c r="K128" s="96"/>
    </row>
    <row r="129" ht="43.45" customHeight="1">
      <c r="A129" s="95"/>
      <c r="B129" s="95"/>
      <c r="C129" s="96"/>
      <c r="D129" s="96"/>
      <c r="E129" s="96"/>
      <c r="F129" s="96"/>
      <c r="G129" s="96"/>
      <c r="H129" s="96"/>
      <c r="I129" s="96"/>
      <c r="J129" s="96"/>
      <c r="K129" s="96"/>
    </row>
    <row r="130" ht="43.45" customHeight="1">
      <c r="A130" s="95"/>
      <c r="B130" s="95"/>
      <c r="C130" s="96"/>
      <c r="D130" s="96"/>
      <c r="E130" s="96"/>
      <c r="F130" s="96"/>
      <c r="G130" s="96"/>
      <c r="H130" s="96"/>
      <c r="I130" s="96"/>
      <c r="J130" s="96"/>
      <c r="K130" s="96"/>
    </row>
    <row r="131" ht="43.45" customHeight="1">
      <c r="A131" s="95"/>
      <c r="B131" s="95"/>
      <c r="C131" s="96"/>
      <c r="D131" s="96"/>
      <c r="E131" s="96"/>
      <c r="F131" s="96"/>
      <c r="G131" s="96"/>
      <c r="H131" s="96"/>
      <c r="I131" s="96"/>
      <c r="J131" s="96"/>
      <c r="K131" s="96"/>
    </row>
    <row r="132" ht="43.45" customHeight="1">
      <c r="A132" s="95"/>
      <c r="B132" s="95"/>
      <c r="C132" s="96"/>
      <c r="D132" s="96"/>
      <c r="E132" s="96"/>
      <c r="F132" s="96"/>
      <c r="G132" s="96"/>
      <c r="H132" s="96"/>
      <c r="I132" s="96"/>
      <c r="J132" s="96"/>
      <c r="K132" s="96"/>
    </row>
    <row r="133" ht="43.45" customHeight="1">
      <c r="A133" s="95"/>
      <c r="B133" s="95"/>
      <c r="C133" s="96"/>
      <c r="D133" s="96"/>
      <c r="E133" s="96"/>
      <c r="F133" s="96"/>
      <c r="G133" s="96"/>
      <c r="H133" s="96"/>
      <c r="I133" s="96"/>
      <c r="J133" s="96"/>
      <c r="K133" s="96"/>
    </row>
    <row r="134" ht="43.45" customHeight="1">
      <c r="A134" s="95"/>
      <c r="B134" s="95"/>
      <c r="C134" s="96"/>
      <c r="D134" s="96"/>
      <c r="E134" s="96"/>
      <c r="F134" s="96"/>
      <c r="G134" s="96"/>
      <c r="H134" s="96"/>
      <c r="I134" s="96"/>
      <c r="J134" s="96"/>
      <c r="K134" s="96"/>
    </row>
    <row r="135" ht="43.45" customHeight="1">
      <c r="A135" s="95"/>
      <c r="B135" s="95"/>
      <c r="C135" s="96"/>
      <c r="D135" s="96"/>
      <c r="E135" s="96"/>
      <c r="F135" s="96"/>
      <c r="G135" s="96"/>
      <c r="H135" s="96"/>
      <c r="I135" s="96"/>
      <c r="J135" s="96"/>
      <c r="K135" s="96"/>
    </row>
    <row r="136" ht="43.45" customHeight="1">
      <c r="A136" s="95"/>
      <c r="B136" s="95"/>
      <c r="C136" s="96"/>
      <c r="D136" s="96"/>
      <c r="E136" s="96"/>
      <c r="F136" s="96"/>
      <c r="G136" s="96"/>
      <c r="H136" s="96"/>
      <c r="I136" s="96"/>
      <c r="J136" s="96"/>
      <c r="K136" s="96"/>
    </row>
    <row r="137" ht="43.45" customHeight="1">
      <c r="A137" s="95"/>
      <c r="B137" s="95"/>
      <c r="C137" s="96"/>
      <c r="D137" s="96"/>
      <c r="E137" s="96"/>
      <c r="F137" s="96"/>
      <c r="G137" s="96"/>
      <c r="H137" s="96"/>
      <c r="I137" s="96"/>
      <c r="J137" s="96"/>
      <c r="K137" s="96"/>
    </row>
    <row r="138" ht="43.45" customHeight="1">
      <c r="A138" s="95"/>
      <c r="B138" s="95"/>
      <c r="C138" s="96"/>
      <c r="D138" s="96"/>
      <c r="E138" s="96"/>
      <c r="F138" s="96"/>
      <c r="G138" s="96"/>
      <c r="H138" s="96"/>
      <c r="I138" s="96"/>
      <c r="J138" s="96"/>
      <c r="K138" s="96"/>
    </row>
    <row r="139" ht="43.45" customHeight="1">
      <c r="A139" s="95"/>
      <c r="B139" s="95"/>
      <c r="C139" s="96"/>
      <c r="D139" s="96"/>
      <c r="E139" s="96"/>
      <c r="F139" s="96"/>
      <c r="G139" s="96"/>
      <c r="H139" s="96"/>
      <c r="I139" s="96"/>
      <c r="J139" s="96"/>
      <c r="K139" s="96"/>
    </row>
    <row r="140" ht="43.45" customHeight="1">
      <c r="A140" s="95"/>
      <c r="B140" s="95"/>
      <c r="C140" s="96"/>
      <c r="D140" s="96"/>
      <c r="E140" s="96"/>
      <c r="F140" s="96"/>
      <c r="G140" s="96"/>
      <c r="H140" s="96"/>
      <c r="I140" s="96"/>
      <c r="J140" s="96"/>
      <c r="K140" s="96"/>
    </row>
    <row r="141" ht="43.45" customHeight="1">
      <c r="A141" s="95"/>
      <c r="B141" s="95"/>
      <c r="C141" s="96"/>
      <c r="D141" s="96"/>
      <c r="E141" s="96"/>
      <c r="F141" s="96"/>
      <c r="G141" s="96"/>
      <c r="H141" s="96"/>
      <c r="I141" s="96"/>
      <c r="J141" s="96"/>
      <c r="K141" s="96"/>
    </row>
    <row r="142" ht="43.45" customHeight="1">
      <c r="A142" s="95"/>
      <c r="B142" s="95"/>
      <c r="C142" s="96"/>
      <c r="D142" s="96"/>
      <c r="E142" s="96"/>
      <c r="F142" s="96"/>
      <c r="G142" s="96"/>
      <c r="H142" s="96"/>
      <c r="I142" s="96"/>
      <c r="J142" s="96"/>
      <c r="K142" s="96"/>
    </row>
    <row r="143" ht="43.45" customHeight="1">
      <c r="A143" s="95"/>
      <c r="B143" s="95"/>
      <c r="C143" s="96"/>
      <c r="D143" s="96"/>
      <c r="E143" s="96"/>
      <c r="F143" s="96"/>
      <c r="G143" s="96"/>
      <c r="H143" s="96"/>
      <c r="I143" s="96"/>
      <c r="J143" s="96"/>
      <c r="K143" s="96"/>
    </row>
    <row r="144" ht="43.45" customHeight="1">
      <c r="A144" s="95"/>
      <c r="B144" s="95"/>
      <c r="C144" s="96"/>
      <c r="D144" s="96"/>
      <c r="E144" s="96"/>
      <c r="F144" s="96"/>
      <c r="G144" s="96"/>
      <c r="H144" s="96"/>
      <c r="I144" s="96"/>
      <c r="J144" s="96"/>
      <c r="K144" s="96"/>
    </row>
    <row r="145" ht="43.45" customHeight="1">
      <c r="A145" s="95"/>
      <c r="B145" s="95"/>
      <c r="C145" s="96"/>
      <c r="D145" s="96"/>
      <c r="E145" s="96"/>
      <c r="F145" s="96"/>
      <c r="G145" s="96"/>
      <c r="H145" s="96"/>
      <c r="I145" s="96"/>
      <c r="J145" s="96"/>
      <c r="K145" s="96"/>
    </row>
    <row r="146" ht="43.45" customHeight="1">
      <c r="A146" s="95"/>
      <c r="B146" s="95"/>
      <c r="C146" s="96"/>
      <c r="D146" s="96"/>
      <c r="E146" s="96"/>
      <c r="F146" s="96"/>
      <c r="G146" s="96"/>
      <c r="H146" s="96"/>
      <c r="I146" s="96"/>
      <c r="J146" s="96"/>
      <c r="K146" s="96"/>
    </row>
    <row r="147" ht="43.45" customHeight="1">
      <c r="A147" s="95"/>
      <c r="B147" s="95"/>
      <c r="C147" s="96"/>
      <c r="D147" s="96"/>
      <c r="E147" s="96"/>
      <c r="F147" s="96"/>
      <c r="G147" s="96"/>
      <c r="H147" s="96"/>
      <c r="I147" s="96"/>
      <c r="J147" s="96"/>
      <c r="K147" s="96"/>
    </row>
    <row r="148" ht="43.45" customHeight="1">
      <c r="A148" s="95"/>
      <c r="B148" s="95"/>
      <c r="C148" s="96"/>
      <c r="D148" s="96"/>
      <c r="E148" s="96"/>
      <c r="F148" s="96"/>
      <c r="G148" s="96"/>
      <c r="H148" s="96"/>
      <c r="I148" s="96"/>
      <c r="J148" s="96"/>
      <c r="K148" s="96"/>
    </row>
    <row r="149" ht="43.45" customHeight="1">
      <c r="A149" s="95"/>
      <c r="B149" s="95"/>
      <c r="C149" s="96"/>
      <c r="D149" s="96"/>
      <c r="E149" s="96"/>
      <c r="F149" s="96"/>
      <c r="G149" s="96"/>
      <c r="H149" s="96"/>
      <c r="I149" s="96"/>
      <c r="J149" s="96"/>
      <c r="K149" s="96"/>
    </row>
    <row r="150" ht="43.45" customHeight="1">
      <c r="A150" s="95"/>
      <c r="B150" s="95"/>
      <c r="C150" s="96"/>
      <c r="D150" s="96"/>
      <c r="E150" s="96"/>
      <c r="F150" s="96"/>
      <c r="G150" s="96"/>
      <c r="H150" s="96"/>
      <c r="I150" s="96"/>
      <c r="J150" s="96"/>
      <c r="K150" s="96"/>
    </row>
    <row r="151" ht="43.45" customHeight="1">
      <c r="A151" s="95"/>
      <c r="B151" s="95"/>
      <c r="C151" s="96"/>
      <c r="D151" s="96"/>
      <c r="E151" s="96"/>
      <c r="F151" s="96"/>
      <c r="G151" s="96"/>
      <c r="H151" s="96"/>
      <c r="I151" s="96"/>
      <c r="J151" s="96"/>
      <c r="K151" s="96"/>
    </row>
    <row r="152" ht="43.45" customHeight="1">
      <c r="A152" s="95"/>
      <c r="B152" s="95"/>
      <c r="C152" s="96"/>
      <c r="D152" s="96"/>
      <c r="E152" s="96"/>
      <c r="F152" s="96"/>
      <c r="G152" s="96"/>
      <c r="H152" s="96"/>
      <c r="I152" s="96"/>
      <c r="J152" s="96"/>
      <c r="K152" s="96"/>
    </row>
    <row r="153" ht="43.45" customHeight="1">
      <c r="A153" s="95"/>
      <c r="B153" s="95"/>
      <c r="C153" s="96"/>
      <c r="D153" s="96"/>
      <c r="E153" s="96"/>
      <c r="F153" s="96"/>
      <c r="G153" s="96"/>
      <c r="H153" s="96"/>
      <c r="I153" s="96"/>
      <c r="J153" s="96"/>
      <c r="K153" s="96"/>
    </row>
    <row r="154" ht="43.45" customHeight="1">
      <c r="A154" s="95"/>
      <c r="B154" s="95"/>
      <c r="C154" s="96"/>
      <c r="D154" s="96"/>
      <c r="E154" s="96"/>
      <c r="F154" s="96"/>
      <c r="G154" s="96"/>
      <c r="H154" s="96"/>
      <c r="I154" s="96"/>
      <c r="J154" s="96"/>
      <c r="K154" s="96"/>
    </row>
    <row r="155" ht="43.45" customHeight="1">
      <c r="A155" s="95"/>
      <c r="B155" s="95"/>
      <c r="C155" s="96"/>
      <c r="D155" s="96"/>
      <c r="E155" s="96"/>
      <c r="F155" s="96"/>
      <c r="G155" s="96"/>
      <c r="H155" s="96"/>
      <c r="I155" s="96"/>
      <c r="J155" s="96"/>
      <c r="K155" s="96"/>
    </row>
    <row r="156" ht="43.45" customHeight="1">
      <c r="A156" s="95"/>
      <c r="B156" s="95"/>
      <c r="C156" s="96"/>
      <c r="D156" s="96"/>
      <c r="E156" s="96"/>
      <c r="F156" s="96"/>
      <c r="G156" s="96"/>
      <c r="H156" s="96"/>
      <c r="I156" s="96"/>
      <c r="J156" s="96"/>
      <c r="K156" s="96"/>
    </row>
    <row r="157" ht="43.45" customHeight="1">
      <c r="A157" s="95"/>
      <c r="B157" s="95"/>
      <c r="C157" s="96"/>
      <c r="D157" s="96"/>
      <c r="E157" s="96"/>
      <c r="F157" s="96"/>
      <c r="G157" s="96"/>
      <c r="H157" s="96"/>
      <c r="I157" s="96"/>
      <c r="J157" s="96"/>
      <c r="K157" s="96"/>
    </row>
    <row r="158" ht="43.45" customHeight="1">
      <c r="A158" s="95"/>
      <c r="B158" s="95"/>
      <c r="C158" s="96"/>
      <c r="D158" s="96"/>
      <c r="E158" s="96"/>
      <c r="F158" s="96"/>
      <c r="G158" s="96"/>
      <c r="H158" s="96"/>
      <c r="I158" s="96"/>
      <c r="J158" s="96"/>
      <c r="K158" s="96"/>
    </row>
    <row r="159" ht="43.45" customHeight="1">
      <c r="A159" s="95"/>
      <c r="B159" s="95"/>
      <c r="C159" s="96"/>
      <c r="D159" s="96"/>
      <c r="E159" s="96"/>
      <c r="F159" s="96"/>
      <c r="G159" s="96"/>
      <c r="H159" s="96"/>
      <c r="I159" s="96"/>
      <c r="J159" s="96"/>
      <c r="K159" s="96"/>
    </row>
    <row r="160" ht="43.45" customHeight="1">
      <c r="A160" s="95"/>
      <c r="B160" s="95"/>
      <c r="C160" s="96"/>
      <c r="D160" s="96"/>
      <c r="E160" s="96"/>
      <c r="F160" s="96"/>
      <c r="G160" s="96"/>
      <c r="H160" s="96"/>
      <c r="I160" s="96"/>
      <c r="J160" s="96"/>
      <c r="K160" s="96"/>
    </row>
    <row r="161" ht="43.45" customHeight="1">
      <c r="A161" s="95"/>
      <c r="B161" s="95"/>
      <c r="C161" s="96"/>
      <c r="D161" s="96"/>
      <c r="E161" s="96"/>
      <c r="F161" s="96"/>
      <c r="G161" s="96"/>
      <c r="H161" s="96"/>
      <c r="I161" s="96"/>
      <c r="J161" s="96"/>
      <c r="K161" s="96"/>
    </row>
    <row r="162" ht="43.45" customHeight="1">
      <c r="A162" s="95"/>
      <c r="B162" s="95"/>
      <c r="C162" s="96"/>
      <c r="D162" s="96"/>
      <c r="E162" s="96"/>
      <c r="F162" s="96"/>
      <c r="G162" s="96"/>
      <c r="H162" s="96"/>
      <c r="I162" s="96"/>
      <c r="J162" s="96"/>
      <c r="K162" s="96"/>
    </row>
    <row r="163" ht="43.45" customHeight="1">
      <c r="A163" s="95"/>
      <c r="B163" s="95"/>
      <c r="C163" s="96"/>
      <c r="D163" s="96"/>
      <c r="E163" s="96"/>
      <c r="F163" s="96"/>
      <c r="G163" s="96"/>
      <c r="H163" s="96"/>
      <c r="I163" s="96"/>
      <c r="J163" s="96"/>
      <c r="K163" s="96"/>
    </row>
    <row r="164" ht="43.45" customHeight="1">
      <c r="A164" s="95"/>
      <c r="B164" s="95"/>
      <c r="C164" s="96"/>
      <c r="D164" s="96"/>
      <c r="E164" s="96"/>
      <c r="F164" s="96"/>
      <c r="G164" s="96"/>
      <c r="H164" s="96"/>
      <c r="I164" s="96"/>
      <c r="J164" s="96"/>
      <c r="K164" s="96"/>
    </row>
    <row r="165" ht="43.45" customHeight="1">
      <c r="A165" s="95"/>
      <c r="B165" s="95"/>
      <c r="C165" s="96"/>
      <c r="D165" s="96"/>
      <c r="E165" s="96"/>
      <c r="F165" s="96"/>
      <c r="G165" s="96"/>
      <c r="H165" s="96"/>
      <c r="I165" s="96"/>
      <c r="J165" s="96"/>
      <c r="K165" s="96"/>
    </row>
    <row r="166" ht="43.45" customHeight="1">
      <c r="A166" s="95"/>
      <c r="B166" s="95"/>
      <c r="C166" s="96"/>
      <c r="D166" s="96"/>
      <c r="E166" s="96"/>
      <c r="F166" s="96"/>
      <c r="G166" s="96"/>
      <c r="H166" s="96"/>
      <c r="I166" s="96"/>
      <c r="J166" s="96"/>
      <c r="K166" s="96"/>
    </row>
    <row r="167" ht="43.45" customHeight="1">
      <c r="A167" s="95"/>
      <c r="B167" s="95"/>
      <c r="C167" s="96"/>
      <c r="D167" s="96"/>
      <c r="E167" s="96"/>
      <c r="F167" s="96"/>
      <c r="G167" s="96"/>
      <c r="H167" s="96"/>
      <c r="I167" s="96"/>
      <c r="J167" s="96"/>
      <c r="K167" s="96"/>
    </row>
    <row r="168" ht="43.45" customHeight="1">
      <c r="A168" s="95"/>
      <c r="B168" s="95"/>
      <c r="C168" s="96"/>
      <c r="D168" s="96"/>
      <c r="E168" s="96"/>
      <c r="F168" s="96"/>
      <c r="G168" s="96"/>
      <c r="H168" s="96"/>
      <c r="I168" s="96"/>
      <c r="J168" s="96"/>
      <c r="K168" s="96"/>
    </row>
    <row r="169" ht="43.45" customHeight="1">
      <c r="A169" s="95"/>
      <c r="B169" s="95"/>
      <c r="C169" s="96"/>
      <c r="D169" s="96"/>
      <c r="E169" s="96"/>
      <c r="F169" s="96"/>
      <c r="G169" s="96"/>
      <c r="H169" s="96"/>
      <c r="I169" s="96"/>
      <c r="J169" s="96"/>
      <c r="K169" s="96"/>
    </row>
    <row r="170" ht="43.45" customHeight="1">
      <c r="A170" s="95"/>
      <c r="B170" s="95"/>
      <c r="C170" s="96"/>
      <c r="D170" s="96"/>
      <c r="E170" s="96"/>
      <c r="F170" s="96"/>
      <c r="G170" s="96"/>
      <c r="H170" s="96"/>
      <c r="I170" s="96"/>
      <c r="J170" s="96"/>
      <c r="K170" s="96"/>
    </row>
    <row r="171" ht="43.45" customHeight="1">
      <c r="A171" s="95"/>
      <c r="B171" s="95"/>
      <c r="C171" s="96"/>
      <c r="D171" s="96"/>
      <c r="E171" s="96"/>
      <c r="F171" s="96"/>
      <c r="G171" s="96"/>
      <c r="H171" s="96"/>
      <c r="I171" s="96"/>
      <c r="J171" s="96"/>
      <c r="K171" s="96"/>
    </row>
    <row r="172" ht="43.45" customHeight="1">
      <c r="A172" s="95"/>
      <c r="B172" s="95"/>
      <c r="C172" s="96"/>
      <c r="D172" s="96"/>
      <c r="E172" s="96"/>
      <c r="F172" s="96"/>
      <c r="G172" s="96"/>
      <c r="H172" s="96"/>
      <c r="I172" s="96"/>
      <c r="J172" s="96"/>
      <c r="K172" s="96"/>
    </row>
    <row r="173" ht="43.45" customHeight="1">
      <c r="A173" s="95"/>
      <c r="B173" s="95"/>
      <c r="C173" s="96"/>
      <c r="D173" s="96"/>
      <c r="E173" s="96"/>
      <c r="F173" s="96"/>
      <c r="G173" s="96"/>
      <c r="H173" s="96"/>
      <c r="I173" s="96"/>
      <c r="J173" s="96"/>
      <c r="K173" s="96"/>
    </row>
    <row r="174" ht="43.45" customHeight="1">
      <c r="A174" s="95"/>
      <c r="B174" s="95"/>
      <c r="C174" s="96"/>
      <c r="D174" s="96"/>
      <c r="E174" s="96"/>
      <c r="F174" s="96"/>
      <c r="G174" s="96"/>
      <c r="H174" s="96"/>
      <c r="I174" s="96"/>
      <c r="J174" s="96"/>
      <c r="K174" s="96"/>
    </row>
    <row r="175" ht="43.45" customHeight="1">
      <c r="A175" s="95"/>
      <c r="B175" s="95"/>
      <c r="C175" s="96"/>
      <c r="D175" s="96"/>
      <c r="E175" s="96"/>
      <c r="F175" s="96"/>
      <c r="G175" s="96"/>
      <c r="H175" s="96"/>
      <c r="I175" s="96"/>
      <c r="J175" s="96"/>
      <c r="K175" s="96"/>
    </row>
    <row r="176" ht="43.45" customHeight="1">
      <c r="A176" s="95"/>
      <c r="B176" s="95"/>
      <c r="C176" s="96"/>
      <c r="D176" s="96"/>
      <c r="E176" s="96"/>
      <c r="F176" s="96"/>
      <c r="G176" s="96"/>
      <c r="H176" s="96"/>
      <c r="I176" s="96"/>
      <c r="J176" s="96"/>
      <c r="K176" s="96"/>
    </row>
    <row r="177" ht="43.45" customHeight="1">
      <c r="A177" s="95"/>
      <c r="B177" s="95"/>
      <c r="C177" s="96"/>
      <c r="D177" s="96"/>
      <c r="E177" s="96"/>
      <c r="F177" s="96"/>
      <c r="G177" s="96"/>
      <c r="H177" s="96"/>
      <c r="I177" s="96"/>
      <c r="J177" s="96"/>
      <c r="K177" s="96"/>
    </row>
    <row r="178" ht="43.45" customHeight="1">
      <c r="A178" s="95"/>
      <c r="B178" s="95"/>
      <c r="C178" s="96"/>
      <c r="D178" s="96"/>
      <c r="E178" s="96"/>
      <c r="F178" s="96"/>
      <c r="G178" s="96"/>
      <c r="H178" s="96"/>
      <c r="I178" s="96"/>
      <c r="J178" s="96"/>
      <c r="K178" s="96"/>
    </row>
    <row r="179" ht="43.45" customHeight="1">
      <c r="A179" s="95"/>
      <c r="B179" s="95"/>
      <c r="C179" s="96"/>
      <c r="D179" s="96"/>
      <c r="E179" s="96"/>
      <c r="F179" s="96"/>
      <c r="G179" s="96"/>
      <c r="H179" s="96"/>
      <c r="I179" s="96"/>
      <c r="J179" s="96"/>
      <c r="K179" s="96"/>
    </row>
    <row r="180" ht="43.45" customHeight="1">
      <c r="A180" s="95"/>
      <c r="B180" s="95"/>
      <c r="C180" s="96"/>
      <c r="D180" s="96"/>
      <c r="E180" s="96"/>
      <c r="F180" s="96"/>
      <c r="G180" s="96"/>
      <c r="H180" s="96"/>
      <c r="I180" s="96"/>
      <c r="J180" s="96"/>
      <c r="K180" s="96"/>
    </row>
    <row r="181" ht="43.45" customHeight="1">
      <c r="A181" s="95"/>
      <c r="B181" s="95"/>
      <c r="C181" s="96"/>
      <c r="D181" s="96"/>
      <c r="E181" s="96"/>
      <c r="F181" s="96"/>
      <c r="G181" s="96"/>
      <c r="H181" s="96"/>
      <c r="I181" s="96"/>
      <c r="J181" s="96"/>
      <c r="K181" s="96"/>
    </row>
    <row r="182" ht="43.45" customHeight="1">
      <c r="A182" s="95"/>
      <c r="B182" s="95"/>
      <c r="C182" s="96"/>
      <c r="D182" s="96"/>
      <c r="E182" s="96"/>
      <c r="F182" s="96"/>
      <c r="G182" s="96"/>
      <c r="H182" s="96"/>
      <c r="I182" s="96"/>
      <c r="J182" s="96"/>
      <c r="K182" s="96"/>
    </row>
    <row r="183" ht="43.45" customHeight="1">
      <c r="A183" s="95"/>
      <c r="B183" s="95"/>
      <c r="C183" s="96"/>
      <c r="D183" s="96"/>
      <c r="E183" s="96"/>
      <c r="F183" s="96"/>
      <c r="G183" s="96"/>
      <c r="H183" s="96"/>
      <c r="I183" s="96"/>
      <c r="J183" s="96"/>
      <c r="K183" s="96"/>
    </row>
    <row r="184" ht="43.45" customHeight="1">
      <c r="A184" s="95"/>
      <c r="B184" s="95"/>
      <c r="C184" s="96"/>
      <c r="D184" s="96"/>
      <c r="E184" s="96"/>
      <c r="F184" s="96"/>
      <c r="G184" s="96"/>
      <c r="H184" s="96"/>
      <c r="I184" s="96"/>
      <c r="J184" s="96"/>
      <c r="K184" s="96"/>
    </row>
    <row r="185" ht="43.45" customHeight="1">
      <c r="A185" s="95"/>
      <c r="B185" s="95"/>
      <c r="C185" s="96"/>
      <c r="D185" s="96"/>
      <c r="E185" s="96"/>
      <c r="F185" s="96"/>
      <c r="G185" s="96"/>
      <c r="H185" s="96"/>
      <c r="I185" s="96"/>
      <c r="J185" s="96"/>
      <c r="K185" s="96"/>
    </row>
    <row r="186" ht="43.45" customHeight="1">
      <c r="A186" s="95"/>
      <c r="B186" s="95"/>
      <c r="C186" s="96"/>
      <c r="D186" s="96"/>
      <c r="E186" s="96"/>
      <c r="F186" s="96"/>
      <c r="G186" s="96"/>
      <c r="H186" s="96"/>
      <c r="I186" s="96"/>
      <c r="J186" s="96"/>
      <c r="K186" s="96"/>
    </row>
    <row r="187" ht="43.45" customHeight="1">
      <c r="A187" s="95"/>
      <c r="B187" s="95"/>
      <c r="C187" s="96"/>
      <c r="D187" s="96"/>
      <c r="E187" s="96"/>
      <c r="F187" s="96"/>
      <c r="G187" s="96"/>
      <c r="H187" s="96"/>
      <c r="I187" s="96"/>
      <c r="J187" s="96"/>
      <c r="K187" s="96"/>
    </row>
    <row r="188" ht="43.45" customHeight="1">
      <c r="A188" s="95"/>
      <c r="B188" s="95"/>
      <c r="C188" s="96"/>
      <c r="D188" s="96"/>
      <c r="E188" s="96"/>
      <c r="F188" s="96"/>
      <c r="G188" s="96"/>
      <c r="H188" s="96"/>
      <c r="I188" s="96"/>
      <c r="J188" s="96"/>
      <c r="K188" s="96"/>
    </row>
    <row r="189" ht="43.45" customHeight="1">
      <c r="A189" s="95"/>
      <c r="B189" s="95"/>
      <c r="C189" s="96"/>
      <c r="D189" s="96"/>
      <c r="E189" s="96"/>
      <c r="F189" s="96"/>
      <c r="G189" s="96"/>
      <c r="H189" s="96"/>
      <c r="I189" s="96"/>
      <c r="J189" s="96"/>
      <c r="K189" s="96"/>
    </row>
    <row r="190" ht="43.45" customHeight="1">
      <c r="A190" s="95"/>
      <c r="B190" s="95"/>
      <c r="C190" s="96"/>
      <c r="D190" s="96"/>
      <c r="E190" s="96"/>
      <c r="F190" s="96"/>
      <c r="G190" s="96"/>
      <c r="H190" s="96"/>
      <c r="I190" s="96"/>
      <c r="J190" s="96"/>
      <c r="K190" s="96"/>
    </row>
    <row r="191" ht="43.45" customHeight="1">
      <c r="A191" s="95"/>
      <c r="B191" s="95"/>
      <c r="C191" s="96"/>
      <c r="D191" s="96"/>
      <c r="E191" s="96"/>
      <c r="F191" s="96"/>
      <c r="G191" s="96"/>
      <c r="H191" s="96"/>
      <c r="I191" s="96"/>
      <c r="J191" s="96"/>
      <c r="K191" s="96"/>
    </row>
    <row r="192" ht="43.45" customHeight="1">
      <c r="A192" s="95"/>
      <c r="B192" s="95"/>
      <c r="C192" s="96"/>
      <c r="D192" s="96"/>
      <c r="E192" s="96"/>
      <c r="F192" s="96"/>
      <c r="G192" s="96"/>
      <c r="H192" s="96"/>
      <c r="I192" s="96"/>
      <c r="J192" s="96"/>
      <c r="K192" s="96"/>
    </row>
    <row r="193" ht="43.45" customHeight="1">
      <c r="A193" s="95"/>
      <c r="B193" s="95"/>
      <c r="C193" s="96"/>
      <c r="D193" s="96"/>
      <c r="E193" s="96"/>
      <c r="F193" s="96"/>
      <c r="G193" s="96"/>
      <c r="H193" s="96"/>
      <c r="I193" s="96"/>
      <c r="J193" s="96"/>
      <c r="K193" s="96"/>
    </row>
    <row r="194" ht="43.45" customHeight="1">
      <c r="A194" s="95"/>
      <c r="B194" s="95"/>
      <c r="C194" s="96"/>
      <c r="D194" s="96"/>
      <c r="E194" s="96"/>
      <c r="F194" s="96"/>
      <c r="G194" s="96"/>
      <c r="H194" s="96"/>
      <c r="I194" s="96"/>
      <c r="J194" s="96"/>
      <c r="K194" s="96"/>
    </row>
    <row r="195" ht="43.45" customHeight="1">
      <c r="A195" s="95"/>
      <c r="B195" s="95"/>
      <c r="C195" s="96"/>
      <c r="D195" s="96"/>
      <c r="E195" s="96"/>
      <c r="F195" s="96"/>
      <c r="G195" s="96"/>
      <c r="H195" s="96"/>
      <c r="I195" s="96"/>
      <c r="J195" s="96"/>
      <c r="K195" s="96"/>
    </row>
    <row r="196" ht="43.45" customHeight="1">
      <c r="A196" s="95"/>
      <c r="B196" s="95"/>
      <c r="C196" s="96"/>
      <c r="D196" s="96"/>
      <c r="E196" s="96"/>
      <c r="F196" s="96"/>
      <c r="G196" s="96"/>
      <c r="H196" s="96"/>
      <c r="I196" s="96"/>
      <c r="J196" s="96"/>
      <c r="K196" s="96"/>
    </row>
    <row r="197" ht="43.45" customHeight="1">
      <c r="A197" s="95"/>
      <c r="B197" s="95"/>
      <c r="C197" s="96"/>
      <c r="D197" s="96"/>
      <c r="E197" s="96"/>
      <c r="F197" s="96"/>
      <c r="G197" s="96"/>
      <c r="H197" s="96"/>
      <c r="I197" s="96"/>
      <c r="J197" s="96"/>
      <c r="K197" s="96"/>
    </row>
    <row r="198" ht="43.45" customHeight="1">
      <c r="A198" s="95"/>
      <c r="B198" s="95"/>
      <c r="C198" s="96"/>
      <c r="D198" s="96"/>
      <c r="E198" s="96"/>
      <c r="F198" s="96"/>
      <c r="G198" s="96"/>
      <c r="H198" s="96"/>
      <c r="I198" s="96"/>
      <c r="J198" s="96"/>
      <c r="K198" s="96"/>
    </row>
    <row r="199" ht="43.45" customHeight="1">
      <c r="A199" s="95"/>
      <c r="B199" s="95"/>
      <c r="C199" s="96"/>
      <c r="D199" s="96"/>
      <c r="E199" s="96"/>
      <c r="F199" s="96"/>
      <c r="G199" s="96"/>
      <c r="H199" s="96"/>
      <c r="I199" s="96"/>
      <c r="J199" s="96"/>
      <c r="K199" s="96"/>
    </row>
    <row r="200" ht="43.45" customHeight="1">
      <c r="A200" s="95"/>
      <c r="B200" s="95"/>
      <c r="C200" s="96"/>
      <c r="D200" s="96"/>
      <c r="E200" s="96"/>
      <c r="F200" s="96"/>
      <c r="G200" s="96"/>
      <c r="H200" s="96"/>
      <c r="I200" s="96"/>
      <c r="J200" s="96"/>
      <c r="K200" s="96"/>
    </row>
    <row r="201" ht="43.45" customHeight="1">
      <c r="A201" s="95"/>
      <c r="B201" s="95"/>
      <c r="C201" s="96"/>
      <c r="D201" s="96"/>
      <c r="E201" s="96"/>
      <c r="F201" s="96"/>
      <c r="G201" s="96"/>
      <c r="H201" s="96"/>
      <c r="I201" s="96"/>
      <c r="J201" s="96"/>
      <c r="K201" s="96"/>
    </row>
    <row r="202" ht="43.45" customHeight="1">
      <c r="A202" s="95"/>
      <c r="B202" s="95"/>
      <c r="C202" s="96"/>
      <c r="D202" s="96"/>
      <c r="E202" s="96"/>
      <c r="F202" s="96"/>
      <c r="G202" s="96"/>
      <c r="H202" s="96"/>
      <c r="I202" s="96"/>
      <c r="J202" s="96"/>
      <c r="K202" s="96"/>
    </row>
    <row r="203" ht="43.45" customHeight="1">
      <c r="A203" s="95"/>
      <c r="B203" s="95"/>
      <c r="C203" s="96"/>
      <c r="D203" s="96"/>
      <c r="E203" s="96"/>
      <c r="F203" s="96"/>
      <c r="G203" s="96"/>
      <c r="H203" s="96"/>
      <c r="I203" s="96"/>
      <c r="J203" s="96"/>
      <c r="K203" s="96"/>
    </row>
    <row r="204" ht="43.45" customHeight="1">
      <c r="A204" s="95"/>
      <c r="B204" s="95"/>
      <c r="C204" s="96"/>
      <c r="D204" s="96"/>
      <c r="E204" s="96"/>
      <c r="F204" s="96"/>
      <c r="G204" s="96"/>
      <c r="H204" s="96"/>
      <c r="I204" s="96"/>
      <c r="J204" s="96"/>
      <c r="K204" s="96"/>
    </row>
    <row r="205" ht="43.45" customHeight="1">
      <c r="A205" s="95"/>
      <c r="B205" s="95"/>
      <c r="C205" s="96"/>
      <c r="D205" s="96"/>
      <c r="E205" s="96"/>
      <c r="F205" s="96"/>
      <c r="G205" s="96"/>
      <c r="H205" s="96"/>
      <c r="I205" s="96"/>
      <c r="J205" s="96"/>
      <c r="K205" s="96"/>
    </row>
    <row r="206" ht="43.45" customHeight="1">
      <c r="A206" s="95"/>
      <c r="B206" s="95"/>
      <c r="C206" s="96"/>
      <c r="D206" s="96"/>
      <c r="E206" s="96"/>
      <c r="F206" s="96"/>
      <c r="G206" s="96"/>
      <c r="H206" s="96"/>
      <c r="I206" s="96"/>
      <c r="J206" s="96"/>
      <c r="K206" s="96"/>
    </row>
    <row r="207" ht="43.45" customHeight="1">
      <c r="A207" s="95"/>
      <c r="B207" s="95"/>
      <c r="C207" s="96"/>
      <c r="D207" s="96"/>
      <c r="E207" s="96"/>
      <c r="F207" s="96"/>
      <c r="G207" s="96"/>
      <c r="H207" s="96"/>
      <c r="I207" s="96"/>
      <c r="J207" s="96"/>
      <c r="K207" s="96"/>
    </row>
    <row r="208" ht="43.45" customHeight="1">
      <c r="A208" s="95"/>
      <c r="B208" s="95"/>
      <c r="C208" s="96"/>
      <c r="D208" s="96"/>
      <c r="E208" s="96"/>
      <c r="F208" s="96"/>
      <c r="G208" s="96"/>
      <c r="H208" s="96"/>
      <c r="I208" s="96"/>
      <c r="J208" s="96"/>
      <c r="K208" s="96"/>
    </row>
    <row r="209" ht="43.45" customHeight="1">
      <c r="A209" s="95"/>
      <c r="B209" s="95"/>
      <c r="C209" s="96"/>
      <c r="D209" s="96"/>
      <c r="E209" s="96"/>
      <c r="F209" s="96"/>
      <c r="G209" s="96"/>
      <c r="H209" s="96"/>
      <c r="I209" s="96"/>
      <c r="J209" s="96"/>
      <c r="K209" s="96"/>
    </row>
    <row r="210" ht="43.45" customHeight="1">
      <c r="A210" s="95"/>
      <c r="B210" s="95"/>
      <c r="C210" s="96"/>
      <c r="D210" s="96"/>
      <c r="E210" s="96"/>
      <c r="F210" s="96"/>
      <c r="G210" s="96"/>
      <c r="H210" s="96"/>
      <c r="I210" s="96"/>
      <c r="J210" s="96"/>
      <c r="K210" s="96"/>
    </row>
    <row r="211" ht="43.45" customHeight="1">
      <c r="A211" s="95"/>
      <c r="B211" s="95"/>
      <c r="C211" s="96"/>
      <c r="D211" s="96"/>
      <c r="E211" s="96"/>
      <c r="F211" s="96"/>
      <c r="G211" s="96"/>
      <c r="H211" s="96"/>
      <c r="I211" s="96"/>
      <c r="J211" s="96"/>
      <c r="K211" s="96"/>
    </row>
    <row r="212" ht="43.45" customHeight="1">
      <c r="A212" s="95"/>
      <c r="B212" s="95"/>
      <c r="C212" s="96"/>
      <c r="D212" s="96"/>
      <c r="E212" s="96"/>
      <c r="F212" s="96"/>
      <c r="G212" s="96"/>
      <c r="H212" s="96"/>
      <c r="I212" s="96"/>
      <c r="J212" s="96"/>
      <c r="K212" s="96"/>
    </row>
    <row r="213" ht="43.45" customHeight="1">
      <c r="A213" s="95"/>
      <c r="B213" s="95"/>
      <c r="C213" s="96"/>
      <c r="D213" s="96"/>
      <c r="E213" s="96"/>
      <c r="F213" s="96"/>
      <c r="G213" s="96"/>
      <c r="H213" s="96"/>
      <c r="I213" s="96"/>
      <c r="J213" s="96"/>
      <c r="K213" s="96"/>
    </row>
    <row r="214" ht="43.45" customHeight="1">
      <c r="A214" s="95"/>
      <c r="B214" s="95"/>
      <c r="C214" s="96"/>
      <c r="D214" s="96"/>
      <c r="E214" s="96"/>
      <c r="F214" s="96"/>
      <c r="G214" s="96"/>
      <c r="H214" s="96"/>
      <c r="I214" s="96"/>
      <c r="J214" s="96"/>
      <c r="K214" s="96"/>
    </row>
    <row r="215" ht="43.45" customHeight="1">
      <c r="A215" s="95"/>
      <c r="B215" s="95"/>
      <c r="C215" s="96"/>
      <c r="D215" s="96"/>
      <c r="E215" s="96"/>
      <c r="F215" s="96"/>
      <c r="G215" s="96"/>
      <c r="H215" s="96"/>
      <c r="I215" s="96"/>
      <c r="J215" s="96"/>
      <c r="K215" s="96"/>
    </row>
    <row r="216" ht="43.45" customHeight="1">
      <c r="A216" s="95"/>
      <c r="B216" s="95"/>
      <c r="C216" s="96"/>
      <c r="D216" s="96"/>
      <c r="E216" s="96"/>
      <c r="F216" s="96"/>
      <c r="G216" s="96"/>
      <c r="H216" s="96"/>
      <c r="I216" s="96"/>
      <c r="J216" s="96"/>
      <c r="K216" s="96"/>
    </row>
    <row r="217" ht="43.45" customHeight="1">
      <c r="A217" s="95"/>
      <c r="B217" s="95"/>
      <c r="C217" s="96"/>
      <c r="D217" s="96"/>
      <c r="E217" s="96"/>
      <c r="F217" s="96"/>
      <c r="G217" s="96"/>
      <c r="H217" s="96"/>
      <c r="I217" s="96"/>
      <c r="J217" s="96"/>
      <c r="K217" s="96"/>
    </row>
    <row r="218" ht="43.45" customHeight="1">
      <c r="A218" s="95"/>
      <c r="B218" s="95"/>
      <c r="C218" s="96"/>
      <c r="D218" s="96"/>
      <c r="E218" s="96"/>
      <c r="F218" s="96"/>
      <c r="G218" s="96"/>
      <c r="H218" s="96"/>
      <c r="I218" s="96"/>
      <c r="J218" s="96"/>
      <c r="K218" s="96"/>
    </row>
    <row r="219" ht="43.45" customHeight="1">
      <c r="A219" s="95"/>
      <c r="B219" s="95"/>
      <c r="C219" s="96"/>
      <c r="D219" s="96"/>
      <c r="E219" s="96"/>
      <c r="F219" s="96"/>
      <c r="G219" s="96"/>
      <c r="H219" s="96"/>
      <c r="I219" s="96"/>
      <c r="J219" s="96"/>
      <c r="K219" s="96"/>
    </row>
    <row r="220" ht="43.45" customHeight="1">
      <c r="A220" s="95"/>
      <c r="B220" s="95"/>
      <c r="C220" s="96"/>
      <c r="D220" s="96"/>
      <c r="E220" s="96"/>
      <c r="F220" s="96"/>
      <c r="G220" s="96"/>
      <c r="H220" s="96"/>
      <c r="I220" s="96"/>
      <c r="J220" s="96"/>
      <c r="K220" s="96"/>
    </row>
    <row r="221" ht="43.45" customHeight="1">
      <c r="A221" s="95"/>
      <c r="B221" s="95"/>
      <c r="C221" s="96"/>
      <c r="D221" s="96"/>
      <c r="E221" s="96"/>
      <c r="F221" s="96"/>
      <c r="G221" s="96"/>
      <c r="H221" s="96"/>
      <c r="I221" s="96"/>
      <c r="J221" s="96"/>
      <c r="K221" s="96"/>
    </row>
    <row r="222" ht="43.45" customHeight="1">
      <c r="A222" s="95"/>
      <c r="B222" s="95"/>
      <c r="C222" s="96"/>
      <c r="D222" s="96"/>
      <c r="E222" s="96"/>
      <c r="F222" s="96"/>
      <c r="G222" s="96"/>
      <c r="H222" s="96"/>
      <c r="I222" s="96"/>
      <c r="J222" s="96"/>
      <c r="K222" s="96"/>
    </row>
    <row r="223" ht="43.45" customHeight="1">
      <c r="A223" s="95"/>
      <c r="B223" s="95"/>
      <c r="C223" s="96"/>
      <c r="D223" s="96"/>
      <c r="E223" s="96"/>
      <c r="F223" s="96"/>
      <c r="G223" s="96"/>
      <c r="H223" s="96"/>
      <c r="I223" s="96"/>
      <c r="J223" s="96"/>
      <c r="K223" s="96"/>
    </row>
    <row r="224" ht="43.45" customHeight="1">
      <c r="A224" s="95"/>
      <c r="B224" s="95"/>
      <c r="C224" s="96"/>
      <c r="D224" s="96"/>
      <c r="E224" s="96"/>
      <c r="F224" s="96"/>
      <c r="G224" s="96"/>
      <c r="H224" s="96"/>
      <c r="I224" s="96"/>
      <c r="J224" s="96"/>
      <c r="K224" s="96"/>
    </row>
    <row r="225" ht="43.45" customHeight="1">
      <c r="A225" s="95"/>
      <c r="B225" s="95"/>
      <c r="C225" s="96"/>
      <c r="D225" s="96"/>
      <c r="E225" s="96"/>
      <c r="F225" s="96"/>
      <c r="G225" s="96"/>
      <c r="H225" s="96"/>
      <c r="I225" s="96"/>
      <c r="J225" s="96"/>
      <c r="K225" s="96"/>
    </row>
    <row r="226" ht="43.45" customHeight="1">
      <c r="A226" s="95"/>
      <c r="B226" s="95"/>
      <c r="C226" s="96"/>
      <c r="D226" s="96"/>
      <c r="E226" s="96"/>
      <c r="F226" s="96"/>
      <c r="G226" s="96"/>
      <c r="H226" s="96"/>
      <c r="I226" s="96"/>
      <c r="J226" s="96"/>
      <c r="K226" s="96"/>
    </row>
    <row r="227" ht="43.45" customHeight="1">
      <c r="A227" s="95"/>
      <c r="B227" s="95"/>
      <c r="C227" s="96"/>
      <c r="D227" s="96"/>
      <c r="E227" s="96"/>
      <c r="F227" s="96"/>
      <c r="G227" s="96"/>
      <c r="H227" s="96"/>
      <c r="I227" s="96"/>
      <c r="J227" s="96"/>
      <c r="K227" s="96"/>
    </row>
    <row r="228" ht="43.45" customHeight="1">
      <c r="A228" s="95"/>
      <c r="B228" s="95"/>
      <c r="C228" s="96"/>
      <c r="D228" s="96"/>
      <c r="E228" s="96"/>
      <c r="F228" s="96"/>
      <c r="G228" s="96"/>
      <c r="H228" s="96"/>
      <c r="I228" s="96"/>
      <c r="J228" s="96"/>
      <c r="K228" s="96"/>
    </row>
    <row r="229" ht="43.45" customHeight="1">
      <c r="A229" s="95"/>
      <c r="B229" s="95"/>
      <c r="C229" s="96"/>
      <c r="D229" s="96"/>
      <c r="E229" s="96"/>
      <c r="F229" s="96"/>
      <c r="G229" s="96"/>
      <c r="H229" s="96"/>
      <c r="I229" s="96"/>
      <c r="J229" s="96"/>
      <c r="K229" s="96"/>
    </row>
    <row r="230" ht="43.45" customHeight="1">
      <c r="A230" s="95"/>
      <c r="B230" s="95"/>
      <c r="C230" s="96"/>
      <c r="D230" s="96"/>
      <c r="E230" s="96"/>
      <c r="F230" s="96"/>
      <c r="G230" s="96"/>
      <c r="H230" s="96"/>
      <c r="I230" s="96"/>
      <c r="J230" s="96"/>
      <c r="K230" s="96"/>
    </row>
    <row r="231" ht="43.45" customHeight="1">
      <c r="A231" s="95"/>
      <c r="B231" s="95"/>
      <c r="C231" s="96"/>
      <c r="D231" s="96"/>
      <c r="E231" s="96"/>
      <c r="F231" s="96"/>
      <c r="G231" s="96"/>
      <c r="H231" s="96"/>
      <c r="I231" s="96"/>
      <c r="J231" s="96"/>
      <c r="K231" s="96"/>
    </row>
    <row r="232" ht="43.45" customHeight="1">
      <c r="A232" s="95"/>
      <c r="B232" s="95"/>
      <c r="C232" s="96"/>
      <c r="D232" s="96"/>
      <c r="E232" s="96"/>
      <c r="F232" s="96"/>
      <c r="G232" s="96"/>
      <c r="H232" s="96"/>
      <c r="I232" s="96"/>
      <c r="J232" s="96"/>
      <c r="K232" s="96"/>
    </row>
    <row r="233" ht="43.45" customHeight="1">
      <c r="A233" s="95"/>
      <c r="B233" s="95"/>
      <c r="C233" s="96"/>
      <c r="D233" s="96"/>
      <c r="E233" s="96"/>
      <c r="F233" s="96"/>
      <c r="G233" s="96"/>
      <c r="H233" s="96"/>
      <c r="I233" s="96"/>
      <c r="J233" s="96"/>
      <c r="K233" s="96"/>
    </row>
    <row r="234" ht="43.45" customHeight="1">
      <c r="A234" s="95"/>
      <c r="B234" s="95"/>
      <c r="C234" s="96"/>
      <c r="D234" s="96"/>
      <c r="E234" s="96"/>
      <c r="F234" s="96"/>
      <c r="G234" s="96"/>
      <c r="H234" s="96"/>
      <c r="I234" s="96"/>
      <c r="J234" s="96"/>
      <c r="K234" s="96"/>
    </row>
    <row r="235" ht="43.45" customHeight="1">
      <c r="A235" s="95"/>
      <c r="B235" s="95"/>
      <c r="C235" s="96"/>
      <c r="D235" s="96"/>
      <c r="E235" s="96"/>
      <c r="F235" s="96"/>
      <c r="G235" s="96"/>
      <c r="H235" s="96"/>
      <c r="I235" s="96"/>
      <c r="J235" s="96"/>
      <c r="K235" s="96"/>
    </row>
    <row r="236" ht="43.45" customHeight="1">
      <c r="A236" s="95"/>
      <c r="B236" s="95"/>
      <c r="C236" s="96"/>
      <c r="D236" s="96"/>
      <c r="E236" s="96"/>
      <c r="F236" s="96"/>
      <c r="G236" s="96"/>
      <c r="H236" s="96"/>
      <c r="I236" s="96"/>
      <c r="J236" s="96"/>
      <c r="K236" s="96"/>
    </row>
    <row r="237" ht="43.45" customHeight="1">
      <c r="A237" s="95"/>
      <c r="B237" s="95"/>
      <c r="C237" s="96"/>
      <c r="D237" s="96"/>
      <c r="E237" s="96"/>
      <c r="F237" s="96"/>
      <c r="G237" s="96"/>
      <c r="H237" s="96"/>
      <c r="I237" s="96"/>
      <c r="J237" s="96"/>
      <c r="K237" s="96"/>
    </row>
    <row r="238" ht="43.45" customHeight="1">
      <c r="A238" s="95"/>
      <c r="B238" s="95"/>
      <c r="C238" s="96"/>
      <c r="D238" s="96"/>
      <c r="E238" s="96"/>
      <c r="F238" s="96"/>
      <c r="G238" s="96"/>
      <c r="H238" s="96"/>
      <c r="I238" s="96"/>
      <c r="J238" s="96"/>
      <c r="K238" s="96"/>
    </row>
    <row r="239" ht="43.45" customHeight="1">
      <c r="A239" s="95"/>
      <c r="B239" s="95"/>
      <c r="C239" s="96"/>
      <c r="D239" s="96"/>
      <c r="E239" s="96"/>
      <c r="F239" s="96"/>
      <c r="G239" s="96"/>
      <c r="H239" s="96"/>
      <c r="I239" s="96"/>
      <c r="J239" s="96"/>
      <c r="K239" s="96"/>
    </row>
    <row r="240" ht="43.45" customHeight="1">
      <c r="A240" s="95"/>
      <c r="B240" s="95"/>
      <c r="C240" s="96"/>
      <c r="D240" s="96"/>
      <c r="E240" s="96"/>
      <c r="F240" s="96"/>
      <c r="G240" s="96"/>
      <c r="H240" s="96"/>
      <c r="I240" s="96"/>
      <c r="J240" s="96"/>
      <c r="K240" s="96"/>
    </row>
    <row r="241" ht="43.45" customHeight="1">
      <c r="A241" s="95"/>
      <c r="B241" s="95"/>
      <c r="C241" s="96"/>
      <c r="D241" s="96"/>
      <c r="E241" s="96"/>
      <c r="F241" s="96"/>
      <c r="G241" s="96"/>
      <c r="H241" s="96"/>
      <c r="I241" s="96"/>
      <c r="J241" s="96"/>
      <c r="K241" s="96"/>
    </row>
    <row r="242" ht="43.45" customHeight="1">
      <c r="A242" s="95"/>
      <c r="B242" s="95"/>
      <c r="C242" s="96"/>
      <c r="D242" s="96"/>
      <c r="E242" s="96"/>
      <c r="F242" s="96"/>
      <c r="G242" s="96"/>
      <c r="H242" s="96"/>
      <c r="I242" s="96"/>
      <c r="J242" s="96"/>
      <c r="K242" s="96"/>
    </row>
    <row r="243" ht="43.45" customHeight="1">
      <c r="A243" s="95"/>
      <c r="B243" s="95"/>
      <c r="C243" s="96"/>
      <c r="D243" s="96"/>
      <c r="E243" s="96"/>
      <c r="F243" s="96"/>
      <c r="G243" s="96"/>
      <c r="H243" s="96"/>
      <c r="I243" s="96"/>
      <c r="J243" s="96"/>
      <c r="K243" s="96"/>
    </row>
    <row r="244" ht="43.45" customHeight="1">
      <c r="A244" s="95"/>
      <c r="B244" s="95"/>
      <c r="C244" s="96"/>
      <c r="D244" s="96"/>
      <c r="E244" s="96"/>
      <c r="F244" s="96"/>
      <c r="G244" s="96"/>
      <c r="H244" s="96"/>
      <c r="I244" s="96"/>
      <c r="J244" s="96"/>
      <c r="K244" s="96"/>
    </row>
    <row r="245" ht="43.45" customHeight="1">
      <c r="A245" s="95"/>
      <c r="B245" s="95"/>
      <c r="C245" s="96"/>
      <c r="D245" s="96"/>
      <c r="E245" s="96"/>
      <c r="F245" s="96"/>
      <c r="G245" s="96"/>
      <c r="H245" s="96"/>
      <c r="I245" s="96"/>
      <c r="J245" s="96"/>
      <c r="K245" s="96"/>
    </row>
    <row r="246" ht="43.45" customHeight="1">
      <c r="A246" s="95"/>
      <c r="B246" s="95"/>
      <c r="C246" s="96"/>
      <c r="D246" s="96"/>
      <c r="E246" s="96"/>
      <c r="F246" s="96"/>
      <c r="G246" s="96"/>
      <c r="H246" s="96"/>
      <c r="I246" s="96"/>
      <c r="J246" s="96"/>
      <c r="K246" s="96"/>
    </row>
    <row r="247" ht="43.45" customHeight="1">
      <c r="A247" s="95"/>
      <c r="B247" s="95"/>
      <c r="C247" s="96"/>
      <c r="D247" s="96"/>
      <c r="E247" s="96"/>
      <c r="F247" s="96"/>
      <c r="G247" s="96"/>
      <c r="H247" s="96"/>
      <c r="I247" s="96"/>
      <c r="J247" s="96"/>
      <c r="K247" s="96"/>
    </row>
    <row r="248" ht="43.45" customHeight="1">
      <c r="A248" s="95"/>
      <c r="B248" s="95"/>
      <c r="C248" s="96"/>
      <c r="D248" s="96"/>
      <c r="E248" s="96"/>
      <c r="F248" s="96"/>
      <c r="G248" s="96"/>
      <c r="H248" s="96"/>
      <c r="I248" s="96"/>
      <c r="J248" s="96"/>
      <c r="K248" s="96"/>
    </row>
    <row r="249" ht="43.45" customHeight="1">
      <c r="A249" s="95"/>
      <c r="B249" s="95"/>
      <c r="C249" s="96"/>
      <c r="D249" s="96"/>
      <c r="E249" s="96"/>
      <c r="F249" s="96"/>
      <c r="G249" s="96"/>
      <c r="H249" s="96"/>
      <c r="I249" s="96"/>
      <c r="J249" s="96"/>
      <c r="K249" s="96"/>
    </row>
    <row r="250" ht="43.45" customHeight="1">
      <c r="A250" s="95"/>
      <c r="B250" s="95"/>
      <c r="C250" s="96"/>
      <c r="D250" s="96"/>
      <c r="E250" s="96"/>
      <c r="F250" s="96"/>
      <c r="G250" s="96"/>
      <c r="H250" s="96"/>
      <c r="I250" s="96"/>
      <c r="J250" s="96"/>
      <c r="K250" s="96"/>
    </row>
    <row r="251" ht="43.45" customHeight="1">
      <c r="A251" s="95"/>
      <c r="B251" s="95"/>
      <c r="C251" s="96"/>
      <c r="D251" s="96"/>
      <c r="E251" s="96"/>
      <c r="F251" s="96"/>
      <c r="G251" s="96"/>
      <c r="H251" s="96"/>
      <c r="I251" s="96"/>
      <c r="J251" s="96"/>
      <c r="K251" s="96"/>
    </row>
    <row r="252" ht="43.45" customHeight="1">
      <c r="A252" s="95"/>
      <c r="B252" s="95"/>
      <c r="C252" s="96"/>
      <c r="D252" s="96"/>
      <c r="E252" s="96"/>
      <c r="F252" s="96"/>
      <c r="G252" s="96"/>
      <c r="H252" s="96"/>
      <c r="I252" s="96"/>
      <c r="J252" s="96"/>
      <c r="K252" s="96"/>
    </row>
    <row r="253" ht="43.45" customHeight="1">
      <c r="A253" s="95"/>
      <c r="B253" s="95"/>
      <c r="C253" s="96"/>
      <c r="D253" s="96"/>
      <c r="E253" s="96"/>
      <c r="F253" s="96"/>
      <c r="G253" s="96"/>
      <c r="H253" s="96"/>
      <c r="I253" s="96"/>
      <c r="J253" s="96"/>
      <c r="K253" s="96"/>
    </row>
    <row r="254" ht="43.45" customHeight="1">
      <c r="A254" s="95"/>
      <c r="B254" s="95"/>
      <c r="C254" s="96"/>
      <c r="D254" s="96"/>
      <c r="E254" s="96"/>
      <c r="F254" s="96"/>
      <c r="G254" s="96"/>
      <c r="H254" s="96"/>
      <c r="I254" s="96"/>
      <c r="J254" s="96"/>
      <c r="K254" s="96"/>
    </row>
    <row r="255" ht="43.45" customHeight="1">
      <c r="A255" s="95"/>
      <c r="B255" s="95"/>
      <c r="C255" s="96"/>
      <c r="D255" s="96"/>
      <c r="E255" s="96"/>
      <c r="F255" s="96"/>
      <c r="G255" s="96"/>
      <c r="H255" s="96"/>
      <c r="I255" s="96"/>
      <c r="J255" s="96"/>
      <c r="K255" s="96"/>
    </row>
    <row r="256" ht="43.45" customHeight="1">
      <c r="A256" s="95"/>
      <c r="B256" s="95"/>
      <c r="C256" s="96"/>
      <c r="D256" s="96"/>
      <c r="E256" s="96"/>
      <c r="F256" s="96"/>
      <c r="G256" s="96"/>
      <c r="H256" s="96"/>
      <c r="I256" s="96"/>
      <c r="J256" s="96"/>
      <c r="K256" s="96"/>
    </row>
    <row r="257" ht="43.45" customHeight="1">
      <c r="A257" s="95"/>
      <c r="B257" s="95"/>
      <c r="C257" s="96"/>
      <c r="D257" s="96"/>
      <c r="E257" s="96"/>
      <c r="F257" s="96"/>
      <c r="G257" s="96"/>
      <c r="H257" s="96"/>
      <c r="I257" s="96"/>
      <c r="J257" s="96"/>
      <c r="K257" s="96"/>
    </row>
    <row r="258" ht="43.45" customHeight="1">
      <c r="A258" s="95"/>
      <c r="B258" s="95"/>
      <c r="C258" s="96"/>
      <c r="D258" s="96"/>
      <c r="E258" s="96"/>
      <c r="F258" s="96"/>
      <c r="G258" s="96"/>
      <c r="H258" s="96"/>
      <c r="I258" s="96"/>
      <c r="J258" s="96"/>
      <c r="K258" s="96"/>
    </row>
    <row r="259" ht="43.45" customHeight="1">
      <c r="A259" s="95"/>
      <c r="B259" s="95"/>
      <c r="C259" s="96"/>
      <c r="D259" s="96"/>
      <c r="E259" s="96"/>
      <c r="F259" s="96"/>
      <c r="G259" s="96"/>
      <c r="H259" s="96"/>
      <c r="I259" s="96"/>
      <c r="J259" s="96"/>
      <c r="K259" s="96"/>
    </row>
    <row r="260" ht="43.45" customHeight="1">
      <c r="A260" s="95"/>
      <c r="B260" s="95"/>
      <c r="C260" s="96"/>
      <c r="D260" s="96"/>
      <c r="E260" s="96"/>
      <c r="F260" s="96"/>
      <c r="G260" s="96"/>
      <c r="H260" s="96"/>
      <c r="I260" s="96"/>
      <c r="J260" s="96"/>
      <c r="K260" s="96"/>
    </row>
    <row r="261" ht="43.45" customHeight="1">
      <c r="A261" s="95"/>
      <c r="B261" s="95"/>
      <c r="C261" s="96"/>
      <c r="D261" s="96"/>
      <c r="E261" s="96"/>
      <c r="F261" s="96"/>
      <c r="G261" s="96"/>
      <c r="H261" s="96"/>
      <c r="I261" s="96"/>
      <c r="J261" s="96"/>
      <c r="K261" s="96"/>
    </row>
    <row r="262" ht="43.45" customHeight="1">
      <c r="A262" s="95"/>
      <c r="B262" s="95"/>
      <c r="C262" s="96"/>
      <c r="D262" s="96"/>
      <c r="E262" s="96"/>
      <c r="F262" s="96"/>
      <c r="G262" s="96"/>
      <c r="H262" s="96"/>
      <c r="I262" s="96"/>
      <c r="J262" s="96"/>
      <c r="K262" s="96"/>
    </row>
    <row r="263" ht="43.45" customHeight="1">
      <c r="A263" s="95"/>
      <c r="B263" s="95"/>
      <c r="C263" s="96"/>
      <c r="D263" s="96"/>
      <c r="E263" s="96"/>
      <c r="F263" s="96"/>
      <c r="G263" s="96"/>
      <c r="H263" s="96"/>
      <c r="I263" s="96"/>
      <c r="J263" s="96"/>
      <c r="K263" s="96"/>
    </row>
    <row r="264" ht="43.45" customHeight="1">
      <c r="A264" s="95"/>
      <c r="B264" s="95"/>
      <c r="C264" s="96"/>
      <c r="D264" s="96"/>
      <c r="E264" s="96"/>
      <c r="F264" s="96"/>
      <c r="G264" s="96"/>
      <c r="H264" s="96"/>
      <c r="I264" s="96"/>
      <c r="J264" s="96"/>
      <c r="K264" s="96"/>
    </row>
    <row r="265" ht="43.45" customHeight="1">
      <c r="A265" s="95"/>
      <c r="B265" s="95"/>
      <c r="C265" s="96"/>
      <c r="D265" s="96"/>
      <c r="E265" s="96"/>
      <c r="F265" s="96"/>
      <c r="G265" s="96"/>
      <c r="H265" s="96"/>
      <c r="I265" s="96"/>
      <c r="J265" s="96"/>
      <c r="K265" s="96"/>
    </row>
    <row r="266" ht="43.45" customHeight="1">
      <c r="A266" s="95"/>
      <c r="B266" s="95"/>
      <c r="C266" s="96"/>
      <c r="D266" s="96"/>
      <c r="E266" s="96"/>
      <c r="F266" s="96"/>
      <c r="G266" s="96"/>
      <c r="H266" s="96"/>
      <c r="I266" s="96"/>
      <c r="J266" s="96"/>
      <c r="K266" s="96"/>
    </row>
    <row r="267" ht="43.45" customHeight="1">
      <c r="A267" s="95"/>
      <c r="B267" s="95"/>
      <c r="C267" s="96"/>
      <c r="D267" s="96"/>
      <c r="E267" s="96"/>
      <c r="F267" s="96"/>
      <c r="G267" s="96"/>
      <c r="H267" s="96"/>
      <c r="I267" s="96"/>
      <c r="J267" s="96"/>
      <c r="K267" s="96"/>
    </row>
    <row r="268" ht="43.45" customHeight="1">
      <c r="A268" s="95"/>
      <c r="B268" s="95"/>
      <c r="C268" s="96"/>
      <c r="D268" s="96"/>
      <c r="E268" s="96"/>
      <c r="F268" s="96"/>
      <c r="G268" s="96"/>
      <c r="H268" s="96"/>
      <c r="I268" s="96"/>
      <c r="J268" s="96"/>
      <c r="K268" s="96"/>
    </row>
    <row r="269" ht="43.45" customHeight="1">
      <c r="A269" s="95"/>
      <c r="B269" s="95"/>
      <c r="C269" s="96"/>
      <c r="D269" s="96"/>
      <c r="E269" s="96"/>
      <c r="F269" s="96"/>
      <c r="G269" s="96"/>
      <c r="H269" s="96"/>
      <c r="I269" s="96"/>
      <c r="J269" s="96"/>
      <c r="K269" s="96"/>
    </row>
    <row r="270" ht="43.45" customHeight="1">
      <c r="A270" s="95"/>
      <c r="B270" s="95"/>
      <c r="C270" s="96"/>
      <c r="D270" s="96"/>
      <c r="E270" s="96"/>
      <c r="F270" s="96"/>
      <c r="G270" s="96"/>
      <c r="H270" s="96"/>
      <c r="I270" s="96"/>
      <c r="J270" s="96"/>
      <c r="K270" s="96"/>
    </row>
    <row r="271" ht="43.45" customHeight="1">
      <c r="A271" s="95"/>
      <c r="B271" s="95"/>
      <c r="C271" s="96"/>
      <c r="D271" s="96"/>
      <c r="E271" s="96"/>
      <c r="F271" s="96"/>
      <c r="G271" s="96"/>
      <c r="H271" s="96"/>
      <c r="I271" s="96"/>
      <c r="J271" s="96"/>
      <c r="K271" s="96"/>
    </row>
    <row r="272" ht="43.45" customHeight="1">
      <c r="A272" s="95"/>
      <c r="B272" s="95"/>
      <c r="C272" s="96"/>
      <c r="D272" s="96"/>
      <c r="E272" s="96"/>
      <c r="F272" s="96"/>
      <c r="G272" s="96"/>
      <c r="H272" s="96"/>
      <c r="I272" s="96"/>
      <c r="J272" s="96"/>
      <c r="K272" s="96"/>
    </row>
    <row r="273" ht="43.45" customHeight="1">
      <c r="A273" s="95"/>
      <c r="B273" s="95"/>
      <c r="C273" s="96"/>
      <c r="D273" s="96"/>
      <c r="E273" s="96"/>
      <c r="F273" s="96"/>
      <c r="G273" s="96"/>
      <c r="H273" s="96"/>
      <c r="I273" s="96"/>
      <c r="J273" s="96"/>
      <c r="K273" s="96"/>
    </row>
    <row r="274" ht="43.45" customHeight="1">
      <c r="A274" s="95"/>
      <c r="B274" s="95"/>
      <c r="C274" s="96"/>
      <c r="D274" s="96"/>
      <c r="E274" s="96"/>
      <c r="F274" s="96"/>
      <c r="G274" s="96"/>
      <c r="H274" s="96"/>
      <c r="I274" s="96"/>
      <c r="J274" s="96"/>
      <c r="K274" s="96"/>
    </row>
    <row r="275" ht="43.45" customHeight="1">
      <c r="A275" s="95"/>
      <c r="B275" s="95"/>
      <c r="C275" s="96"/>
      <c r="D275" s="96"/>
      <c r="E275" s="96"/>
      <c r="F275" s="96"/>
      <c r="G275" s="96"/>
      <c r="H275" s="96"/>
      <c r="I275" s="96"/>
      <c r="J275" s="96"/>
      <c r="K275" s="96"/>
    </row>
    <row r="276" ht="43.45" customHeight="1">
      <c r="A276" s="95"/>
      <c r="B276" s="95"/>
      <c r="C276" s="96"/>
      <c r="D276" s="96"/>
      <c r="E276" s="96"/>
      <c r="F276" s="96"/>
      <c r="G276" s="96"/>
      <c r="H276" s="96"/>
      <c r="I276" s="96"/>
      <c r="J276" s="96"/>
      <c r="K276" s="96"/>
    </row>
    <row r="277" ht="43.45" customHeight="1">
      <c r="A277" s="95"/>
      <c r="B277" s="95"/>
      <c r="C277" s="96"/>
      <c r="D277" s="96"/>
      <c r="E277" s="96"/>
      <c r="F277" s="96"/>
      <c r="G277" s="96"/>
      <c r="H277" s="96"/>
      <c r="I277" s="96"/>
      <c r="J277" s="96"/>
      <c r="K277" s="96"/>
    </row>
    <row r="278" ht="43.45" customHeight="1">
      <c r="A278" s="95"/>
      <c r="B278" s="95"/>
      <c r="C278" s="96"/>
      <c r="D278" s="96"/>
      <c r="E278" s="96"/>
      <c r="F278" s="96"/>
      <c r="G278" s="96"/>
      <c r="H278" s="96"/>
      <c r="I278" s="96"/>
      <c r="J278" s="96"/>
      <c r="K278" s="96"/>
    </row>
    <row r="279" ht="43.45" customHeight="1">
      <c r="A279" s="95"/>
      <c r="B279" s="95"/>
      <c r="C279" s="96"/>
      <c r="D279" s="96"/>
      <c r="E279" s="96"/>
      <c r="F279" s="96"/>
      <c r="G279" s="96"/>
      <c r="H279" s="96"/>
      <c r="I279" s="96"/>
      <c r="J279" s="96"/>
      <c r="K279" s="96"/>
    </row>
    <row r="280" ht="43.45" customHeight="1">
      <c r="A280" s="95"/>
      <c r="B280" s="95"/>
      <c r="C280" s="96"/>
      <c r="D280" s="96"/>
      <c r="E280" s="96"/>
      <c r="F280" s="96"/>
      <c r="G280" s="96"/>
      <c r="H280" s="96"/>
      <c r="I280" s="96"/>
      <c r="J280" s="96"/>
      <c r="K280" s="96"/>
    </row>
    <row r="281" ht="43.45" customHeight="1">
      <c r="A281" s="95"/>
      <c r="B281" s="95"/>
      <c r="C281" s="96"/>
      <c r="D281" s="96"/>
      <c r="E281" s="96"/>
      <c r="F281" s="96"/>
      <c r="G281" s="96"/>
      <c r="H281" s="96"/>
      <c r="I281" s="96"/>
      <c r="J281" s="96"/>
      <c r="K281" s="96"/>
    </row>
    <row r="282" ht="43.45" customHeight="1">
      <c r="A282" s="95"/>
      <c r="B282" s="95"/>
      <c r="C282" s="96"/>
      <c r="D282" s="96"/>
      <c r="E282" s="96"/>
      <c r="F282" s="96"/>
      <c r="G282" s="96"/>
      <c r="H282" s="96"/>
      <c r="I282" s="96"/>
      <c r="J282" s="96"/>
      <c r="K282" s="96"/>
    </row>
    <row r="283" ht="43.45" customHeight="1">
      <c r="A283" s="95"/>
      <c r="B283" s="95"/>
      <c r="C283" s="96"/>
      <c r="D283" s="96"/>
      <c r="E283" s="96"/>
      <c r="F283" s="96"/>
      <c r="G283" s="96"/>
      <c r="H283" s="96"/>
      <c r="I283" s="96"/>
      <c r="J283" s="96"/>
      <c r="K283" s="96"/>
    </row>
    <row r="284" ht="43.45" customHeight="1">
      <c r="A284" s="95"/>
      <c r="B284" s="95"/>
      <c r="C284" s="96"/>
      <c r="D284" s="96"/>
      <c r="E284" s="96"/>
      <c r="F284" s="96"/>
      <c r="G284" s="96"/>
      <c r="H284" s="96"/>
      <c r="I284" s="96"/>
      <c r="J284" s="96"/>
      <c r="K284" s="96"/>
    </row>
    <row r="285" ht="43.45" customHeight="1">
      <c r="A285" s="95"/>
      <c r="B285" s="95"/>
      <c r="C285" s="96"/>
      <c r="D285" s="96"/>
      <c r="E285" s="96"/>
      <c r="F285" s="96"/>
      <c r="G285" s="96"/>
      <c r="H285" s="96"/>
      <c r="I285" s="96"/>
      <c r="J285" s="96"/>
      <c r="K285" s="96"/>
    </row>
    <row r="286" ht="43.45" customHeight="1">
      <c r="A286" s="95"/>
      <c r="B286" s="95"/>
      <c r="C286" s="96"/>
      <c r="D286" s="96"/>
      <c r="E286" s="96"/>
      <c r="F286" s="96"/>
      <c r="G286" s="96"/>
      <c r="H286" s="96"/>
      <c r="I286" s="96"/>
      <c r="J286" s="96"/>
      <c r="K286" s="96"/>
    </row>
    <row r="287" ht="43.45" customHeight="1">
      <c r="A287" s="95"/>
      <c r="B287" s="95"/>
      <c r="C287" s="96"/>
      <c r="D287" s="96"/>
      <c r="E287" s="96"/>
      <c r="F287" s="96"/>
      <c r="G287" s="96"/>
      <c r="H287" s="96"/>
      <c r="I287" s="96"/>
      <c r="J287" s="96"/>
      <c r="K287" s="96"/>
    </row>
    <row r="288" ht="43.45" customHeight="1">
      <c r="A288" s="95"/>
      <c r="B288" s="95"/>
      <c r="C288" s="96"/>
      <c r="D288" s="96"/>
      <c r="E288" s="96"/>
      <c r="F288" s="96"/>
      <c r="G288" s="96"/>
      <c r="H288" s="96"/>
      <c r="I288" s="96"/>
      <c r="J288" s="96"/>
      <c r="K288" s="96"/>
    </row>
    <row r="289" ht="43.45" customHeight="1">
      <c r="A289" s="95"/>
      <c r="B289" s="95"/>
      <c r="C289" s="96"/>
      <c r="D289" s="96"/>
      <c r="E289" s="96"/>
      <c r="F289" s="96"/>
      <c r="G289" s="96"/>
      <c r="H289" s="96"/>
      <c r="I289" s="96"/>
      <c r="J289" s="96"/>
      <c r="K289" s="96"/>
    </row>
    <row r="290" ht="43.45" customHeight="1">
      <c r="A290" s="95"/>
      <c r="B290" s="95"/>
      <c r="C290" s="96"/>
      <c r="D290" s="96"/>
      <c r="E290" s="96"/>
      <c r="F290" s="96"/>
      <c r="G290" s="96"/>
      <c r="H290" s="96"/>
      <c r="I290" s="96"/>
      <c r="J290" s="96"/>
      <c r="K290" s="96"/>
    </row>
    <row r="291" ht="43.45" customHeight="1">
      <c r="A291" s="95"/>
      <c r="B291" s="95"/>
      <c r="C291" s="96"/>
      <c r="D291" s="96"/>
      <c r="E291" s="96"/>
      <c r="F291" s="96"/>
      <c r="G291" s="96"/>
      <c r="H291" s="96"/>
      <c r="I291" s="96"/>
      <c r="J291" s="96"/>
      <c r="K291" s="96"/>
    </row>
    <row r="292" ht="43.45" customHeight="1">
      <c r="A292" s="95"/>
      <c r="B292" s="95"/>
      <c r="C292" s="96"/>
      <c r="D292" s="96"/>
      <c r="E292" s="96"/>
      <c r="F292" s="96"/>
      <c r="G292" s="96"/>
      <c r="H292" s="96"/>
      <c r="I292" s="96"/>
      <c r="J292" s="96"/>
      <c r="K292" s="96"/>
    </row>
    <row r="293" ht="43.45" customHeight="1">
      <c r="A293" s="95"/>
      <c r="B293" s="95"/>
      <c r="C293" s="96"/>
      <c r="D293" s="96"/>
      <c r="E293" s="96"/>
      <c r="F293" s="96"/>
      <c r="G293" s="96"/>
      <c r="H293" s="96"/>
      <c r="I293" s="96"/>
      <c r="J293" s="96"/>
      <c r="K293" s="96"/>
    </row>
    <row r="294" ht="43.45" customHeight="1">
      <c r="A294" s="95"/>
      <c r="B294" s="95"/>
      <c r="C294" s="96"/>
      <c r="D294" s="96"/>
      <c r="E294" s="96"/>
      <c r="F294" s="96"/>
      <c r="G294" s="96"/>
      <c r="H294" s="96"/>
      <c r="I294" s="96"/>
      <c r="J294" s="96"/>
      <c r="K294" s="96"/>
    </row>
    <row r="295" ht="43.45" customHeight="1">
      <c r="A295" s="95"/>
      <c r="B295" s="95"/>
      <c r="C295" s="96"/>
      <c r="D295" s="96"/>
      <c r="E295" s="96"/>
      <c r="F295" s="96"/>
      <c r="G295" s="96"/>
      <c r="H295" s="96"/>
      <c r="I295" s="96"/>
      <c r="J295" s="96"/>
      <c r="K295" s="96"/>
    </row>
    <row r="296" ht="43.45" customHeight="1">
      <c r="A296" s="95"/>
      <c r="B296" s="95"/>
      <c r="C296" s="96"/>
      <c r="D296" s="96"/>
      <c r="E296" s="96"/>
      <c r="F296" s="96"/>
      <c r="G296" s="96"/>
      <c r="H296" s="96"/>
      <c r="I296" s="96"/>
      <c r="J296" s="96"/>
      <c r="K296" s="96"/>
    </row>
    <row r="297" ht="43.45" customHeight="1">
      <c r="A297" s="95"/>
      <c r="B297" s="95"/>
      <c r="C297" s="96"/>
      <c r="D297" s="96"/>
      <c r="E297" s="96"/>
      <c r="F297" s="96"/>
      <c r="G297" s="96"/>
      <c r="H297" s="96"/>
      <c r="I297" s="96"/>
      <c r="J297" s="96"/>
      <c r="K297" s="96"/>
    </row>
    <row r="298" ht="43.45" customHeight="1">
      <c r="A298" s="95"/>
      <c r="B298" s="95"/>
      <c r="C298" s="96"/>
      <c r="D298" s="96"/>
      <c r="E298" s="96"/>
      <c r="F298" s="96"/>
      <c r="G298" s="96"/>
      <c r="H298" s="96"/>
      <c r="I298" s="96"/>
      <c r="J298" s="96"/>
      <c r="K298" s="96"/>
    </row>
    <row r="299" ht="43.45" customHeight="1">
      <c r="A299" s="95"/>
      <c r="B299" s="95"/>
      <c r="C299" s="96"/>
      <c r="D299" s="96"/>
      <c r="E299" s="96"/>
      <c r="F299" s="96"/>
      <c r="G299" s="96"/>
      <c r="H299" s="96"/>
      <c r="I299" s="96"/>
      <c r="J299" s="96"/>
      <c r="K299" s="96"/>
    </row>
    <row r="300" ht="43.45" customHeight="1">
      <c r="A300" s="95"/>
      <c r="B300" s="95"/>
      <c r="C300" s="96"/>
      <c r="D300" s="96"/>
      <c r="E300" s="96"/>
      <c r="F300" s="96"/>
      <c r="G300" s="96"/>
      <c r="H300" s="96"/>
      <c r="I300" s="96"/>
      <c r="J300" s="96"/>
      <c r="K300" s="96"/>
    </row>
    <row r="301" ht="43.45" customHeight="1">
      <c r="A301" s="95"/>
      <c r="B301" s="95"/>
      <c r="C301" s="96"/>
      <c r="D301" s="96"/>
      <c r="E301" s="96"/>
      <c r="F301" s="96"/>
      <c r="G301" s="96"/>
      <c r="H301" s="96"/>
      <c r="I301" s="96"/>
      <c r="J301" s="96"/>
      <c r="K301" s="96"/>
    </row>
    <row r="302" ht="43.45" customHeight="1">
      <c r="A302" s="95"/>
      <c r="B302" s="95"/>
      <c r="C302" s="96"/>
      <c r="D302" s="96"/>
      <c r="E302" s="96"/>
      <c r="F302" s="96"/>
      <c r="G302" s="96"/>
      <c r="H302" s="96"/>
      <c r="I302" s="96"/>
      <c r="J302" s="96"/>
      <c r="K302" s="96"/>
    </row>
    <row r="303" ht="43.45" customHeight="1">
      <c r="A303" s="95"/>
      <c r="B303" s="95"/>
      <c r="C303" s="96"/>
      <c r="D303" s="96"/>
      <c r="E303" s="96"/>
      <c r="F303" s="96"/>
      <c r="G303" s="96"/>
      <c r="H303" s="96"/>
      <c r="I303" s="96"/>
      <c r="J303" s="96"/>
      <c r="K303" s="96"/>
    </row>
    <row r="304" ht="43.45" customHeight="1">
      <c r="A304" s="95"/>
      <c r="B304" s="95"/>
      <c r="C304" s="96"/>
      <c r="D304" s="96"/>
      <c r="E304" s="96"/>
      <c r="F304" s="96"/>
      <c r="G304" s="96"/>
      <c r="H304" s="96"/>
      <c r="I304" s="96"/>
      <c r="J304" s="96"/>
      <c r="K304" s="96"/>
    </row>
    <row r="305" ht="43.45" customHeight="1">
      <c r="A305" s="95"/>
      <c r="B305" s="95"/>
      <c r="C305" s="96"/>
      <c r="D305" s="96"/>
      <c r="E305" s="96"/>
      <c r="F305" s="96"/>
      <c r="G305" s="96"/>
      <c r="H305" s="96"/>
      <c r="I305" s="96"/>
      <c r="J305" s="96"/>
      <c r="K305" s="96"/>
    </row>
    <row r="306" ht="43.45" customHeight="1">
      <c r="A306" s="95"/>
      <c r="B306" s="95"/>
      <c r="C306" s="96"/>
      <c r="D306" s="96"/>
      <c r="E306" s="96"/>
      <c r="F306" s="96"/>
      <c r="G306" s="96"/>
      <c r="H306" s="96"/>
      <c r="I306" s="96"/>
      <c r="J306" s="96"/>
      <c r="K306" s="96"/>
    </row>
    <row r="307" ht="43.45" customHeight="1">
      <c r="A307" s="95"/>
      <c r="B307" s="95"/>
      <c r="C307" s="96"/>
      <c r="D307" s="96"/>
      <c r="E307" s="96"/>
      <c r="F307" s="96"/>
      <c r="G307" s="96"/>
      <c r="H307" s="96"/>
      <c r="I307" s="96"/>
      <c r="J307" s="96"/>
      <c r="K307" s="96"/>
    </row>
    <row r="308" ht="43.45" customHeight="1">
      <c r="A308" s="95"/>
      <c r="B308" s="95"/>
      <c r="C308" s="96"/>
      <c r="D308" s="96"/>
      <c r="E308" s="96"/>
      <c r="F308" s="96"/>
      <c r="G308" s="96"/>
      <c r="H308" s="96"/>
      <c r="I308" s="96"/>
      <c r="J308" s="96"/>
      <c r="K308" s="96"/>
    </row>
    <row r="309" ht="43.45" customHeight="1">
      <c r="A309" s="95"/>
      <c r="B309" s="95"/>
      <c r="C309" s="96"/>
      <c r="D309" s="96"/>
      <c r="E309" s="96"/>
      <c r="F309" s="96"/>
      <c r="G309" s="96"/>
      <c r="H309" s="96"/>
      <c r="I309" s="96"/>
      <c r="J309" s="96"/>
      <c r="K309" s="96"/>
    </row>
    <row r="310" ht="43.45" customHeight="1">
      <c r="A310" s="95"/>
      <c r="B310" s="95"/>
      <c r="C310" s="96"/>
      <c r="D310" s="96"/>
      <c r="E310" s="96"/>
      <c r="F310" s="96"/>
      <c r="G310" s="96"/>
      <c r="H310" s="96"/>
      <c r="I310" s="96"/>
      <c r="J310" s="96"/>
      <c r="K310" s="96"/>
    </row>
    <row r="311" ht="43.45" customHeight="1">
      <c r="A311" s="95"/>
      <c r="B311" s="95"/>
      <c r="C311" s="96"/>
      <c r="D311" s="96"/>
      <c r="E311" s="96"/>
      <c r="F311" s="96"/>
      <c r="G311" s="96"/>
      <c r="H311" s="96"/>
      <c r="I311" s="96"/>
      <c r="J311" s="96"/>
      <c r="K311" s="96"/>
    </row>
    <row r="312" ht="43.45" customHeight="1">
      <c r="A312" s="95"/>
      <c r="B312" s="95"/>
      <c r="C312" s="96"/>
      <c r="D312" s="96"/>
      <c r="E312" s="96"/>
      <c r="F312" s="96"/>
      <c r="G312" s="96"/>
      <c r="H312" s="96"/>
      <c r="I312" s="96"/>
      <c r="J312" s="96"/>
      <c r="K312" s="96"/>
    </row>
    <row r="313" ht="43.45" customHeight="1">
      <c r="A313" s="95"/>
      <c r="B313" s="95"/>
      <c r="C313" s="96"/>
      <c r="D313" s="96"/>
      <c r="E313" s="96"/>
      <c r="F313" s="96"/>
      <c r="G313" s="96"/>
      <c r="H313" s="96"/>
      <c r="I313" s="96"/>
      <c r="J313" s="96"/>
      <c r="K313" s="96"/>
    </row>
    <row r="314" ht="43.45" customHeight="1">
      <c r="A314" s="95"/>
      <c r="B314" s="95"/>
      <c r="C314" s="96"/>
      <c r="D314" s="96"/>
      <c r="E314" s="96"/>
      <c r="F314" s="96"/>
      <c r="G314" s="96"/>
      <c r="H314" s="96"/>
      <c r="I314" s="96"/>
      <c r="J314" s="96"/>
      <c r="K314" s="96"/>
    </row>
    <row r="315" ht="43.45" customHeight="1">
      <c r="A315" s="95"/>
      <c r="B315" s="95"/>
      <c r="C315" s="96"/>
      <c r="D315" s="96"/>
      <c r="E315" s="96"/>
      <c r="F315" s="96"/>
      <c r="G315" s="96"/>
      <c r="H315" s="96"/>
      <c r="I315" s="96"/>
      <c r="J315" s="96"/>
      <c r="K315" s="96"/>
    </row>
    <row r="316" ht="43.45" customHeight="1">
      <c r="A316" s="95"/>
      <c r="B316" s="95"/>
      <c r="C316" s="96"/>
      <c r="D316" s="96"/>
      <c r="E316" s="96"/>
      <c r="F316" s="96"/>
      <c r="G316" s="96"/>
      <c r="H316" s="96"/>
      <c r="I316" s="96"/>
      <c r="J316" s="96"/>
      <c r="K316" s="96"/>
    </row>
    <row r="317" ht="43.45" customHeight="1">
      <c r="A317" s="95"/>
      <c r="B317" s="95"/>
      <c r="C317" s="96"/>
      <c r="D317" s="96"/>
      <c r="E317" s="96"/>
      <c r="F317" s="96"/>
      <c r="G317" s="96"/>
      <c r="H317" s="96"/>
      <c r="I317" s="96"/>
      <c r="J317" s="96"/>
      <c r="K317" s="96"/>
    </row>
    <row r="318" ht="43.45" customHeight="1">
      <c r="A318" s="95"/>
      <c r="B318" s="95"/>
      <c r="C318" s="96"/>
      <c r="D318" s="96"/>
      <c r="E318" s="96"/>
      <c r="F318" s="96"/>
      <c r="G318" s="96"/>
      <c r="H318" s="96"/>
      <c r="I318" s="96"/>
      <c r="J318" s="96"/>
      <c r="K318" s="96"/>
    </row>
    <row r="319" ht="43.45" customHeight="1">
      <c r="A319" s="95"/>
      <c r="B319" s="95"/>
      <c r="C319" s="96"/>
      <c r="D319" s="96"/>
      <c r="E319" s="96"/>
      <c r="F319" s="96"/>
      <c r="G319" s="96"/>
      <c r="H319" s="96"/>
      <c r="I319" s="96"/>
      <c r="J319" s="96"/>
      <c r="K319" s="96"/>
    </row>
    <row r="320" ht="43.45" customHeight="1">
      <c r="A320" s="95"/>
      <c r="B320" s="95"/>
      <c r="C320" s="96"/>
      <c r="D320" s="96"/>
      <c r="E320" s="96"/>
      <c r="F320" s="96"/>
      <c r="G320" s="96"/>
      <c r="H320" s="96"/>
      <c r="I320" s="96"/>
      <c r="J320" s="96"/>
      <c r="K320" s="96"/>
    </row>
    <row r="321" ht="43.45" customHeight="1">
      <c r="A321" s="95"/>
      <c r="B321" s="95"/>
      <c r="C321" s="96"/>
      <c r="D321" s="96"/>
      <c r="E321" s="96"/>
      <c r="F321" s="96"/>
      <c r="G321" s="96"/>
      <c r="H321" s="96"/>
      <c r="I321" s="96"/>
      <c r="J321" s="96"/>
      <c r="K321" s="96"/>
    </row>
    <row r="322" ht="43.45" customHeight="1">
      <c r="A322" s="95"/>
      <c r="B322" s="95"/>
      <c r="C322" s="96"/>
      <c r="D322" s="96"/>
      <c r="E322" s="96"/>
      <c r="F322" s="96"/>
      <c r="G322" s="96"/>
      <c r="H322" s="96"/>
      <c r="I322" s="96"/>
      <c r="J322" s="96"/>
      <c r="K322" s="96"/>
    </row>
    <row r="323" ht="43.45" customHeight="1">
      <c r="A323" s="95"/>
      <c r="B323" s="95"/>
      <c r="C323" s="96"/>
      <c r="D323" s="96"/>
      <c r="E323" s="96"/>
      <c r="F323" s="96"/>
      <c r="G323" s="96"/>
      <c r="H323" s="96"/>
      <c r="I323" s="96"/>
      <c r="J323" s="96"/>
      <c r="K323" s="96"/>
    </row>
    <row r="324" ht="43.45" customHeight="1">
      <c r="A324" s="95"/>
      <c r="B324" s="95"/>
      <c r="C324" s="96"/>
      <c r="D324" s="96"/>
      <c r="E324" s="96"/>
      <c r="F324" s="96"/>
      <c r="G324" s="96"/>
      <c r="H324" s="96"/>
      <c r="I324" s="96"/>
      <c r="J324" s="96"/>
      <c r="K324" s="96"/>
    </row>
    <row r="325" ht="43.45" customHeight="1">
      <c r="A325" s="95"/>
      <c r="B325" s="95"/>
      <c r="C325" s="96"/>
      <c r="D325" s="96"/>
      <c r="E325" s="96"/>
      <c r="F325" s="96"/>
      <c r="G325" s="96"/>
      <c r="H325" s="96"/>
      <c r="I325" s="96"/>
      <c r="J325" s="96"/>
      <c r="K325" s="96"/>
    </row>
    <row r="326" ht="43.45" customHeight="1">
      <c r="A326" s="95"/>
      <c r="B326" s="95"/>
      <c r="C326" s="96"/>
      <c r="D326" s="96"/>
      <c r="E326" s="96"/>
      <c r="F326" s="96"/>
      <c r="G326" s="96"/>
      <c r="H326" s="96"/>
      <c r="I326" s="96"/>
      <c r="J326" s="96"/>
      <c r="K326" s="96"/>
    </row>
    <row r="327" ht="43.45" customHeight="1">
      <c r="A327" s="95"/>
      <c r="B327" s="95"/>
      <c r="C327" s="96"/>
      <c r="D327" s="96"/>
      <c r="E327" s="96"/>
      <c r="F327" s="96"/>
      <c r="G327" s="96"/>
      <c r="H327" s="96"/>
      <c r="I327" s="96"/>
      <c r="J327" s="96"/>
      <c r="K327" s="96"/>
    </row>
    <row r="328" ht="43.45" customHeight="1">
      <c r="A328" s="95"/>
      <c r="B328" s="95"/>
      <c r="C328" s="96"/>
      <c r="D328" s="96"/>
      <c r="E328" s="96"/>
      <c r="F328" s="96"/>
      <c r="G328" s="96"/>
      <c r="H328" s="96"/>
      <c r="I328" s="96"/>
      <c r="J328" s="96"/>
      <c r="K328" s="96"/>
    </row>
    <row r="329" ht="43.45" customHeight="1">
      <c r="A329" s="95"/>
      <c r="B329" s="95"/>
      <c r="C329" s="96"/>
      <c r="D329" s="96"/>
      <c r="E329" s="96"/>
      <c r="F329" s="96"/>
      <c r="G329" s="96"/>
      <c r="H329" s="96"/>
      <c r="I329" s="96"/>
      <c r="J329" s="96"/>
      <c r="K329" s="96"/>
    </row>
    <row r="330" ht="43.45" customHeight="1">
      <c r="A330" s="95"/>
      <c r="B330" s="95"/>
      <c r="C330" s="96"/>
      <c r="D330" s="96"/>
      <c r="E330" s="96"/>
      <c r="F330" s="96"/>
      <c r="G330" s="96"/>
      <c r="H330" s="96"/>
      <c r="I330" s="96"/>
      <c r="J330" s="96"/>
      <c r="K330" s="96"/>
    </row>
    <row r="331" ht="43.45" customHeight="1">
      <c r="A331" s="95"/>
      <c r="B331" s="95"/>
      <c r="C331" s="96"/>
      <c r="D331" s="96"/>
      <c r="E331" s="96"/>
      <c r="F331" s="96"/>
      <c r="G331" s="96"/>
      <c r="H331" s="96"/>
      <c r="I331" s="96"/>
      <c r="J331" s="96"/>
      <c r="K331" s="96"/>
    </row>
    <row r="332" ht="43.45" customHeight="1">
      <c r="A332" s="95"/>
      <c r="B332" s="95"/>
      <c r="C332" s="96"/>
      <c r="D332" s="96"/>
      <c r="E332" s="96"/>
      <c r="F332" s="96"/>
      <c r="G332" s="96"/>
      <c r="H332" s="96"/>
      <c r="I332" s="96"/>
      <c r="J332" s="96"/>
      <c r="K332" s="96"/>
    </row>
    <row r="333" ht="43.45" customHeight="1">
      <c r="A333" s="95"/>
      <c r="B333" s="95"/>
      <c r="C333" s="96"/>
      <c r="D333" s="96"/>
      <c r="E333" s="96"/>
      <c r="F333" s="96"/>
      <c r="G333" s="96"/>
      <c r="H333" s="96"/>
      <c r="I333" s="96"/>
      <c r="J333" s="96"/>
      <c r="K333" s="96"/>
    </row>
    <row r="334" ht="43.45" customHeight="1">
      <c r="A334" s="95"/>
      <c r="B334" s="95"/>
      <c r="C334" s="96"/>
      <c r="D334" s="96"/>
      <c r="E334" s="96"/>
      <c r="F334" s="96"/>
      <c r="G334" s="96"/>
      <c r="H334" s="96"/>
      <c r="I334" s="96"/>
      <c r="J334" s="96"/>
      <c r="K334" s="96"/>
    </row>
    <row r="335" ht="43.45" customHeight="1">
      <c r="A335" s="95"/>
      <c r="B335" s="95"/>
      <c r="C335" s="96"/>
      <c r="D335" s="96"/>
      <c r="E335" s="96"/>
      <c r="F335" s="96"/>
      <c r="G335" s="96"/>
      <c r="H335" s="96"/>
      <c r="I335" s="96"/>
      <c r="J335" s="96"/>
      <c r="K335" s="96"/>
    </row>
    <row r="336" ht="43.45" customHeight="1">
      <c r="A336" s="95"/>
      <c r="B336" s="95"/>
      <c r="C336" s="96"/>
      <c r="D336" s="96"/>
      <c r="E336" s="96"/>
      <c r="F336" s="96"/>
      <c r="G336" s="96"/>
      <c r="H336" s="96"/>
      <c r="I336" s="96"/>
      <c r="J336" s="96"/>
      <c r="K336" s="96"/>
    </row>
    <row r="337" ht="43.45" customHeight="1">
      <c r="A337" s="95"/>
      <c r="B337" s="95"/>
      <c r="C337" s="96"/>
      <c r="D337" s="96"/>
      <c r="E337" s="96"/>
      <c r="F337" s="96"/>
      <c r="G337" s="96"/>
      <c r="H337" s="96"/>
      <c r="I337" s="96"/>
      <c r="J337" s="96"/>
      <c r="K337" s="96"/>
    </row>
    <row r="338" ht="43.45" customHeight="1">
      <c r="A338" s="95"/>
      <c r="B338" s="95"/>
      <c r="C338" s="96"/>
      <c r="D338" s="96"/>
      <c r="E338" s="96"/>
      <c r="F338" s="96"/>
      <c r="G338" s="96"/>
      <c r="H338" s="96"/>
      <c r="I338" s="96"/>
      <c r="J338" s="96"/>
      <c r="K338" s="96"/>
    </row>
    <row r="339" ht="43.45" customHeight="1">
      <c r="A339" s="95"/>
      <c r="B339" s="95"/>
      <c r="C339" s="96"/>
      <c r="D339" s="96"/>
      <c r="E339" s="96"/>
      <c r="F339" s="96"/>
      <c r="G339" s="96"/>
      <c r="H339" s="96"/>
      <c r="I339" s="96"/>
      <c r="J339" s="96"/>
      <c r="K339" s="96"/>
    </row>
    <row r="340" ht="43.45" customHeight="1">
      <c r="A340" s="95"/>
      <c r="B340" s="95"/>
      <c r="C340" s="96"/>
      <c r="D340" s="96"/>
      <c r="E340" s="96"/>
      <c r="F340" s="96"/>
      <c r="G340" s="96"/>
      <c r="H340" s="96"/>
      <c r="I340" s="96"/>
      <c r="J340" s="96"/>
      <c r="K340" s="96"/>
    </row>
    <row r="341" ht="43.45" customHeight="1">
      <c r="A341" s="95"/>
      <c r="B341" s="95"/>
      <c r="C341" s="96"/>
      <c r="D341" s="96"/>
      <c r="E341" s="96"/>
      <c r="F341" s="96"/>
      <c r="G341" s="96"/>
      <c r="H341" s="96"/>
      <c r="I341" s="96"/>
      <c r="J341" s="96"/>
      <c r="K341" s="96"/>
    </row>
    <row r="342" ht="43.45" customHeight="1">
      <c r="A342" s="95"/>
      <c r="B342" s="95"/>
      <c r="C342" s="96"/>
      <c r="D342" s="96"/>
      <c r="E342" s="96"/>
      <c r="F342" s="96"/>
      <c r="G342" s="96"/>
      <c r="H342" s="96"/>
      <c r="I342" s="96"/>
      <c r="J342" s="96"/>
      <c r="K342" s="96"/>
    </row>
    <row r="343" ht="43.45" customHeight="1">
      <c r="A343" s="95"/>
      <c r="B343" s="95"/>
      <c r="C343" s="96"/>
      <c r="D343" s="96"/>
      <c r="E343" s="96"/>
      <c r="F343" s="96"/>
      <c r="G343" s="96"/>
      <c r="H343" s="96"/>
      <c r="I343" s="96"/>
      <c r="J343" s="96"/>
      <c r="K343" s="96"/>
    </row>
    <row r="344" ht="43.45" customHeight="1">
      <c r="A344" s="95"/>
      <c r="B344" s="95"/>
      <c r="C344" s="96"/>
      <c r="D344" s="96"/>
      <c r="E344" s="96"/>
      <c r="F344" s="96"/>
      <c r="G344" s="96"/>
      <c r="H344" s="96"/>
      <c r="I344" s="96"/>
      <c r="J344" s="96"/>
      <c r="K344" s="96"/>
    </row>
    <row r="345" ht="43.45" customHeight="1">
      <c r="A345" s="95"/>
      <c r="B345" s="95"/>
      <c r="C345" s="96"/>
      <c r="D345" s="96"/>
      <c r="E345" s="96"/>
      <c r="F345" s="96"/>
      <c r="G345" s="96"/>
      <c r="H345" s="96"/>
      <c r="I345" s="96"/>
      <c r="J345" s="96"/>
      <c r="K345" s="96"/>
    </row>
    <row r="346" ht="43.45" customHeight="1">
      <c r="A346" s="95"/>
      <c r="B346" s="95"/>
      <c r="C346" s="96"/>
      <c r="D346" s="96"/>
      <c r="E346" s="96"/>
      <c r="F346" s="96"/>
      <c r="G346" s="96"/>
      <c r="H346" s="96"/>
      <c r="I346" s="96"/>
      <c r="J346" s="96"/>
      <c r="K346" s="96"/>
    </row>
    <row r="347" ht="43.45" customHeight="1">
      <c r="A347" s="95"/>
      <c r="B347" s="95"/>
      <c r="C347" s="96"/>
      <c r="D347" s="96"/>
      <c r="E347" s="96"/>
      <c r="F347" s="96"/>
      <c r="G347" s="96"/>
      <c r="H347" s="96"/>
      <c r="I347" s="96"/>
      <c r="J347" s="96"/>
      <c r="K347" s="96"/>
    </row>
    <row r="348" ht="43.45" customHeight="1">
      <c r="A348" s="95"/>
      <c r="B348" s="95"/>
      <c r="C348" s="96"/>
      <c r="D348" s="96"/>
      <c r="E348" s="96"/>
      <c r="F348" s="96"/>
      <c r="G348" s="96"/>
      <c r="H348" s="96"/>
      <c r="I348" s="96"/>
      <c r="J348" s="96"/>
      <c r="K348" s="96"/>
    </row>
    <row r="349" ht="43.45" customHeight="1">
      <c r="A349" s="95"/>
      <c r="B349" s="95"/>
      <c r="C349" s="96"/>
      <c r="D349" s="96"/>
      <c r="E349" s="96"/>
      <c r="F349" s="96"/>
      <c r="G349" s="96"/>
      <c r="H349" s="96"/>
      <c r="I349" s="96"/>
      <c r="J349" s="96"/>
      <c r="K349" s="96"/>
    </row>
    <row r="350" ht="43.45" customHeight="1">
      <c r="A350" s="95"/>
      <c r="B350" s="95"/>
      <c r="C350" s="96"/>
      <c r="D350" s="96"/>
      <c r="E350" s="96"/>
      <c r="F350" s="96"/>
      <c r="G350" s="96"/>
      <c r="H350" s="96"/>
      <c r="I350" s="96"/>
      <c r="J350" s="96"/>
      <c r="K350" s="96"/>
    </row>
    <row r="351" ht="43.45" customHeight="1">
      <c r="A351" s="95"/>
      <c r="B351" s="95"/>
      <c r="C351" s="96"/>
      <c r="D351" s="96"/>
      <c r="E351" s="96"/>
      <c r="F351" s="96"/>
      <c r="G351" s="96"/>
      <c r="H351" s="96"/>
      <c r="I351" s="96"/>
      <c r="J351" s="96"/>
      <c r="K351" s="96"/>
    </row>
    <row r="352" ht="43.45" customHeight="1">
      <c r="A352" s="95"/>
      <c r="B352" s="95"/>
      <c r="C352" s="96"/>
      <c r="D352" s="96"/>
      <c r="E352" s="96"/>
      <c r="F352" s="96"/>
      <c r="G352" s="96"/>
      <c r="H352" s="96"/>
      <c r="I352" s="96"/>
      <c r="J352" s="96"/>
      <c r="K352" s="96"/>
    </row>
    <row r="353" ht="43.45" customHeight="1">
      <c r="A353" s="95"/>
      <c r="B353" s="95"/>
      <c r="C353" s="96"/>
      <c r="D353" s="96"/>
      <c r="E353" s="96"/>
      <c r="F353" s="96"/>
      <c r="G353" s="96"/>
      <c r="H353" s="96"/>
      <c r="I353" s="96"/>
      <c r="J353" s="96"/>
      <c r="K353" s="96"/>
    </row>
    <row r="354" ht="43.45" customHeight="1">
      <c r="A354" s="95"/>
      <c r="B354" s="95"/>
      <c r="C354" s="96"/>
      <c r="D354" s="96"/>
      <c r="E354" s="96"/>
      <c r="F354" s="96"/>
      <c r="G354" s="96"/>
      <c r="H354" s="96"/>
      <c r="I354" s="96"/>
      <c r="J354" s="96"/>
      <c r="K354" s="96"/>
    </row>
    <row r="355" ht="43.45" customHeight="1">
      <c r="A355" s="95"/>
      <c r="B355" s="95"/>
      <c r="C355" s="96"/>
      <c r="D355" s="96"/>
      <c r="E355" s="96"/>
      <c r="F355" s="96"/>
      <c r="G355" s="96"/>
      <c r="H355" s="96"/>
      <c r="I355" s="96"/>
      <c r="J355" s="96"/>
      <c r="K355" s="96"/>
    </row>
    <row r="356" ht="43.45" customHeight="1">
      <c r="A356" s="95"/>
      <c r="B356" s="95"/>
      <c r="C356" s="96"/>
      <c r="D356" s="96"/>
      <c r="E356" s="96"/>
      <c r="F356" s="96"/>
      <c r="G356" s="96"/>
      <c r="H356" s="96"/>
      <c r="I356" s="96"/>
      <c r="J356" s="96"/>
      <c r="K356" s="96"/>
    </row>
    <row r="357" ht="43.45" customHeight="1">
      <c r="A357" s="95"/>
      <c r="B357" s="95"/>
      <c r="C357" s="96"/>
      <c r="D357" s="96"/>
      <c r="E357" s="96"/>
      <c r="F357" s="96"/>
      <c r="G357" s="96"/>
      <c r="H357" s="96"/>
      <c r="I357" s="96"/>
      <c r="J357" s="96"/>
      <c r="K357" s="96"/>
    </row>
    <row r="358" ht="43.45" customHeight="1">
      <c r="A358" s="95"/>
      <c r="B358" s="95"/>
      <c r="C358" s="96"/>
      <c r="D358" s="96"/>
      <c r="E358" s="96"/>
      <c r="F358" s="96"/>
      <c r="G358" s="96"/>
      <c r="H358" s="96"/>
      <c r="I358" s="96"/>
      <c r="J358" s="96"/>
      <c r="K358" s="96"/>
    </row>
    <row r="359" ht="43.45" customHeight="1">
      <c r="A359" s="95"/>
      <c r="B359" s="95"/>
      <c r="C359" s="96"/>
      <c r="D359" s="96"/>
      <c r="E359" s="96"/>
      <c r="F359" s="96"/>
      <c r="G359" s="96"/>
      <c r="H359" s="96"/>
      <c r="I359" s="96"/>
      <c r="J359" s="96"/>
      <c r="K359" s="96"/>
    </row>
    <row r="360" ht="43.45" customHeight="1">
      <c r="A360" s="95"/>
      <c r="B360" s="95"/>
      <c r="C360" s="96"/>
      <c r="D360" s="96"/>
      <c r="E360" s="96"/>
      <c r="F360" s="96"/>
      <c r="G360" s="96"/>
      <c r="H360" s="96"/>
      <c r="I360" s="96"/>
      <c r="J360" s="96"/>
      <c r="K360" s="96"/>
    </row>
    <row r="361" ht="43.45" customHeight="1">
      <c r="A361" s="95"/>
      <c r="B361" s="95"/>
      <c r="C361" s="96"/>
      <c r="D361" s="96"/>
      <c r="E361" s="96"/>
      <c r="F361" s="96"/>
      <c r="G361" s="96"/>
      <c r="H361" s="96"/>
      <c r="I361" s="96"/>
      <c r="J361" s="96"/>
      <c r="K361" s="96"/>
    </row>
    <row r="362" ht="43.45" customHeight="1">
      <c r="A362" s="95"/>
      <c r="B362" s="95"/>
      <c r="C362" s="96"/>
      <c r="D362" s="96"/>
      <c r="E362" s="96"/>
      <c r="F362" s="96"/>
      <c r="G362" s="96"/>
      <c r="H362" s="96"/>
      <c r="I362" s="96"/>
      <c r="J362" s="96"/>
      <c r="K362" s="96"/>
    </row>
    <row r="363" ht="43.45" customHeight="1">
      <c r="A363" s="95"/>
      <c r="B363" s="95"/>
      <c r="C363" s="96"/>
      <c r="D363" s="96"/>
      <c r="E363" s="96"/>
      <c r="F363" s="96"/>
      <c r="G363" s="96"/>
      <c r="H363" s="96"/>
      <c r="I363" s="96"/>
      <c r="J363" s="96"/>
      <c r="K363" s="96"/>
    </row>
    <row r="364" ht="43.45" customHeight="1">
      <c r="A364" s="95"/>
      <c r="B364" s="95"/>
      <c r="C364" s="96"/>
      <c r="D364" s="96"/>
      <c r="E364" s="96"/>
      <c r="F364" s="96"/>
      <c r="G364" s="96"/>
      <c r="H364" s="96"/>
      <c r="I364" s="96"/>
      <c r="J364" s="96"/>
      <c r="K364" s="96"/>
    </row>
    <row r="365" ht="43.45" customHeight="1">
      <c r="A365" s="95"/>
      <c r="B365" s="95"/>
      <c r="C365" s="96"/>
      <c r="D365" s="96"/>
      <c r="E365" s="96"/>
      <c r="F365" s="96"/>
      <c r="G365" s="96"/>
      <c r="H365" s="96"/>
      <c r="I365" s="96"/>
      <c r="J365" s="96"/>
      <c r="K365" s="96"/>
    </row>
    <row r="366" ht="43.45" customHeight="1">
      <c r="A366" s="95"/>
      <c r="B366" s="95"/>
      <c r="C366" s="96"/>
      <c r="D366" s="96"/>
      <c r="E366" s="96"/>
      <c r="F366" s="96"/>
      <c r="G366" s="96"/>
      <c r="H366" s="96"/>
      <c r="I366" s="96"/>
      <c r="J366" s="96"/>
      <c r="K366" s="96"/>
    </row>
    <row r="367" ht="43.45" customHeight="1">
      <c r="A367" s="95"/>
      <c r="B367" s="95"/>
      <c r="C367" s="96"/>
      <c r="D367" s="96"/>
      <c r="E367" s="96"/>
      <c r="F367" s="96"/>
      <c r="G367" s="96"/>
      <c r="H367" s="96"/>
      <c r="I367" s="96"/>
      <c r="J367" s="96"/>
      <c r="K367" s="96"/>
    </row>
    <row r="368" ht="43.45" customHeight="1">
      <c r="A368" s="95"/>
      <c r="B368" s="95"/>
      <c r="C368" s="96"/>
      <c r="D368" s="96"/>
      <c r="E368" s="96"/>
      <c r="F368" s="96"/>
      <c r="G368" s="96"/>
      <c r="H368" s="96"/>
      <c r="I368" s="96"/>
      <c r="J368" s="96"/>
      <c r="K368" s="96"/>
    </row>
    <row r="369" ht="43.45" customHeight="1">
      <c r="A369" s="95"/>
      <c r="B369" s="95"/>
      <c r="C369" s="96"/>
      <c r="D369" s="96"/>
      <c r="E369" s="96"/>
      <c r="F369" s="96"/>
      <c r="G369" s="96"/>
      <c r="H369" s="96"/>
      <c r="I369" s="96"/>
      <c r="J369" s="96"/>
      <c r="K369" s="96"/>
    </row>
    <row r="370" ht="43.45" customHeight="1">
      <c r="A370" s="95"/>
      <c r="B370" s="95"/>
      <c r="C370" s="96"/>
      <c r="D370" s="96"/>
      <c r="E370" s="96"/>
      <c r="F370" s="96"/>
      <c r="G370" s="96"/>
      <c r="H370" s="96"/>
      <c r="I370" s="96"/>
      <c r="J370" s="96"/>
      <c r="K370" s="96"/>
    </row>
    <row r="371" ht="43.45" customHeight="1">
      <c r="A371" s="95"/>
      <c r="B371" s="95"/>
      <c r="C371" s="96"/>
      <c r="D371" s="96"/>
      <c r="E371" s="96"/>
      <c r="F371" s="96"/>
      <c r="G371" s="96"/>
      <c r="H371" s="96"/>
      <c r="I371" s="96"/>
      <c r="J371" s="96"/>
      <c r="K371" s="96"/>
    </row>
    <row r="372" ht="43.45" customHeight="1">
      <c r="A372" s="95"/>
      <c r="B372" s="95"/>
      <c r="C372" s="96"/>
      <c r="D372" s="96"/>
      <c r="E372" s="96"/>
      <c r="F372" s="96"/>
      <c r="G372" s="96"/>
      <c r="H372" s="96"/>
      <c r="I372" s="96"/>
      <c r="J372" s="96"/>
      <c r="K372" s="96"/>
    </row>
    <row r="373" ht="43.45" customHeight="1">
      <c r="A373" s="95"/>
      <c r="B373" s="95"/>
      <c r="C373" s="96"/>
      <c r="D373" s="96"/>
      <c r="E373" s="96"/>
      <c r="F373" s="96"/>
      <c r="G373" s="96"/>
      <c r="H373" s="96"/>
      <c r="I373" s="96"/>
      <c r="J373" s="96"/>
      <c r="K373" s="96"/>
    </row>
    <row r="374" ht="43.45" customHeight="1">
      <c r="A374" s="95"/>
      <c r="B374" s="95"/>
      <c r="C374" s="96"/>
      <c r="D374" s="96"/>
      <c r="E374" s="96"/>
      <c r="F374" s="96"/>
      <c r="G374" s="96"/>
      <c r="H374" s="96"/>
      <c r="I374" s="96"/>
      <c r="J374" s="96"/>
      <c r="K374" s="96"/>
    </row>
    <row r="375" ht="43.45" customHeight="1">
      <c r="A375" s="95"/>
      <c r="B375" s="95"/>
      <c r="C375" s="96"/>
      <c r="D375" s="96"/>
      <c r="E375" s="96"/>
      <c r="F375" s="96"/>
      <c r="G375" s="96"/>
      <c r="H375" s="96"/>
      <c r="I375" s="96"/>
      <c r="J375" s="96"/>
      <c r="K375" s="96"/>
    </row>
    <row r="376" ht="43.45" customHeight="1">
      <c r="A376" s="95"/>
      <c r="B376" s="95"/>
      <c r="C376" s="96"/>
      <c r="D376" s="96"/>
      <c r="E376" s="96"/>
      <c r="F376" s="96"/>
      <c r="G376" s="96"/>
      <c r="H376" s="96"/>
      <c r="I376" s="96"/>
      <c r="J376" s="96"/>
      <c r="K376" s="96"/>
    </row>
    <row r="377" ht="43.45" customHeight="1">
      <c r="A377" s="95"/>
      <c r="B377" s="95"/>
      <c r="C377" s="96"/>
      <c r="D377" s="96"/>
      <c r="E377" s="96"/>
      <c r="F377" s="96"/>
      <c r="G377" s="96"/>
      <c r="H377" s="96"/>
      <c r="I377" s="96"/>
      <c r="J377" s="96"/>
      <c r="K377" s="96"/>
    </row>
    <row r="378" ht="43.45" customHeight="1">
      <c r="A378" s="95"/>
      <c r="B378" s="95"/>
      <c r="C378" s="96"/>
      <c r="D378" s="96"/>
      <c r="E378" s="96"/>
      <c r="F378" s="96"/>
      <c r="G378" s="96"/>
      <c r="H378" s="96"/>
      <c r="I378" s="96"/>
      <c r="J378" s="96"/>
      <c r="K378" s="96"/>
    </row>
    <row r="379" ht="43.45" customHeight="1">
      <c r="A379" s="95"/>
      <c r="B379" s="95"/>
      <c r="C379" s="96"/>
      <c r="D379" s="96"/>
      <c r="E379" s="96"/>
      <c r="F379" s="96"/>
      <c r="G379" s="96"/>
      <c r="H379" s="96"/>
      <c r="I379" s="96"/>
      <c r="J379" s="96"/>
      <c r="K379" s="96"/>
    </row>
    <row r="380" ht="43.45" customHeight="1">
      <c r="A380" s="95"/>
      <c r="B380" s="95"/>
      <c r="C380" s="96"/>
      <c r="D380" s="96"/>
      <c r="E380" s="96"/>
      <c r="F380" s="96"/>
      <c r="G380" s="96"/>
      <c r="H380" s="96"/>
      <c r="I380" s="96"/>
      <c r="J380" s="96"/>
      <c r="K380" s="96"/>
    </row>
    <row r="381" ht="43.45" customHeight="1">
      <c r="A381" s="95"/>
      <c r="B381" s="95"/>
      <c r="C381" s="96"/>
      <c r="D381" s="96"/>
      <c r="E381" s="96"/>
      <c r="F381" s="96"/>
      <c r="G381" s="96"/>
      <c r="H381" s="96"/>
      <c r="I381" s="96"/>
      <c r="J381" s="96"/>
      <c r="K381" s="96"/>
    </row>
    <row r="382" ht="43.45" customHeight="1">
      <c r="A382" s="95"/>
      <c r="B382" s="95"/>
      <c r="C382" s="96"/>
      <c r="D382" s="96"/>
      <c r="E382" s="96"/>
      <c r="F382" s="96"/>
      <c r="G382" s="96"/>
      <c r="H382" s="96"/>
      <c r="I382" s="96"/>
      <c r="J382" s="96"/>
      <c r="K382" s="96"/>
    </row>
    <row r="383" ht="43.45" customHeight="1">
      <c r="A383" s="95"/>
      <c r="B383" s="95"/>
      <c r="C383" s="96"/>
      <c r="D383" s="96"/>
      <c r="E383" s="96"/>
      <c r="F383" s="96"/>
      <c r="G383" s="96"/>
      <c r="H383" s="96"/>
      <c r="I383" s="96"/>
      <c r="J383" s="96"/>
      <c r="K383" s="96"/>
    </row>
    <row r="384" ht="43.45" customHeight="1">
      <c r="A384" s="95"/>
      <c r="B384" s="95"/>
      <c r="C384" s="96"/>
      <c r="D384" s="96"/>
      <c r="E384" s="96"/>
      <c r="F384" s="96"/>
      <c r="G384" s="96"/>
      <c r="H384" s="96"/>
      <c r="I384" s="96"/>
      <c r="J384" s="96"/>
      <c r="K384" s="96"/>
    </row>
    <row r="385" ht="43.45" customHeight="1">
      <c r="A385" s="95"/>
      <c r="B385" s="95"/>
      <c r="C385" s="96"/>
      <c r="D385" s="96"/>
      <c r="E385" s="96"/>
      <c r="F385" s="96"/>
      <c r="G385" s="96"/>
      <c r="H385" s="96"/>
      <c r="I385" s="96"/>
      <c r="J385" s="96"/>
      <c r="K385" s="96"/>
    </row>
    <row r="386" ht="43.45" customHeight="1">
      <c r="A386" s="95"/>
      <c r="B386" s="95"/>
      <c r="C386" s="96"/>
      <c r="D386" s="96"/>
      <c r="E386" s="96"/>
      <c r="F386" s="96"/>
      <c r="G386" s="96"/>
      <c r="H386" s="96"/>
      <c r="I386" s="96"/>
      <c r="J386" s="96"/>
      <c r="K386" s="96"/>
    </row>
    <row r="387" ht="43.45" customHeight="1">
      <c r="A387" s="95"/>
      <c r="B387" s="95"/>
      <c r="C387" s="96"/>
      <c r="D387" s="96"/>
      <c r="E387" s="96"/>
      <c r="F387" s="96"/>
      <c r="G387" s="96"/>
      <c r="H387" s="96"/>
      <c r="I387" s="96"/>
      <c r="J387" s="96"/>
      <c r="K387" s="96"/>
    </row>
    <row r="388" ht="43.45" customHeight="1">
      <c r="A388" s="95"/>
      <c r="B388" s="95"/>
      <c r="C388" s="96"/>
      <c r="D388" s="96"/>
      <c r="E388" s="96"/>
      <c r="F388" s="96"/>
      <c r="G388" s="96"/>
      <c r="H388" s="96"/>
      <c r="I388" s="96"/>
      <c r="J388" s="96"/>
      <c r="K388" s="96"/>
    </row>
    <row r="389" ht="43.45" customHeight="1">
      <c r="A389" s="95"/>
      <c r="B389" s="95"/>
      <c r="C389" s="96"/>
      <c r="D389" s="96"/>
      <c r="E389" s="96"/>
      <c r="F389" s="96"/>
      <c r="G389" s="96"/>
      <c r="H389" s="96"/>
      <c r="I389" s="96"/>
      <c r="J389" s="96"/>
      <c r="K389" s="96"/>
    </row>
    <row r="390" ht="43.45" customHeight="1">
      <c r="A390" s="95"/>
      <c r="B390" s="95"/>
      <c r="C390" s="96"/>
      <c r="D390" s="96"/>
      <c r="E390" s="96"/>
      <c r="F390" s="96"/>
      <c r="G390" s="96"/>
      <c r="H390" s="96"/>
      <c r="I390" s="96"/>
      <c r="J390" s="96"/>
      <c r="K390" s="96"/>
    </row>
    <row r="391" ht="43.45" customHeight="1">
      <c r="A391" s="95"/>
      <c r="B391" s="95"/>
      <c r="C391" s="96"/>
      <c r="D391" s="96"/>
      <c r="E391" s="96"/>
      <c r="F391" s="96"/>
      <c r="G391" s="96"/>
      <c r="H391" s="96"/>
      <c r="I391" s="96"/>
      <c r="J391" s="96"/>
      <c r="K391" s="96"/>
    </row>
    <row r="392" ht="43.45" customHeight="1">
      <c r="A392" s="95"/>
      <c r="B392" s="95"/>
      <c r="C392" s="96"/>
      <c r="D392" s="96"/>
      <c r="E392" s="96"/>
      <c r="F392" s="96"/>
      <c r="G392" s="96"/>
      <c r="H392" s="96"/>
      <c r="I392" s="96"/>
      <c r="J392" s="96"/>
      <c r="K392" s="96"/>
    </row>
    <row r="393" ht="43.45" customHeight="1">
      <c r="A393" s="95"/>
      <c r="B393" s="95"/>
      <c r="C393" s="96"/>
      <c r="D393" s="96"/>
      <c r="E393" s="96"/>
      <c r="F393" s="96"/>
      <c r="G393" s="96"/>
      <c r="H393" s="96"/>
      <c r="I393" s="96"/>
      <c r="J393" s="96"/>
      <c r="K393" s="96"/>
    </row>
    <row r="394" ht="43.45" customHeight="1">
      <c r="A394" s="95"/>
      <c r="B394" s="95"/>
      <c r="C394" s="96"/>
      <c r="D394" s="96"/>
      <c r="E394" s="96"/>
      <c r="F394" s="96"/>
      <c r="G394" s="96"/>
      <c r="H394" s="96"/>
      <c r="I394" s="96"/>
      <c r="J394" s="96"/>
      <c r="K394" s="96"/>
    </row>
    <row r="395" ht="43.45" customHeight="1">
      <c r="A395" s="95"/>
      <c r="B395" s="95"/>
      <c r="C395" s="96"/>
      <c r="D395" s="96"/>
      <c r="E395" s="96"/>
      <c r="F395" s="96"/>
      <c r="G395" s="96"/>
      <c r="H395" s="96"/>
      <c r="I395" s="96"/>
      <c r="J395" s="96"/>
      <c r="K395" s="96"/>
    </row>
    <row r="396" ht="43.45" customHeight="1">
      <c r="A396" s="95"/>
      <c r="B396" s="95"/>
      <c r="C396" s="96"/>
      <c r="D396" s="96"/>
      <c r="E396" s="96"/>
      <c r="F396" s="96"/>
      <c r="G396" s="96"/>
      <c r="H396" s="96"/>
      <c r="I396" s="96"/>
      <c r="J396" s="96"/>
      <c r="K396" s="96"/>
    </row>
    <row r="397" ht="43.45" customHeight="1">
      <c r="A397" s="95"/>
      <c r="B397" s="95"/>
      <c r="C397" s="96"/>
      <c r="D397" s="96"/>
      <c r="E397" s="96"/>
      <c r="F397" s="96"/>
      <c r="G397" s="96"/>
      <c r="H397" s="96"/>
      <c r="I397" s="96"/>
      <c r="J397" s="96"/>
      <c r="K397" s="96"/>
    </row>
    <row r="398" ht="43.45" customHeight="1">
      <c r="A398" s="95"/>
      <c r="B398" s="95"/>
      <c r="C398" s="96"/>
      <c r="D398" s="96"/>
      <c r="E398" s="96"/>
      <c r="F398" s="96"/>
      <c r="G398" s="96"/>
      <c r="H398" s="96"/>
      <c r="I398" s="96"/>
      <c r="J398" s="96"/>
      <c r="K398" s="96"/>
    </row>
    <row r="399" ht="43.45" customHeight="1">
      <c r="A399" s="95"/>
      <c r="B399" s="95"/>
      <c r="C399" s="96"/>
      <c r="D399" s="96"/>
      <c r="E399" s="96"/>
      <c r="F399" s="96"/>
      <c r="G399" s="96"/>
      <c r="H399" s="96"/>
      <c r="I399" s="96"/>
      <c r="J399" s="96"/>
      <c r="K399" s="96"/>
    </row>
    <row r="400" ht="43.45" customHeight="1">
      <c r="A400" s="95"/>
      <c r="B400" s="95"/>
      <c r="C400" s="96"/>
      <c r="D400" s="96"/>
      <c r="E400" s="96"/>
      <c r="F400" s="96"/>
      <c r="G400" s="96"/>
      <c r="H400" s="96"/>
      <c r="I400" s="96"/>
      <c r="J400" s="96"/>
      <c r="K400" s="96"/>
    </row>
    <row r="401" ht="43.45" customHeight="1">
      <c r="A401" s="95"/>
      <c r="B401" s="95"/>
      <c r="C401" s="96"/>
      <c r="D401" s="96"/>
      <c r="E401" s="96"/>
      <c r="F401" s="96"/>
      <c r="G401" s="96"/>
      <c r="H401" s="96"/>
      <c r="I401" s="96"/>
      <c r="J401" s="96"/>
      <c r="K401" s="96"/>
    </row>
    <row r="402" ht="43.45" customHeight="1">
      <c r="A402" s="95"/>
      <c r="B402" s="95"/>
      <c r="C402" s="96"/>
      <c r="D402" s="96"/>
      <c r="E402" s="96"/>
      <c r="F402" s="96"/>
      <c r="G402" s="96"/>
      <c r="H402" s="96"/>
      <c r="I402" s="96"/>
      <c r="J402" s="96"/>
      <c r="K402" s="96"/>
    </row>
    <row r="403" ht="43.45" customHeight="1">
      <c r="A403" s="95"/>
      <c r="B403" s="95"/>
      <c r="C403" s="96"/>
      <c r="D403" s="96"/>
      <c r="E403" s="96"/>
      <c r="F403" s="96"/>
      <c r="G403" s="96"/>
      <c r="H403" s="96"/>
      <c r="I403" s="96"/>
      <c r="J403" s="96"/>
      <c r="K403" s="96"/>
    </row>
    <row r="404" ht="43.45" customHeight="1">
      <c r="A404" s="95"/>
      <c r="B404" s="95"/>
      <c r="C404" s="96"/>
      <c r="D404" s="96"/>
      <c r="E404" s="96"/>
      <c r="F404" s="96"/>
      <c r="G404" s="96"/>
      <c r="H404" s="96"/>
      <c r="I404" s="96"/>
      <c r="J404" s="96"/>
      <c r="K404" s="96"/>
    </row>
    <row r="405" ht="43.45" customHeight="1">
      <c r="A405" s="95"/>
      <c r="B405" s="95"/>
      <c r="C405" s="96"/>
      <c r="D405" s="96"/>
      <c r="E405" s="96"/>
      <c r="F405" s="96"/>
      <c r="G405" s="96"/>
      <c r="H405" s="96"/>
      <c r="I405" s="96"/>
      <c r="J405" s="96"/>
      <c r="K405" s="96"/>
    </row>
    <row r="406" ht="43.45" customHeight="1">
      <c r="A406" s="95"/>
      <c r="B406" s="95"/>
      <c r="C406" s="96"/>
      <c r="D406" s="96"/>
      <c r="E406" s="96"/>
      <c r="F406" s="96"/>
      <c r="G406" s="96"/>
      <c r="H406" s="96"/>
      <c r="I406" s="96"/>
      <c r="J406" s="96"/>
      <c r="K406" s="96"/>
    </row>
    <row r="407" ht="43.45" customHeight="1">
      <c r="A407" s="95"/>
      <c r="B407" s="95"/>
      <c r="C407" s="96"/>
      <c r="D407" s="96"/>
      <c r="E407" s="96"/>
      <c r="F407" s="96"/>
      <c r="G407" s="96"/>
      <c r="H407" s="96"/>
      <c r="I407" s="96"/>
      <c r="J407" s="96"/>
      <c r="K407" s="96"/>
    </row>
    <row r="408" ht="43.45" customHeight="1">
      <c r="A408" s="95"/>
      <c r="B408" s="95"/>
      <c r="C408" s="96"/>
      <c r="D408" s="96"/>
      <c r="E408" s="96"/>
      <c r="F408" s="96"/>
      <c r="G408" s="96"/>
      <c r="H408" s="96"/>
      <c r="I408" s="96"/>
      <c r="J408" s="96"/>
      <c r="K408" s="96"/>
    </row>
    <row r="409" ht="43.45" customHeight="1">
      <c r="A409" s="95"/>
      <c r="B409" s="95"/>
      <c r="C409" s="96"/>
      <c r="D409" s="96"/>
      <c r="E409" s="96"/>
      <c r="F409" s="96"/>
      <c r="G409" s="96"/>
      <c r="H409" s="96"/>
      <c r="I409" s="96"/>
      <c r="J409" s="96"/>
      <c r="K409" s="96"/>
    </row>
    <row r="410" ht="43.45" customHeight="1">
      <c r="A410" s="95"/>
      <c r="B410" s="95"/>
      <c r="C410" s="96"/>
      <c r="D410" s="96"/>
      <c r="E410" s="96"/>
      <c r="F410" s="96"/>
      <c r="G410" s="96"/>
      <c r="H410" s="96"/>
      <c r="I410" s="96"/>
      <c r="J410" s="96"/>
      <c r="K410" s="96"/>
    </row>
    <row r="411" ht="43.45" customHeight="1">
      <c r="A411" s="95"/>
      <c r="B411" s="95"/>
      <c r="C411" s="96"/>
      <c r="D411" s="96"/>
      <c r="E411" s="96"/>
      <c r="F411" s="96"/>
      <c r="G411" s="96"/>
      <c r="H411" s="96"/>
      <c r="I411" s="96"/>
      <c r="J411" s="96"/>
      <c r="K411" s="96"/>
    </row>
    <row r="412" ht="43.45" customHeight="1">
      <c r="A412" s="95"/>
      <c r="B412" s="95"/>
      <c r="C412" s="96"/>
      <c r="D412" s="96"/>
      <c r="E412" s="96"/>
      <c r="F412" s="96"/>
      <c r="G412" s="96"/>
      <c r="H412" s="96"/>
      <c r="I412" s="96"/>
      <c r="J412" s="96"/>
      <c r="K412" s="96"/>
    </row>
    <row r="413" ht="43.45" customHeight="1">
      <c r="A413" s="95"/>
      <c r="B413" s="95"/>
      <c r="C413" s="96"/>
      <c r="D413" s="96"/>
      <c r="E413" s="96"/>
      <c r="F413" s="96"/>
      <c r="G413" s="96"/>
      <c r="H413" s="96"/>
      <c r="I413" s="96"/>
      <c r="J413" s="96"/>
      <c r="K413" s="96"/>
    </row>
    <row r="414" ht="43.45" customHeight="1">
      <c r="A414" s="95"/>
      <c r="B414" s="95"/>
      <c r="C414" s="96"/>
      <c r="D414" s="96"/>
      <c r="E414" s="96"/>
      <c r="F414" s="96"/>
      <c r="G414" s="96"/>
      <c r="H414" s="96"/>
      <c r="I414" s="96"/>
      <c r="J414" s="96"/>
      <c r="K414" s="96"/>
    </row>
    <row r="415" ht="43.45" customHeight="1">
      <c r="A415" s="95"/>
      <c r="B415" s="95"/>
      <c r="C415" s="96"/>
      <c r="D415" s="96"/>
      <c r="E415" s="96"/>
      <c r="F415" s="96"/>
      <c r="G415" s="96"/>
      <c r="H415" s="96"/>
      <c r="I415" s="96"/>
      <c r="J415" s="96"/>
      <c r="K415" s="96"/>
    </row>
    <row r="416" ht="43.45" customHeight="1">
      <c r="A416" s="95"/>
      <c r="B416" s="95"/>
      <c r="C416" s="96"/>
      <c r="D416" s="96"/>
      <c r="E416" s="96"/>
      <c r="F416" s="96"/>
      <c r="G416" s="96"/>
      <c r="H416" s="96"/>
      <c r="I416" s="96"/>
      <c r="J416" s="96"/>
      <c r="K416" s="96"/>
    </row>
    <row r="417" ht="43.45" customHeight="1">
      <c r="A417" s="95"/>
      <c r="B417" s="95"/>
      <c r="C417" s="96"/>
      <c r="D417" s="96"/>
      <c r="E417" s="96"/>
      <c r="F417" s="96"/>
      <c r="G417" s="96"/>
      <c r="H417" s="96"/>
      <c r="I417" s="96"/>
      <c r="J417" s="96"/>
      <c r="K417" s="96"/>
    </row>
    <row r="418" ht="43.45" customHeight="1">
      <c r="A418" s="95"/>
      <c r="B418" s="95"/>
      <c r="C418" s="96"/>
      <c r="D418" s="96"/>
      <c r="E418" s="96"/>
      <c r="F418" s="96"/>
      <c r="G418" s="96"/>
      <c r="H418" s="96"/>
      <c r="I418" s="96"/>
      <c r="J418" s="96"/>
      <c r="K418" s="96"/>
    </row>
    <row r="419" ht="43.45" customHeight="1">
      <c r="A419" s="95"/>
      <c r="B419" s="95"/>
      <c r="C419" s="96"/>
      <c r="D419" s="96"/>
      <c r="E419" s="96"/>
      <c r="F419" s="96"/>
      <c r="G419" s="96"/>
      <c r="H419" s="96"/>
      <c r="I419" s="96"/>
      <c r="J419" s="96"/>
      <c r="K419" s="96"/>
    </row>
    <row r="420" ht="43.45" customHeight="1">
      <c r="A420" s="95"/>
      <c r="B420" s="95"/>
      <c r="C420" s="96"/>
      <c r="D420" s="96"/>
      <c r="E420" s="96"/>
      <c r="F420" s="96"/>
      <c r="G420" s="96"/>
      <c r="H420" s="96"/>
      <c r="I420" s="96"/>
      <c r="J420" s="96"/>
      <c r="K420" s="96"/>
    </row>
    <row r="421" ht="43.45" customHeight="1">
      <c r="A421" s="95"/>
      <c r="B421" s="95"/>
      <c r="C421" s="96"/>
      <c r="D421" s="96"/>
      <c r="E421" s="96"/>
      <c r="F421" s="96"/>
      <c r="G421" s="96"/>
      <c r="H421" s="96"/>
      <c r="I421" s="96"/>
      <c r="J421" s="96"/>
      <c r="K421" s="96"/>
    </row>
    <row r="422" ht="43.45" customHeight="1">
      <c r="A422" s="95"/>
      <c r="B422" s="95"/>
      <c r="C422" s="96"/>
      <c r="D422" s="96"/>
      <c r="E422" s="96"/>
      <c r="F422" s="96"/>
      <c r="G422" s="96"/>
      <c r="H422" s="96"/>
      <c r="I422" s="96"/>
      <c r="J422" s="96"/>
      <c r="K422" s="96"/>
    </row>
    <row r="423" ht="43.45" customHeight="1">
      <c r="A423" s="95"/>
      <c r="B423" s="95"/>
      <c r="C423" s="96"/>
      <c r="D423" s="96"/>
      <c r="E423" s="96"/>
      <c r="F423" s="96"/>
      <c r="G423" s="96"/>
      <c r="H423" s="96"/>
      <c r="I423" s="96"/>
      <c r="J423" s="96"/>
      <c r="K423" s="96"/>
    </row>
    <row r="424" ht="43.45" customHeight="1">
      <c r="A424" s="95"/>
      <c r="B424" s="95"/>
      <c r="C424" s="96"/>
      <c r="D424" s="96"/>
      <c r="E424" s="96"/>
      <c r="F424" s="96"/>
      <c r="G424" s="96"/>
      <c r="H424" s="96"/>
      <c r="I424" s="96"/>
      <c r="J424" s="96"/>
      <c r="K424" s="96"/>
    </row>
    <row r="425" ht="43.45" customHeight="1">
      <c r="A425" s="95"/>
      <c r="B425" s="95"/>
      <c r="C425" s="96"/>
      <c r="D425" s="96"/>
      <c r="E425" s="96"/>
      <c r="F425" s="96"/>
      <c r="G425" s="96"/>
      <c r="H425" s="96"/>
      <c r="I425" s="96"/>
      <c r="J425" s="96"/>
      <c r="K425" s="96"/>
    </row>
    <row r="426" ht="43.45" customHeight="1">
      <c r="A426" s="95"/>
      <c r="B426" s="95"/>
      <c r="C426" s="96"/>
      <c r="D426" s="96"/>
      <c r="E426" s="96"/>
      <c r="F426" s="96"/>
      <c r="G426" s="96"/>
      <c r="H426" s="96"/>
      <c r="I426" s="96"/>
      <c r="J426" s="96"/>
      <c r="K426" s="96"/>
    </row>
    <row r="427" ht="43.45" customHeight="1">
      <c r="A427" s="95"/>
      <c r="B427" s="95"/>
      <c r="C427" s="96"/>
      <c r="D427" s="96"/>
      <c r="E427" s="96"/>
      <c r="F427" s="96"/>
      <c r="G427" s="96"/>
      <c r="H427" s="96"/>
      <c r="I427" s="96"/>
      <c r="J427" s="96"/>
      <c r="K427" s="96"/>
    </row>
    <row r="428" ht="43.45" customHeight="1">
      <c r="A428" s="95"/>
      <c r="B428" s="95"/>
      <c r="C428" s="96"/>
      <c r="D428" s="96"/>
      <c r="E428" s="96"/>
      <c r="F428" s="96"/>
      <c r="G428" s="96"/>
      <c r="H428" s="96"/>
      <c r="I428" s="96"/>
      <c r="J428" s="96"/>
      <c r="K428" s="96"/>
    </row>
    <row r="429" ht="43.45" customHeight="1">
      <c r="A429" s="95"/>
      <c r="B429" s="95"/>
      <c r="C429" s="96"/>
      <c r="D429" s="96"/>
      <c r="E429" s="96"/>
      <c r="F429" s="96"/>
      <c r="G429" s="96"/>
      <c r="H429" s="96"/>
      <c r="I429" s="96"/>
      <c r="J429" s="96"/>
      <c r="K429" s="96"/>
    </row>
    <row r="430" ht="43.45" customHeight="1">
      <c r="A430" s="95"/>
      <c r="B430" s="95"/>
      <c r="C430" s="96"/>
      <c r="D430" s="96"/>
      <c r="E430" s="96"/>
      <c r="F430" s="96"/>
      <c r="G430" s="96"/>
      <c r="H430" s="96"/>
      <c r="I430" s="96"/>
      <c r="J430" s="96"/>
      <c r="K430" s="96"/>
    </row>
    <row r="431" ht="43.45" customHeight="1">
      <c r="A431" s="95"/>
      <c r="B431" s="95"/>
      <c r="C431" s="96"/>
      <c r="D431" s="96"/>
      <c r="E431" s="96"/>
      <c r="F431" s="96"/>
      <c r="G431" s="96"/>
      <c r="H431" s="96"/>
      <c r="I431" s="96"/>
      <c r="J431" s="96"/>
      <c r="K431" s="96"/>
    </row>
    <row r="432" ht="43.45" customHeight="1">
      <c r="A432" s="95"/>
      <c r="B432" s="95"/>
      <c r="C432" s="96"/>
      <c r="D432" s="96"/>
      <c r="E432" s="96"/>
      <c r="F432" s="96"/>
      <c r="G432" s="96"/>
      <c r="H432" s="96"/>
      <c r="I432" s="96"/>
      <c r="J432" s="96"/>
      <c r="K432" s="96"/>
    </row>
    <row r="433" ht="43.45" customHeight="1">
      <c r="A433" s="95"/>
      <c r="B433" s="95"/>
      <c r="C433" s="96"/>
      <c r="D433" s="96"/>
      <c r="E433" s="96"/>
      <c r="F433" s="96"/>
      <c r="G433" s="96"/>
      <c r="H433" s="96"/>
      <c r="I433" s="96"/>
      <c r="J433" s="96"/>
      <c r="K433" s="96"/>
    </row>
    <row r="434" ht="43.45" customHeight="1">
      <c r="A434" s="95"/>
      <c r="B434" s="95"/>
      <c r="C434" s="96"/>
      <c r="D434" s="96"/>
      <c r="E434" s="96"/>
      <c r="F434" s="96"/>
      <c r="G434" s="96"/>
      <c r="H434" s="96"/>
      <c r="I434" s="96"/>
      <c r="J434" s="96"/>
      <c r="K434" s="96"/>
    </row>
    <row r="435" ht="43.45" customHeight="1">
      <c r="A435" s="95"/>
      <c r="B435" s="95"/>
      <c r="C435" s="96"/>
      <c r="D435" s="96"/>
      <c r="E435" s="96"/>
      <c r="F435" s="96"/>
      <c r="G435" s="96"/>
      <c r="H435" s="96"/>
      <c r="I435" s="96"/>
      <c r="J435" s="96"/>
      <c r="K435" s="96"/>
    </row>
    <row r="436" ht="43.45" customHeight="1">
      <c r="A436" s="95"/>
      <c r="B436" s="95"/>
      <c r="C436" s="96"/>
      <c r="D436" s="96"/>
      <c r="E436" s="96"/>
      <c r="F436" s="96"/>
      <c r="G436" s="96"/>
      <c r="H436" s="96"/>
      <c r="I436" s="96"/>
      <c r="J436" s="96"/>
      <c r="K436" s="96"/>
    </row>
    <row r="437" ht="43.45" customHeight="1">
      <c r="A437" s="95"/>
      <c r="B437" s="95"/>
      <c r="C437" s="96"/>
      <c r="D437" s="96"/>
      <c r="E437" s="96"/>
      <c r="F437" s="96"/>
      <c r="G437" s="96"/>
      <c r="H437" s="96"/>
      <c r="I437" s="96"/>
      <c r="J437" s="96"/>
      <c r="K437" s="96"/>
    </row>
    <row r="438" ht="43.45" customHeight="1">
      <c r="A438" s="95"/>
      <c r="B438" s="95"/>
      <c r="C438" s="96"/>
      <c r="D438" s="96"/>
      <c r="E438" s="96"/>
      <c r="F438" s="96"/>
      <c r="G438" s="96"/>
      <c r="H438" s="96"/>
      <c r="I438" s="96"/>
      <c r="J438" s="96"/>
      <c r="K438" s="96"/>
    </row>
    <row r="439" ht="43.45" customHeight="1">
      <c r="A439" s="95"/>
      <c r="B439" s="95"/>
      <c r="C439" s="96"/>
      <c r="D439" s="96"/>
      <c r="E439" s="96"/>
      <c r="F439" s="96"/>
      <c r="G439" s="96"/>
      <c r="H439" s="96"/>
      <c r="I439" s="96"/>
      <c r="J439" s="96"/>
      <c r="K439" s="96"/>
    </row>
    <row r="440" ht="43.45" customHeight="1">
      <c r="A440" s="95"/>
      <c r="B440" s="95"/>
      <c r="C440" s="96"/>
      <c r="D440" s="96"/>
      <c r="E440" s="96"/>
      <c r="F440" s="96"/>
      <c r="G440" s="96"/>
      <c r="H440" s="96"/>
      <c r="I440" s="96"/>
      <c r="J440" s="96"/>
      <c r="K440" s="96"/>
    </row>
    <row r="441" ht="43.45" customHeight="1">
      <c r="A441" s="95"/>
      <c r="B441" s="95"/>
      <c r="C441" s="96"/>
      <c r="D441" s="96"/>
      <c r="E441" s="96"/>
      <c r="F441" s="96"/>
      <c r="G441" s="96"/>
      <c r="H441" s="96"/>
      <c r="I441" s="96"/>
      <c r="J441" s="96"/>
      <c r="K441" s="96"/>
    </row>
    <row r="442" ht="43.45" customHeight="1">
      <c r="A442" s="95"/>
      <c r="B442" s="95"/>
      <c r="C442" s="96"/>
      <c r="D442" s="96"/>
      <c r="E442" s="96"/>
      <c r="F442" s="96"/>
      <c r="G442" s="96"/>
      <c r="H442" s="96"/>
      <c r="I442" s="96"/>
      <c r="J442" s="96"/>
      <c r="K442" s="96"/>
    </row>
    <row r="443" ht="43.45" customHeight="1">
      <c r="A443" s="95"/>
      <c r="B443" s="95"/>
      <c r="C443" s="96"/>
      <c r="D443" s="96"/>
      <c r="E443" s="96"/>
      <c r="F443" s="96"/>
      <c r="G443" s="96"/>
      <c r="H443" s="96"/>
      <c r="I443" s="96"/>
      <c r="J443" s="96"/>
      <c r="K443" s="96"/>
    </row>
    <row r="444" ht="43.45" customHeight="1">
      <c r="A444" s="95"/>
      <c r="B444" s="95"/>
      <c r="C444" s="96"/>
      <c r="D444" s="96"/>
      <c r="E444" s="96"/>
      <c r="F444" s="96"/>
      <c r="G444" s="96"/>
      <c r="H444" s="96"/>
      <c r="I444" s="96"/>
      <c r="J444" s="96"/>
      <c r="K444" s="96"/>
    </row>
    <row r="445" ht="43.45" customHeight="1">
      <c r="A445" s="95"/>
      <c r="B445" s="95"/>
      <c r="C445" s="96"/>
      <c r="D445" s="96"/>
      <c r="E445" s="96"/>
      <c r="F445" s="96"/>
      <c r="G445" s="96"/>
      <c r="H445" s="96"/>
      <c r="I445" s="96"/>
      <c r="J445" s="96"/>
      <c r="K445" s="96"/>
    </row>
    <row r="446" ht="43.45" customHeight="1">
      <c r="A446" s="95"/>
      <c r="B446" s="95"/>
      <c r="C446" s="96"/>
      <c r="D446" s="96"/>
      <c r="E446" s="96"/>
      <c r="F446" s="96"/>
      <c r="G446" s="96"/>
      <c r="H446" s="96"/>
      <c r="I446" s="96"/>
      <c r="J446" s="96"/>
      <c r="K446" s="96"/>
    </row>
    <row r="447" ht="43.45" customHeight="1">
      <c r="A447" s="95"/>
      <c r="B447" s="95"/>
      <c r="C447" s="96"/>
      <c r="D447" s="96"/>
      <c r="E447" s="96"/>
      <c r="F447" s="96"/>
      <c r="G447" s="96"/>
      <c r="H447" s="96"/>
      <c r="I447" s="96"/>
      <c r="J447" s="96"/>
      <c r="K447" s="96"/>
    </row>
    <row r="448" ht="43.45" customHeight="1">
      <c r="A448" s="95"/>
      <c r="B448" s="95"/>
      <c r="C448" s="96"/>
      <c r="D448" s="96"/>
      <c r="E448" s="96"/>
      <c r="F448" s="96"/>
      <c r="G448" s="96"/>
      <c r="H448" s="96"/>
      <c r="I448" s="96"/>
      <c r="J448" s="96"/>
      <c r="K448" s="96"/>
    </row>
    <row r="449" ht="43.45" customHeight="1">
      <c r="A449" s="95"/>
      <c r="B449" s="95"/>
      <c r="C449" s="96"/>
      <c r="D449" s="96"/>
      <c r="E449" s="96"/>
      <c r="F449" s="96"/>
      <c r="G449" s="96"/>
      <c r="H449" s="96"/>
      <c r="I449" s="96"/>
      <c r="J449" s="96"/>
      <c r="K449" s="96"/>
    </row>
    <row r="450" ht="43.45" customHeight="1">
      <c r="A450" s="95"/>
      <c r="B450" s="95"/>
      <c r="C450" s="96"/>
      <c r="D450" s="96"/>
      <c r="E450" s="96"/>
      <c r="F450" s="96"/>
      <c r="G450" s="96"/>
      <c r="H450" s="96"/>
      <c r="I450" s="96"/>
      <c r="J450" s="96"/>
      <c r="K450" s="96"/>
    </row>
    <row r="451" ht="43.45" customHeight="1">
      <c r="A451" s="95"/>
      <c r="B451" s="95"/>
      <c r="C451" s="96"/>
      <c r="D451" s="96"/>
      <c r="E451" s="96"/>
      <c r="F451" s="96"/>
      <c r="G451" s="96"/>
      <c r="H451" s="96"/>
      <c r="I451" s="96"/>
      <c r="J451" s="96"/>
      <c r="K451" s="96"/>
    </row>
    <row r="452" ht="43.45" customHeight="1">
      <c r="A452" s="95"/>
      <c r="B452" s="95"/>
      <c r="C452" s="96"/>
      <c r="D452" s="96"/>
      <c r="E452" s="96"/>
      <c r="F452" s="96"/>
      <c r="G452" s="96"/>
      <c r="H452" s="96"/>
      <c r="I452" s="96"/>
      <c r="J452" s="96"/>
      <c r="K452" s="96"/>
    </row>
    <row r="453" ht="43.45" customHeight="1">
      <c r="A453" s="95"/>
      <c r="B453" s="95"/>
      <c r="C453" s="96"/>
      <c r="D453" s="96"/>
      <c r="E453" s="96"/>
      <c r="F453" s="96"/>
      <c r="G453" s="96"/>
      <c r="H453" s="96"/>
      <c r="I453" s="96"/>
      <c r="J453" s="96"/>
      <c r="K453" s="96"/>
    </row>
    <row r="454" ht="43.45" customHeight="1">
      <c r="A454" s="95"/>
      <c r="B454" s="95"/>
      <c r="C454" s="96"/>
      <c r="D454" s="96"/>
      <c r="E454" s="96"/>
      <c r="F454" s="96"/>
      <c r="G454" s="96"/>
      <c r="H454" s="96"/>
      <c r="I454" s="96"/>
      <c r="J454" s="96"/>
      <c r="K454" s="96"/>
    </row>
    <row r="455" ht="43.45" customHeight="1">
      <c r="A455" s="95"/>
      <c r="B455" s="95"/>
      <c r="C455" s="96"/>
      <c r="D455" s="96"/>
      <c r="E455" s="96"/>
      <c r="F455" s="96"/>
      <c r="G455" s="96"/>
      <c r="H455" s="96"/>
      <c r="I455" s="96"/>
      <c r="J455" s="96"/>
      <c r="K455" s="96"/>
    </row>
    <row r="456" ht="43.45" customHeight="1">
      <c r="A456" s="95"/>
      <c r="B456" s="95"/>
      <c r="C456" s="96"/>
      <c r="D456" s="96"/>
      <c r="E456" s="96"/>
      <c r="F456" s="96"/>
      <c r="G456" s="96"/>
      <c r="H456" s="96"/>
      <c r="I456" s="96"/>
      <c r="J456" s="96"/>
      <c r="K456" s="96"/>
    </row>
    <row r="457" ht="43.45" customHeight="1">
      <c r="A457" s="95"/>
      <c r="B457" s="95"/>
      <c r="C457" s="96"/>
      <c r="D457" s="96"/>
      <c r="E457" s="96"/>
      <c r="F457" s="96"/>
      <c r="G457" s="96"/>
      <c r="H457" s="96"/>
      <c r="I457" s="96"/>
      <c r="J457" s="96"/>
      <c r="K457" s="96"/>
    </row>
    <row r="458" ht="43.45" customHeight="1">
      <c r="A458" s="95"/>
      <c r="B458" s="95"/>
      <c r="C458" s="96"/>
      <c r="D458" s="96"/>
      <c r="E458" s="96"/>
      <c r="F458" s="96"/>
      <c r="G458" s="96"/>
      <c r="H458" s="96"/>
      <c r="I458" s="96"/>
      <c r="J458" s="96"/>
      <c r="K458" s="96"/>
    </row>
    <row r="459" ht="43.45" customHeight="1">
      <c r="A459" s="95"/>
      <c r="B459" s="95"/>
      <c r="C459" s="96"/>
      <c r="D459" s="96"/>
      <c r="E459" s="96"/>
      <c r="F459" s="96"/>
      <c r="G459" s="96"/>
      <c r="H459" s="96"/>
      <c r="I459" s="96"/>
      <c r="J459" s="96"/>
      <c r="K459" s="96"/>
    </row>
    <row r="460" ht="43.45" customHeight="1">
      <c r="A460" s="95"/>
      <c r="B460" s="95"/>
      <c r="C460" s="96"/>
      <c r="D460" s="96"/>
      <c r="E460" s="96"/>
      <c r="F460" s="96"/>
      <c r="G460" s="96"/>
      <c r="H460" s="96"/>
      <c r="I460" s="96"/>
      <c r="J460" s="96"/>
      <c r="K460" s="96"/>
    </row>
    <row r="461" ht="43.45" customHeight="1">
      <c r="A461" s="95"/>
      <c r="B461" s="95"/>
      <c r="C461" s="96"/>
      <c r="D461" s="96"/>
      <c r="E461" s="96"/>
      <c r="F461" s="96"/>
      <c r="G461" s="96"/>
      <c r="H461" s="96"/>
      <c r="I461" s="96"/>
      <c r="J461" s="96"/>
      <c r="K461" s="96"/>
    </row>
    <row r="462" ht="43.45" customHeight="1">
      <c r="A462" s="95"/>
      <c r="B462" s="95"/>
      <c r="C462" s="96"/>
      <c r="D462" s="96"/>
      <c r="E462" s="96"/>
      <c r="F462" s="96"/>
      <c r="G462" s="96"/>
      <c r="H462" s="96"/>
      <c r="I462" s="96"/>
      <c r="J462" s="96"/>
      <c r="K462" s="96"/>
    </row>
    <row r="463" ht="43.45" customHeight="1">
      <c r="A463" s="95"/>
      <c r="B463" s="95"/>
      <c r="C463" s="96"/>
      <c r="D463" s="96"/>
      <c r="E463" s="96"/>
      <c r="F463" s="96"/>
      <c r="G463" s="96"/>
      <c r="H463" s="96"/>
      <c r="I463" s="96"/>
      <c r="J463" s="96"/>
      <c r="K463" s="96"/>
    </row>
    <row r="464" ht="43.45" customHeight="1">
      <c r="A464" s="95"/>
      <c r="B464" s="95"/>
      <c r="C464" s="96"/>
      <c r="D464" s="96"/>
      <c r="E464" s="96"/>
      <c r="F464" s="96"/>
      <c r="G464" s="96"/>
      <c r="H464" s="96"/>
      <c r="I464" s="96"/>
      <c r="J464" s="96"/>
      <c r="K464" s="96"/>
    </row>
    <row r="465" ht="43.45" customHeight="1">
      <c r="A465" s="95"/>
      <c r="B465" s="95"/>
      <c r="C465" s="96"/>
      <c r="D465" s="96"/>
      <c r="E465" s="96"/>
      <c r="F465" s="96"/>
      <c r="G465" s="96"/>
      <c r="H465" s="96"/>
      <c r="I465" s="96"/>
      <c r="J465" s="96"/>
      <c r="K465" s="96"/>
    </row>
    <row r="466" ht="43.45" customHeight="1">
      <c r="A466" s="95"/>
      <c r="B466" s="95"/>
      <c r="C466" s="96"/>
      <c r="D466" s="96"/>
      <c r="E466" s="96"/>
      <c r="F466" s="96"/>
      <c r="G466" s="96"/>
      <c r="H466" s="96"/>
      <c r="I466" s="96"/>
      <c r="J466" s="96"/>
      <c r="K466" s="96"/>
    </row>
    <row r="467" ht="43.45" customHeight="1">
      <c r="A467" s="95"/>
      <c r="B467" s="95"/>
      <c r="C467" s="96"/>
      <c r="D467" s="96"/>
      <c r="E467" s="96"/>
      <c r="F467" s="96"/>
      <c r="G467" s="96"/>
      <c r="H467" s="96"/>
      <c r="I467" s="96"/>
      <c r="J467" s="96"/>
      <c r="K467" s="96"/>
    </row>
    <row r="468" ht="43.45" customHeight="1">
      <c r="A468" s="95"/>
      <c r="B468" s="95"/>
      <c r="C468" s="96"/>
      <c r="D468" s="96"/>
      <c r="E468" s="96"/>
      <c r="F468" s="96"/>
      <c r="G468" s="96"/>
      <c r="H468" s="96"/>
      <c r="I468" s="96"/>
      <c r="J468" s="96"/>
      <c r="K468" s="96"/>
    </row>
    <row r="469" ht="43.45" customHeight="1">
      <c r="A469" s="95"/>
      <c r="B469" s="95"/>
      <c r="C469" s="96"/>
      <c r="D469" s="96"/>
      <c r="E469" s="96"/>
      <c r="F469" s="96"/>
      <c r="G469" s="96"/>
      <c r="H469" s="96"/>
      <c r="I469" s="96"/>
      <c r="J469" s="96"/>
      <c r="K469" s="96"/>
    </row>
    <row r="470" ht="43.45" customHeight="1">
      <c r="A470" s="95"/>
      <c r="B470" s="95"/>
      <c r="C470" s="96"/>
      <c r="D470" s="96"/>
      <c r="E470" s="96"/>
      <c r="F470" s="96"/>
      <c r="G470" s="96"/>
      <c r="H470" s="96"/>
      <c r="I470" s="96"/>
      <c r="J470" s="96"/>
      <c r="K470" s="96"/>
    </row>
    <row r="471" ht="43.45" customHeight="1">
      <c r="A471" s="95"/>
      <c r="B471" s="95"/>
      <c r="C471" s="96"/>
      <c r="D471" s="96"/>
      <c r="E471" s="96"/>
      <c r="F471" s="96"/>
      <c r="G471" s="96"/>
      <c r="H471" s="96"/>
      <c r="I471" s="96"/>
      <c r="J471" s="96"/>
      <c r="K471" s="96"/>
    </row>
    <row r="472" ht="43.45" customHeight="1">
      <c r="A472" s="95"/>
      <c r="B472" s="95"/>
      <c r="C472" s="96"/>
      <c r="D472" s="96"/>
      <c r="E472" s="96"/>
      <c r="F472" s="96"/>
      <c r="G472" s="96"/>
      <c r="H472" s="96"/>
      <c r="I472" s="96"/>
      <c r="J472" s="96"/>
      <c r="K472" s="96"/>
    </row>
    <row r="473" ht="43.45" customHeight="1">
      <c r="A473" s="95"/>
      <c r="B473" s="95"/>
      <c r="C473" s="96"/>
      <c r="D473" s="96"/>
      <c r="E473" s="96"/>
      <c r="F473" s="96"/>
      <c r="G473" s="96"/>
      <c r="H473" s="96"/>
      <c r="I473" s="96"/>
      <c r="J473" s="96"/>
      <c r="K473" s="96"/>
    </row>
    <row r="474" ht="43.45" customHeight="1">
      <c r="A474" s="95"/>
      <c r="B474" s="95"/>
      <c r="C474" s="96"/>
      <c r="D474" s="96"/>
      <c r="E474" s="96"/>
      <c r="F474" s="96"/>
      <c r="G474" s="96"/>
      <c r="H474" s="96"/>
      <c r="I474" s="96"/>
      <c r="J474" s="96"/>
      <c r="K474" s="96"/>
    </row>
    <row r="475" ht="43.45" customHeight="1">
      <c r="A475" s="95"/>
      <c r="B475" s="95"/>
      <c r="C475" s="96"/>
      <c r="D475" s="96"/>
      <c r="E475" s="96"/>
      <c r="F475" s="96"/>
      <c r="G475" s="96"/>
      <c r="H475" s="96"/>
      <c r="I475" s="96"/>
      <c r="J475" s="96"/>
      <c r="K475" s="96"/>
    </row>
    <row r="476" ht="43.45" customHeight="1">
      <c r="A476" s="95"/>
      <c r="B476" s="95"/>
      <c r="C476" s="96"/>
      <c r="D476" s="96"/>
      <c r="E476" s="96"/>
      <c r="F476" s="96"/>
      <c r="G476" s="96"/>
      <c r="H476" s="96"/>
      <c r="I476" s="96"/>
      <c r="J476" s="96"/>
      <c r="K476" s="96"/>
    </row>
    <row r="477" ht="43.45" customHeight="1">
      <c r="A477" s="95"/>
      <c r="B477" s="95"/>
      <c r="C477" s="96"/>
      <c r="D477" s="96"/>
      <c r="E477" s="96"/>
      <c r="F477" s="96"/>
      <c r="G477" s="96"/>
      <c r="H477" s="96"/>
      <c r="I477" s="96"/>
      <c r="J477" s="96"/>
      <c r="K477" s="96"/>
    </row>
    <row r="478" ht="43.45" customHeight="1">
      <c r="A478" s="95"/>
      <c r="B478" s="95"/>
      <c r="C478" s="96"/>
      <c r="D478" s="96"/>
      <c r="E478" s="96"/>
      <c r="F478" s="96"/>
      <c r="G478" s="96"/>
      <c r="H478" s="96"/>
      <c r="I478" s="96"/>
      <c r="J478" s="96"/>
      <c r="K478" s="96"/>
    </row>
    <row r="479" ht="43.45" customHeight="1">
      <c r="A479" s="95"/>
      <c r="B479" s="95"/>
      <c r="C479" s="96"/>
      <c r="D479" s="96"/>
      <c r="E479" s="96"/>
      <c r="F479" s="96"/>
      <c r="G479" s="96"/>
      <c r="H479" s="96"/>
      <c r="I479" s="96"/>
      <c r="J479" s="96"/>
      <c r="K479" s="96"/>
    </row>
    <row r="480" ht="43.45" customHeight="1">
      <c r="A480" s="95"/>
      <c r="B480" s="95"/>
      <c r="C480" s="96"/>
      <c r="D480" s="96"/>
      <c r="E480" s="96"/>
      <c r="F480" s="96"/>
      <c r="G480" s="96"/>
      <c r="H480" s="96"/>
      <c r="I480" s="96"/>
      <c r="J480" s="96"/>
      <c r="K480" s="96"/>
    </row>
    <row r="481" ht="43.45" customHeight="1">
      <c r="A481" s="95"/>
      <c r="B481" s="95"/>
      <c r="C481" s="96"/>
      <c r="D481" s="96"/>
      <c r="E481" s="96"/>
      <c r="F481" s="96"/>
      <c r="G481" s="96"/>
      <c r="H481" s="96"/>
      <c r="I481" s="96"/>
      <c r="J481" s="96"/>
      <c r="K481" s="96"/>
    </row>
    <row r="482" ht="43.45" customHeight="1">
      <c r="A482" s="95"/>
      <c r="B482" s="95"/>
      <c r="C482" s="96"/>
      <c r="D482" s="96"/>
      <c r="E482" s="96"/>
      <c r="F482" s="96"/>
      <c r="G482" s="96"/>
      <c r="H482" s="96"/>
      <c r="I482" s="96"/>
      <c r="J482" s="96"/>
      <c r="K482" s="96"/>
    </row>
    <row r="483" ht="43.45" customHeight="1">
      <c r="A483" s="95"/>
      <c r="B483" s="95"/>
      <c r="C483" s="96"/>
      <c r="D483" s="96"/>
      <c r="E483" s="96"/>
      <c r="F483" s="96"/>
      <c r="G483" s="96"/>
      <c r="H483" s="96"/>
      <c r="I483" s="96"/>
      <c r="J483" s="96"/>
      <c r="K483" s="96"/>
    </row>
    <row r="484" ht="43.45" customHeight="1">
      <c r="A484" s="95"/>
      <c r="B484" s="95"/>
      <c r="C484" s="96"/>
      <c r="D484" s="96"/>
      <c r="E484" s="96"/>
      <c r="F484" s="96"/>
      <c r="G484" s="96"/>
      <c r="H484" s="96"/>
      <c r="I484" s="96"/>
      <c r="J484" s="96"/>
      <c r="K484" s="96"/>
    </row>
    <row r="485" ht="43.45" customHeight="1">
      <c r="A485" s="95"/>
      <c r="B485" s="95"/>
      <c r="C485" s="96"/>
      <c r="D485" s="96"/>
      <c r="E485" s="96"/>
      <c r="F485" s="96"/>
      <c r="G485" s="96"/>
      <c r="H485" s="96"/>
      <c r="I485" s="96"/>
      <c r="J485" s="96"/>
      <c r="K485" s="96"/>
    </row>
    <row r="486" ht="43.45" customHeight="1">
      <c r="A486" s="95"/>
      <c r="B486" s="95"/>
      <c r="C486" s="96"/>
      <c r="D486" s="96"/>
      <c r="E486" s="96"/>
      <c r="F486" s="96"/>
      <c r="G486" s="96"/>
      <c r="H486" s="96"/>
      <c r="I486" s="96"/>
      <c r="J486" s="96"/>
      <c r="K486" s="96"/>
    </row>
    <row r="487" ht="43.45" customHeight="1">
      <c r="A487" s="95"/>
      <c r="B487" s="95"/>
      <c r="C487" s="96"/>
      <c r="D487" s="96"/>
      <c r="E487" s="96"/>
      <c r="F487" s="96"/>
      <c r="G487" s="96"/>
      <c r="H487" s="96"/>
      <c r="I487" s="96"/>
      <c r="J487" s="96"/>
      <c r="K487" s="96"/>
    </row>
    <row r="488" ht="43.45" customHeight="1">
      <c r="A488" s="95"/>
      <c r="B488" s="95"/>
      <c r="C488" s="96"/>
      <c r="D488" s="96"/>
      <c r="E488" s="96"/>
      <c r="F488" s="96"/>
      <c r="G488" s="96"/>
      <c r="H488" s="96"/>
      <c r="I488" s="96"/>
      <c r="J488" s="96"/>
      <c r="K488" s="96"/>
    </row>
    <row r="489" ht="43.45" customHeight="1">
      <c r="A489" s="95"/>
      <c r="B489" s="95"/>
      <c r="C489" s="96"/>
      <c r="D489" s="96"/>
      <c r="E489" s="96"/>
      <c r="F489" s="96"/>
      <c r="G489" s="96"/>
      <c r="H489" s="96"/>
      <c r="I489" s="96"/>
      <c r="J489" s="96"/>
      <c r="K489" s="96"/>
    </row>
    <row r="490" ht="43.45" customHeight="1">
      <c r="A490" s="95"/>
      <c r="B490" s="95"/>
      <c r="C490" s="96"/>
      <c r="D490" s="96"/>
      <c r="E490" s="96"/>
      <c r="F490" s="96"/>
      <c r="G490" s="96"/>
      <c r="H490" s="96"/>
      <c r="I490" s="96"/>
      <c r="J490" s="96"/>
      <c r="K490" s="96"/>
    </row>
    <row r="491" ht="43.45" customHeight="1">
      <c r="A491" s="95"/>
      <c r="B491" s="95"/>
      <c r="C491" s="96"/>
      <c r="D491" s="96"/>
      <c r="E491" s="96"/>
      <c r="F491" s="96"/>
      <c r="G491" s="96"/>
      <c r="H491" s="96"/>
      <c r="I491" s="96"/>
      <c r="J491" s="96"/>
      <c r="K491" s="96"/>
    </row>
    <row r="492" ht="43.45" customHeight="1">
      <c r="A492" s="95"/>
      <c r="B492" s="95"/>
      <c r="C492" s="96"/>
      <c r="D492" s="96"/>
      <c r="E492" s="96"/>
      <c r="F492" s="96"/>
      <c r="G492" s="96"/>
      <c r="H492" s="96"/>
      <c r="I492" s="96"/>
      <c r="J492" s="96"/>
      <c r="K492" s="96"/>
    </row>
    <row r="493" ht="43.45" customHeight="1">
      <c r="A493" s="95"/>
      <c r="B493" s="95"/>
      <c r="C493" s="96"/>
      <c r="D493" s="96"/>
      <c r="E493" s="96"/>
      <c r="F493" s="96"/>
      <c r="G493" s="96"/>
      <c r="H493" s="96"/>
      <c r="I493" s="96"/>
      <c r="J493" s="96"/>
      <c r="K493" s="96"/>
    </row>
    <row r="494" ht="43.45" customHeight="1">
      <c r="A494" s="95"/>
      <c r="B494" s="95"/>
      <c r="C494" s="96"/>
      <c r="D494" s="96"/>
      <c r="E494" s="96"/>
      <c r="F494" s="96"/>
      <c r="G494" s="96"/>
      <c r="H494" s="96"/>
      <c r="I494" s="96"/>
      <c r="J494" s="96"/>
      <c r="K494" s="96"/>
    </row>
    <row r="495" ht="43.45" customHeight="1">
      <c r="A495" s="95"/>
      <c r="B495" s="95"/>
      <c r="C495" s="96"/>
      <c r="D495" s="96"/>
      <c r="E495" s="96"/>
      <c r="F495" s="96"/>
      <c r="G495" s="96"/>
      <c r="H495" s="96"/>
      <c r="I495" s="96"/>
      <c r="J495" s="96"/>
      <c r="K495" s="96"/>
    </row>
    <row r="496" ht="43.45" customHeight="1">
      <c r="A496" s="95"/>
      <c r="B496" s="95"/>
      <c r="C496" s="96"/>
      <c r="D496" s="96"/>
      <c r="E496" s="96"/>
      <c r="F496" s="96"/>
      <c r="G496" s="96"/>
      <c r="H496" s="96"/>
      <c r="I496" s="96"/>
      <c r="J496" s="96"/>
      <c r="K496" s="96"/>
    </row>
    <row r="497" ht="43.45" customHeight="1">
      <c r="A497" s="95"/>
      <c r="B497" s="95"/>
      <c r="C497" s="96"/>
      <c r="D497" s="96"/>
      <c r="E497" s="96"/>
      <c r="F497" s="96"/>
      <c r="G497" s="96"/>
      <c r="H497" s="96"/>
      <c r="I497" s="96"/>
      <c r="J497" s="96"/>
      <c r="K497" s="96"/>
    </row>
    <row r="498" ht="43.45" customHeight="1">
      <c r="A498" s="95"/>
      <c r="B498" s="95"/>
      <c r="C498" s="96"/>
      <c r="D498" s="96"/>
      <c r="E498" s="96"/>
      <c r="F498" s="96"/>
      <c r="G498" s="96"/>
      <c r="H498" s="96"/>
      <c r="I498" s="96"/>
      <c r="J498" s="96"/>
      <c r="K498" s="96"/>
    </row>
    <row r="499" ht="43.45" customHeight="1">
      <c r="A499" s="95"/>
      <c r="B499" s="95"/>
      <c r="C499" s="96"/>
      <c r="D499" s="96"/>
      <c r="E499" s="96"/>
      <c r="F499" s="96"/>
      <c r="G499" s="96"/>
      <c r="H499" s="96"/>
      <c r="I499" s="96"/>
      <c r="J499" s="96"/>
      <c r="K499" s="96"/>
    </row>
    <row r="500" ht="43.45" customHeight="1">
      <c r="A500" s="95"/>
      <c r="B500" s="95"/>
      <c r="C500" s="96"/>
      <c r="D500" s="96"/>
      <c r="E500" s="96"/>
      <c r="F500" s="96"/>
      <c r="G500" s="96"/>
      <c r="H500" s="96"/>
      <c r="I500" s="96"/>
      <c r="J500" s="96"/>
      <c r="K500" s="96"/>
    </row>
    <row r="501" ht="43.45" customHeight="1">
      <c r="A501" s="95"/>
      <c r="B501" s="95"/>
      <c r="C501" s="96"/>
      <c r="D501" s="96"/>
      <c r="E501" s="96"/>
      <c r="F501" s="96"/>
      <c r="G501" s="96"/>
      <c r="H501" s="96"/>
      <c r="I501" s="96"/>
      <c r="J501" s="96"/>
      <c r="K501" s="96"/>
    </row>
    <row r="502" ht="43.45" customHeight="1">
      <c r="A502" s="95"/>
      <c r="B502" s="95"/>
      <c r="C502" s="96"/>
      <c r="D502" s="96"/>
      <c r="E502" s="96"/>
      <c r="F502" s="96"/>
      <c r="G502" s="96"/>
      <c r="H502" s="96"/>
      <c r="I502" s="96"/>
      <c r="J502" s="96"/>
      <c r="K502" s="96"/>
    </row>
    <row r="503" ht="43.45" customHeight="1">
      <c r="A503" s="95"/>
      <c r="B503" s="95"/>
      <c r="C503" s="96"/>
      <c r="D503" s="96"/>
      <c r="E503" s="96"/>
      <c r="F503" s="96"/>
      <c r="G503" s="96"/>
      <c r="H503" s="96"/>
      <c r="I503" s="96"/>
      <c r="J503" s="96"/>
      <c r="K503" s="96"/>
    </row>
    <row r="504" ht="43.45" customHeight="1">
      <c r="A504" s="95"/>
      <c r="B504" s="95"/>
      <c r="C504" s="96"/>
      <c r="D504" s="96"/>
      <c r="E504" s="96"/>
      <c r="F504" s="96"/>
      <c r="G504" s="96"/>
      <c r="H504" s="96"/>
      <c r="I504" s="96"/>
      <c r="J504" s="96"/>
      <c r="K504" s="96"/>
    </row>
    <row r="505" ht="43.45" customHeight="1">
      <c r="A505" s="95"/>
      <c r="B505" s="95"/>
      <c r="C505" s="96"/>
      <c r="D505" s="96"/>
      <c r="E505" s="96"/>
      <c r="F505" s="96"/>
      <c r="G505" s="96"/>
      <c r="H505" s="96"/>
      <c r="I505" s="96"/>
      <c r="J505" s="96"/>
      <c r="K505" s="96"/>
    </row>
    <row r="506" ht="43.45" customHeight="1">
      <c r="A506" s="95"/>
      <c r="B506" s="95"/>
      <c r="C506" s="96"/>
      <c r="D506" s="96"/>
      <c r="E506" s="96"/>
      <c r="F506" s="96"/>
      <c r="G506" s="96"/>
      <c r="H506" s="96"/>
      <c r="I506" s="96"/>
      <c r="J506" s="96"/>
      <c r="K506" s="96"/>
    </row>
    <row r="507" ht="43.45" customHeight="1">
      <c r="A507" s="95"/>
      <c r="B507" s="95"/>
      <c r="C507" s="96"/>
      <c r="D507" s="96"/>
      <c r="E507" s="96"/>
      <c r="F507" s="96"/>
      <c r="G507" s="96"/>
      <c r="H507" s="96"/>
      <c r="I507" s="96"/>
      <c r="J507" s="96"/>
      <c r="K507" s="96"/>
    </row>
    <row r="508" ht="43.45" customHeight="1">
      <c r="A508" s="95"/>
      <c r="B508" s="95"/>
      <c r="C508" s="96"/>
      <c r="D508" s="96"/>
      <c r="E508" s="96"/>
      <c r="F508" s="96"/>
      <c r="G508" s="96"/>
      <c r="H508" s="96"/>
      <c r="I508" s="96"/>
      <c r="J508" s="96"/>
      <c r="K508" s="96"/>
    </row>
    <row r="509" ht="43.45" customHeight="1">
      <c r="A509" s="95"/>
      <c r="B509" s="95"/>
      <c r="C509" s="96"/>
      <c r="D509" s="96"/>
      <c r="E509" s="96"/>
      <c r="F509" s="96"/>
      <c r="G509" s="96"/>
      <c r="H509" s="96"/>
      <c r="I509" s="96"/>
      <c r="J509" s="96"/>
      <c r="K509" s="96"/>
    </row>
    <row r="510" ht="43.45" customHeight="1">
      <c r="A510" s="95"/>
      <c r="B510" s="95"/>
      <c r="C510" s="96"/>
      <c r="D510" s="96"/>
      <c r="E510" s="96"/>
      <c r="F510" s="96"/>
      <c r="G510" s="96"/>
      <c r="H510" s="96"/>
      <c r="I510" s="96"/>
      <c r="J510" s="96"/>
      <c r="K510" s="96"/>
    </row>
    <row r="511" ht="43.45" customHeight="1">
      <c r="A511" s="95"/>
      <c r="B511" s="95"/>
      <c r="C511" s="96"/>
      <c r="D511" s="96"/>
      <c r="E511" s="96"/>
      <c r="F511" s="96"/>
      <c r="G511" s="96"/>
      <c r="H511" s="96"/>
      <c r="I511" s="96"/>
      <c r="J511" s="96"/>
      <c r="K511" s="96"/>
    </row>
    <row r="512" ht="43.45" customHeight="1">
      <c r="A512" s="95"/>
      <c r="B512" s="95"/>
      <c r="C512" s="96"/>
      <c r="D512" s="96"/>
      <c r="E512" s="96"/>
      <c r="F512" s="96"/>
      <c r="G512" s="96"/>
      <c r="H512" s="96"/>
      <c r="I512" s="96"/>
      <c r="J512" s="96"/>
      <c r="K512" s="96"/>
    </row>
    <row r="513" ht="43.45" customHeight="1">
      <c r="A513" s="95"/>
      <c r="B513" s="95"/>
      <c r="C513" s="96"/>
      <c r="D513" s="96"/>
      <c r="E513" s="96"/>
      <c r="F513" s="96"/>
      <c r="G513" s="96"/>
      <c r="H513" s="96"/>
      <c r="I513" s="96"/>
      <c r="J513" s="96"/>
      <c r="K513" s="96"/>
    </row>
    <row r="514" ht="43.45" customHeight="1">
      <c r="A514" s="95"/>
      <c r="B514" s="95"/>
      <c r="C514" s="96"/>
      <c r="D514" s="96"/>
      <c r="E514" s="96"/>
      <c r="F514" s="96"/>
      <c r="G514" s="96"/>
      <c r="H514" s="96"/>
      <c r="I514" s="96"/>
      <c r="J514" s="96"/>
      <c r="K514" s="96"/>
    </row>
    <row r="515" ht="43.45" customHeight="1">
      <c r="A515" s="95"/>
      <c r="B515" s="95"/>
      <c r="C515" s="96"/>
      <c r="D515" s="96"/>
      <c r="E515" s="96"/>
      <c r="F515" s="96"/>
      <c r="G515" s="96"/>
      <c r="H515" s="96"/>
      <c r="I515" s="96"/>
      <c r="J515" s="96"/>
      <c r="K515" s="96"/>
    </row>
    <row r="516" ht="43.45" customHeight="1">
      <c r="A516" s="95"/>
      <c r="B516" s="95"/>
      <c r="C516" s="96"/>
      <c r="D516" s="96"/>
      <c r="E516" s="96"/>
      <c r="F516" s="96"/>
      <c r="G516" s="96"/>
      <c r="H516" s="96"/>
      <c r="I516" s="96"/>
      <c r="J516" s="96"/>
      <c r="K516" s="96"/>
    </row>
    <row r="517" ht="43.45" customHeight="1">
      <c r="A517" s="95"/>
      <c r="B517" s="95"/>
      <c r="C517" s="96"/>
      <c r="D517" s="96"/>
      <c r="E517" s="96"/>
      <c r="F517" s="96"/>
      <c r="G517" s="96"/>
      <c r="H517" s="96"/>
      <c r="I517" s="96"/>
      <c r="J517" s="96"/>
      <c r="K517" s="96"/>
    </row>
    <row r="518" ht="43.45" customHeight="1">
      <c r="A518" s="95"/>
      <c r="B518" s="95"/>
      <c r="C518" s="96"/>
      <c r="D518" s="96"/>
      <c r="E518" s="96"/>
      <c r="F518" s="96"/>
      <c r="G518" s="96"/>
      <c r="H518" s="96"/>
      <c r="I518" s="96"/>
      <c r="J518" s="96"/>
      <c r="K518" s="96"/>
    </row>
    <row r="519" ht="43.45" customHeight="1">
      <c r="A519" s="95"/>
      <c r="B519" s="95"/>
      <c r="C519" s="96"/>
      <c r="D519" s="96"/>
      <c r="E519" s="96"/>
      <c r="F519" s="96"/>
      <c r="G519" s="96"/>
      <c r="H519" s="96"/>
      <c r="I519" s="96"/>
      <c r="J519" s="96"/>
      <c r="K519" s="96"/>
    </row>
    <row r="520" ht="43.45" customHeight="1">
      <c r="A520" s="95"/>
      <c r="B520" s="95"/>
      <c r="C520" s="96"/>
      <c r="D520" s="96"/>
      <c r="E520" s="96"/>
      <c r="F520" s="96"/>
      <c r="G520" s="96"/>
      <c r="H520" s="96"/>
      <c r="I520" s="96"/>
      <c r="J520" s="96"/>
      <c r="K520" s="96"/>
    </row>
    <row r="521" ht="43.45" customHeight="1">
      <c r="A521" s="95"/>
      <c r="B521" s="95"/>
      <c r="C521" s="96"/>
      <c r="D521" s="96"/>
      <c r="E521" s="96"/>
      <c r="F521" s="96"/>
      <c r="G521" s="96"/>
      <c r="H521" s="96"/>
      <c r="I521" s="96"/>
      <c r="J521" s="96"/>
      <c r="K521" s="96"/>
    </row>
    <row r="522" ht="43.45" customHeight="1">
      <c r="A522" s="95"/>
      <c r="B522" s="95"/>
      <c r="C522" s="96"/>
      <c r="D522" s="96"/>
      <c r="E522" s="96"/>
      <c r="F522" s="96"/>
      <c r="G522" s="96"/>
      <c r="H522" s="96"/>
      <c r="I522" s="96"/>
      <c r="J522" s="96"/>
      <c r="K522" s="96"/>
    </row>
    <row r="523" ht="43.45" customHeight="1">
      <c r="A523" s="95"/>
      <c r="B523" s="95"/>
      <c r="C523" s="96"/>
      <c r="D523" s="96"/>
      <c r="E523" s="96"/>
      <c r="F523" s="96"/>
      <c r="G523" s="96"/>
      <c r="H523" s="96"/>
      <c r="I523" s="96"/>
      <c r="J523" s="96"/>
      <c r="K523" s="96"/>
    </row>
    <row r="524" ht="43.45" customHeight="1">
      <c r="A524" s="95"/>
      <c r="B524" s="95"/>
      <c r="C524" s="96"/>
      <c r="D524" s="96"/>
      <c r="E524" s="96"/>
      <c r="F524" s="96"/>
      <c r="G524" s="96"/>
      <c r="H524" s="96"/>
      <c r="I524" s="96"/>
      <c r="J524" s="96"/>
      <c r="K524" s="96"/>
    </row>
    <row r="525" ht="43.45" customHeight="1">
      <c r="A525" s="95"/>
      <c r="B525" s="95"/>
      <c r="C525" s="96"/>
      <c r="D525" s="96"/>
      <c r="E525" s="96"/>
      <c r="F525" s="96"/>
      <c r="G525" s="96"/>
      <c r="H525" s="96"/>
      <c r="I525" s="96"/>
      <c r="J525" s="96"/>
      <c r="K525" s="96"/>
    </row>
    <row r="526" ht="43.45" customHeight="1">
      <c r="A526" s="95"/>
      <c r="B526" s="95"/>
      <c r="C526" s="96"/>
      <c r="D526" s="96"/>
      <c r="E526" s="96"/>
      <c r="F526" s="96"/>
      <c r="G526" s="96"/>
      <c r="H526" s="96"/>
      <c r="I526" s="96"/>
      <c r="J526" s="96"/>
      <c r="K526" s="96"/>
    </row>
    <row r="527" ht="43.45" customHeight="1">
      <c r="A527" s="95"/>
      <c r="B527" s="95"/>
      <c r="C527" s="96"/>
      <c r="D527" s="96"/>
      <c r="E527" s="96"/>
      <c r="F527" s="96"/>
      <c r="G527" s="96"/>
      <c r="H527" s="96"/>
      <c r="I527" s="96"/>
      <c r="J527" s="96"/>
      <c r="K527" s="96"/>
    </row>
    <row r="528" ht="43.45" customHeight="1">
      <c r="A528" s="95"/>
      <c r="B528" s="95"/>
      <c r="C528" s="96"/>
      <c r="D528" s="96"/>
      <c r="E528" s="96"/>
      <c r="F528" s="96"/>
      <c r="G528" s="96"/>
      <c r="H528" s="96"/>
      <c r="I528" s="96"/>
      <c r="J528" s="96"/>
      <c r="K528" s="96"/>
    </row>
    <row r="529" ht="43.45" customHeight="1">
      <c r="A529" s="95"/>
      <c r="B529" s="95"/>
      <c r="C529" s="96"/>
      <c r="D529" s="96"/>
      <c r="E529" s="96"/>
      <c r="F529" s="96"/>
      <c r="G529" s="96"/>
      <c r="H529" s="96"/>
      <c r="I529" s="96"/>
      <c r="J529" s="96"/>
      <c r="K529" s="96"/>
    </row>
    <row r="530" ht="43.45" customHeight="1">
      <c r="A530" s="95"/>
      <c r="B530" s="95"/>
      <c r="C530" s="96"/>
      <c r="D530" s="96"/>
      <c r="E530" s="96"/>
      <c r="F530" s="96"/>
      <c r="G530" s="96"/>
      <c r="H530" s="96"/>
      <c r="I530" s="96"/>
      <c r="J530" s="96"/>
      <c r="K530" s="96"/>
    </row>
    <row r="531" ht="43.45" customHeight="1">
      <c r="A531" s="95"/>
      <c r="B531" s="95"/>
      <c r="C531" s="96"/>
      <c r="D531" s="96"/>
      <c r="E531" s="96"/>
      <c r="F531" s="96"/>
      <c r="G531" s="96"/>
      <c r="H531" s="96"/>
      <c r="I531" s="96"/>
      <c r="J531" s="96"/>
      <c r="K531" s="96"/>
    </row>
    <row r="532" ht="43.45" customHeight="1">
      <c r="A532" s="95"/>
      <c r="B532" s="95"/>
      <c r="C532" s="96"/>
      <c r="D532" s="96"/>
      <c r="E532" s="96"/>
      <c r="F532" s="96"/>
      <c r="G532" s="96"/>
      <c r="H532" s="96"/>
      <c r="I532" s="96"/>
      <c r="J532" s="96"/>
      <c r="K532" s="96"/>
    </row>
    <row r="533" ht="43.45" customHeight="1">
      <c r="A533" s="95"/>
      <c r="B533" s="95"/>
      <c r="C533" s="96"/>
      <c r="D533" s="96"/>
      <c r="E533" s="96"/>
      <c r="F533" s="96"/>
      <c r="G533" s="96"/>
      <c r="H533" s="96"/>
      <c r="I533" s="96"/>
      <c r="J533" s="96"/>
      <c r="K533" s="96"/>
    </row>
    <row r="534" ht="43.45" customHeight="1">
      <c r="A534" s="95"/>
      <c r="B534" s="95"/>
      <c r="C534" s="96"/>
      <c r="D534" s="96"/>
      <c r="E534" s="96"/>
      <c r="F534" s="96"/>
      <c r="G534" s="96"/>
      <c r="H534" s="96"/>
      <c r="I534" s="96"/>
      <c r="J534" s="96"/>
      <c r="K534" s="96"/>
    </row>
    <row r="535" ht="43.45" customHeight="1">
      <c r="A535" s="95"/>
      <c r="B535" s="95"/>
      <c r="C535" s="96"/>
      <c r="D535" s="96"/>
      <c r="E535" s="96"/>
      <c r="F535" s="96"/>
      <c r="G535" s="96"/>
      <c r="H535" s="96"/>
      <c r="I535" s="96"/>
      <c r="J535" s="96"/>
      <c r="K535" s="96"/>
    </row>
    <row r="536" ht="43.45" customHeight="1">
      <c r="A536" s="95"/>
      <c r="B536" s="95"/>
      <c r="C536" s="96"/>
      <c r="D536" s="96"/>
      <c r="E536" s="96"/>
      <c r="F536" s="96"/>
      <c r="G536" s="96"/>
      <c r="H536" s="96"/>
      <c r="I536" s="96"/>
      <c r="J536" s="96"/>
      <c r="K536" s="96"/>
    </row>
    <row r="537" ht="43.45" customHeight="1">
      <c r="A537" s="95"/>
      <c r="B537" s="95"/>
      <c r="C537" s="96"/>
      <c r="D537" s="96"/>
      <c r="E537" s="96"/>
      <c r="F537" s="96"/>
      <c r="G537" s="96"/>
      <c r="H537" s="96"/>
      <c r="I537" s="96"/>
      <c r="J537" s="96"/>
      <c r="K537" s="96"/>
    </row>
    <row r="538" ht="43.45" customHeight="1">
      <c r="A538" s="95"/>
      <c r="B538" s="95"/>
      <c r="C538" s="96"/>
      <c r="D538" s="96"/>
      <c r="E538" s="96"/>
      <c r="F538" s="96"/>
      <c r="G538" s="96"/>
      <c r="H538" s="96"/>
      <c r="I538" s="96"/>
      <c r="J538" s="96"/>
      <c r="K538" s="96"/>
    </row>
    <row r="539" ht="43.45" customHeight="1">
      <c r="A539" s="95"/>
      <c r="B539" s="95"/>
      <c r="C539" s="96"/>
      <c r="D539" s="96"/>
      <c r="E539" s="96"/>
      <c r="F539" s="96"/>
      <c r="G539" s="96"/>
      <c r="H539" s="96"/>
      <c r="I539" s="96"/>
      <c r="J539" s="96"/>
      <c r="K539" s="96"/>
    </row>
    <row r="540" ht="43.45" customHeight="1">
      <c r="A540" s="95"/>
      <c r="B540" s="95"/>
      <c r="C540" s="96"/>
      <c r="D540" s="96"/>
      <c r="E540" s="96"/>
      <c r="F540" s="96"/>
      <c r="G540" s="96"/>
      <c r="H540" s="96"/>
      <c r="I540" s="96"/>
      <c r="J540" s="96"/>
      <c r="K540" s="96"/>
    </row>
    <row r="541" ht="43.45" customHeight="1">
      <c r="A541" s="95"/>
      <c r="B541" s="95"/>
      <c r="C541" s="96"/>
      <c r="D541" s="96"/>
      <c r="E541" s="96"/>
      <c r="F541" s="96"/>
      <c r="G541" s="96"/>
      <c r="H541" s="96"/>
      <c r="I541" s="96"/>
      <c r="J541" s="96"/>
      <c r="K541" s="96"/>
    </row>
    <row r="542" ht="43.45" customHeight="1">
      <c r="A542" s="95"/>
      <c r="B542" s="95"/>
      <c r="C542" s="96"/>
      <c r="D542" s="96"/>
      <c r="E542" s="96"/>
      <c r="F542" s="96"/>
      <c r="G542" s="96"/>
      <c r="H542" s="96"/>
      <c r="I542" s="96"/>
      <c r="J542" s="96"/>
      <c r="K542" s="96"/>
    </row>
    <row r="543" ht="43.45" customHeight="1">
      <c r="A543" s="95"/>
      <c r="B543" s="95"/>
      <c r="C543" s="96"/>
      <c r="D543" s="96"/>
      <c r="E543" s="96"/>
      <c r="F543" s="96"/>
      <c r="G543" s="96"/>
      <c r="H543" s="96"/>
      <c r="I543" s="96"/>
      <c r="J543" s="96"/>
      <c r="K543" s="96"/>
    </row>
    <row r="544" ht="43.45" customHeight="1">
      <c r="A544" s="95"/>
      <c r="B544" s="95"/>
      <c r="C544" s="96"/>
      <c r="D544" s="96"/>
      <c r="E544" s="96"/>
      <c r="F544" s="96"/>
      <c r="G544" s="96"/>
      <c r="H544" s="96"/>
      <c r="I544" s="96"/>
      <c r="J544" s="96"/>
      <c r="K544" s="96"/>
    </row>
    <row r="545" ht="43.45" customHeight="1">
      <c r="A545" s="95"/>
      <c r="B545" s="95"/>
      <c r="C545" s="96"/>
      <c r="D545" s="96"/>
      <c r="E545" s="96"/>
      <c r="F545" s="96"/>
      <c r="G545" s="96"/>
      <c r="H545" s="96"/>
      <c r="I545" s="96"/>
      <c r="J545" s="96"/>
      <c r="K545" s="96"/>
    </row>
    <row r="546" ht="43.45" customHeight="1">
      <c r="A546" s="95"/>
      <c r="B546" s="95"/>
      <c r="C546" s="96"/>
      <c r="D546" s="96"/>
      <c r="E546" s="96"/>
      <c r="F546" s="96"/>
      <c r="G546" s="96"/>
      <c r="H546" s="96"/>
      <c r="I546" s="96"/>
      <c r="J546" s="96"/>
      <c r="K546" s="96"/>
    </row>
    <row r="547" ht="43.45" customHeight="1">
      <c r="A547" s="95"/>
      <c r="B547" s="95"/>
      <c r="C547" s="96"/>
      <c r="D547" s="96"/>
      <c r="E547" s="96"/>
      <c r="F547" s="96"/>
      <c r="G547" s="96"/>
      <c r="H547" s="96"/>
      <c r="I547" s="96"/>
      <c r="J547" s="96"/>
      <c r="K547" s="96"/>
    </row>
    <row r="548" ht="43.45" customHeight="1">
      <c r="A548" s="95"/>
      <c r="B548" s="95"/>
      <c r="C548" s="96"/>
      <c r="D548" s="96"/>
      <c r="E548" s="96"/>
      <c r="F548" s="96"/>
      <c r="G548" s="96"/>
      <c r="H548" s="96"/>
      <c r="I548" s="96"/>
      <c r="J548" s="96"/>
      <c r="K548" s="96"/>
    </row>
    <row r="549" ht="43.45" customHeight="1">
      <c r="A549" s="95"/>
      <c r="B549" s="95"/>
      <c r="C549" s="96"/>
      <c r="D549" s="96"/>
      <c r="E549" s="96"/>
      <c r="F549" s="96"/>
      <c r="G549" s="96"/>
      <c r="H549" s="96"/>
      <c r="I549" s="96"/>
      <c r="J549" s="96"/>
      <c r="K549" s="96"/>
    </row>
    <row r="550" ht="43.45" customHeight="1">
      <c r="A550" s="95"/>
      <c r="B550" s="95"/>
      <c r="C550" s="96"/>
      <c r="D550" s="96"/>
      <c r="E550" s="96"/>
      <c r="F550" s="96"/>
      <c r="G550" s="96"/>
      <c r="H550" s="96"/>
      <c r="I550" s="96"/>
      <c r="J550" s="96"/>
      <c r="K550" s="96"/>
    </row>
    <row r="551" ht="43.45" customHeight="1">
      <c r="A551" s="95"/>
      <c r="B551" s="95"/>
      <c r="C551" s="96"/>
      <c r="D551" s="96"/>
      <c r="E551" s="96"/>
      <c r="F551" s="96"/>
      <c r="G551" s="96"/>
      <c r="H551" s="96"/>
      <c r="I551" s="96"/>
      <c r="J551" s="96"/>
      <c r="K551" s="96"/>
    </row>
    <row r="552" ht="43.45" customHeight="1">
      <c r="A552" s="95"/>
      <c r="B552" s="95"/>
      <c r="C552" s="96"/>
      <c r="D552" s="96"/>
      <c r="E552" s="96"/>
      <c r="F552" s="96"/>
      <c r="G552" s="96"/>
      <c r="H552" s="96"/>
      <c r="I552" s="96"/>
      <c r="J552" s="96"/>
      <c r="K552" s="96"/>
    </row>
    <row r="553" ht="43.45" customHeight="1">
      <c r="A553" s="95"/>
      <c r="B553" s="95"/>
      <c r="C553" s="96"/>
      <c r="D553" s="96"/>
      <c r="E553" s="96"/>
      <c r="F553" s="96"/>
      <c r="G553" s="96"/>
      <c r="H553" s="96"/>
      <c r="I553" s="96"/>
      <c r="J553" s="96"/>
      <c r="K553" s="96"/>
    </row>
    <row r="554" ht="43.45" customHeight="1">
      <c r="A554" s="95"/>
      <c r="B554" s="95"/>
      <c r="C554" s="96"/>
      <c r="D554" s="96"/>
      <c r="E554" s="96"/>
      <c r="F554" s="96"/>
      <c r="G554" s="96"/>
      <c r="H554" s="96"/>
      <c r="I554" s="96"/>
      <c r="J554" s="96"/>
      <c r="K554" s="96"/>
    </row>
    <row r="555" ht="43.45" customHeight="1">
      <c r="A555" s="95"/>
      <c r="B555" s="95"/>
      <c r="C555" s="96"/>
      <c r="D555" s="96"/>
      <c r="E555" s="96"/>
      <c r="F555" s="96"/>
      <c r="G555" s="96"/>
      <c r="H555" s="96"/>
      <c r="I555" s="96"/>
      <c r="J555" s="96"/>
      <c r="K555" s="96"/>
    </row>
    <row r="556" ht="43.45" customHeight="1">
      <c r="A556" s="95"/>
      <c r="B556" s="95"/>
      <c r="C556" s="96"/>
      <c r="D556" s="96"/>
      <c r="E556" s="96"/>
      <c r="F556" s="96"/>
      <c r="G556" s="96"/>
      <c r="H556" s="96"/>
      <c r="I556" s="96"/>
      <c r="J556" s="96"/>
      <c r="K556" s="96"/>
    </row>
    <row r="557" ht="43.45" customHeight="1">
      <c r="A557" s="95"/>
      <c r="B557" s="95"/>
      <c r="C557" s="96"/>
      <c r="D557" s="96"/>
      <c r="E557" s="96"/>
      <c r="F557" s="96"/>
      <c r="G557" s="96"/>
      <c r="H557" s="96"/>
      <c r="I557" s="96"/>
      <c r="J557" s="96"/>
      <c r="K557" s="96"/>
    </row>
    <row r="558" ht="43.45" customHeight="1">
      <c r="A558" s="95"/>
      <c r="B558" s="95"/>
      <c r="C558" s="96"/>
      <c r="D558" s="96"/>
      <c r="E558" s="96"/>
      <c r="F558" s="96"/>
      <c r="G558" s="96"/>
      <c r="H558" s="96"/>
      <c r="I558" s="96"/>
      <c r="J558" s="96"/>
      <c r="K558" s="96"/>
    </row>
    <row r="559" ht="43.45" customHeight="1">
      <c r="A559" s="95"/>
      <c r="B559" s="95"/>
      <c r="C559" s="96"/>
      <c r="D559" s="96"/>
      <c r="E559" s="96"/>
      <c r="F559" s="96"/>
      <c r="G559" s="96"/>
      <c r="H559" s="96"/>
      <c r="I559" s="96"/>
      <c r="J559" s="96"/>
      <c r="K559" s="96"/>
    </row>
    <row r="560" ht="43.45" customHeight="1">
      <c r="A560" s="95"/>
      <c r="B560" s="95"/>
      <c r="C560" s="96"/>
      <c r="D560" s="96"/>
      <c r="E560" s="96"/>
      <c r="F560" s="96"/>
      <c r="G560" s="96"/>
      <c r="H560" s="96"/>
      <c r="I560" s="96"/>
      <c r="J560" s="96"/>
      <c r="K560" s="96"/>
    </row>
    <row r="561" ht="43.45" customHeight="1">
      <c r="A561" s="95"/>
      <c r="B561" s="95"/>
      <c r="C561" s="96"/>
      <c r="D561" s="96"/>
      <c r="E561" s="96"/>
      <c r="F561" s="96"/>
      <c r="G561" s="96"/>
      <c r="H561" s="96"/>
      <c r="I561" s="96"/>
      <c r="J561" s="96"/>
      <c r="K561" s="96"/>
    </row>
    <row r="562" ht="43.45" customHeight="1">
      <c r="A562" s="95"/>
      <c r="B562" s="95"/>
      <c r="C562" s="96"/>
      <c r="D562" s="96"/>
      <c r="E562" s="96"/>
      <c r="F562" s="96"/>
      <c r="G562" s="96"/>
      <c r="H562" s="96"/>
      <c r="I562" s="96"/>
      <c r="J562" s="96"/>
      <c r="K562" s="96"/>
    </row>
    <row r="563" ht="43.45" customHeight="1">
      <c r="A563" s="95"/>
      <c r="B563" s="95"/>
      <c r="C563" s="96"/>
      <c r="D563" s="96"/>
      <c r="E563" s="96"/>
      <c r="F563" s="96"/>
      <c r="G563" s="96"/>
      <c r="H563" s="96"/>
      <c r="I563" s="96"/>
      <c r="J563" s="96"/>
      <c r="K563" s="96"/>
    </row>
    <row r="564" ht="43.45" customHeight="1">
      <c r="A564" s="95"/>
      <c r="B564" s="95"/>
      <c r="C564" s="96"/>
      <c r="D564" s="96"/>
      <c r="E564" s="96"/>
      <c r="F564" s="96"/>
      <c r="G564" s="96"/>
      <c r="H564" s="96"/>
      <c r="I564" s="96"/>
      <c r="J564" s="96"/>
      <c r="K564" s="96"/>
    </row>
    <row r="565" ht="43.45" customHeight="1">
      <c r="A565" s="95"/>
      <c r="B565" s="95"/>
      <c r="C565" s="96"/>
      <c r="D565" s="96"/>
      <c r="E565" s="96"/>
      <c r="F565" s="96"/>
      <c r="G565" s="96"/>
      <c r="H565" s="96"/>
      <c r="I565" s="96"/>
      <c r="J565" s="96"/>
      <c r="K565" s="96"/>
    </row>
    <row r="566" ht="43.45" customHeight="1">
      <c r="A566" s="95"/>
      <c r="B566" s="95"/>
      <c r="C566" s="96"/>
      <c r="D566" s="96"/>
      <c r="E566" s="96"/>
      <c r="F566" s="96"/>
      <c r="G566" s="96"/>
      <c r="H566" s="96"/>
      <c r="I566" s="96"/>
      <c r="J566" s="96"/>
      <c r="K566" s="96"/>
    </row>
    <row r="567" ht="43.45" customHeight="1">
      <c r="A567" s="95"/>
      <c r="B567" s="95"/>
      <c r="C567" s="96"/>
      <c r="D567" s="96"/>
      <c r="E567" s="96"/>
      <c r="F567" s="96"/>
      <c r="G567" s="96"/>
      <c r="H567" s="96"/>
      <c r="I567" s="96"/>
      <c r="J567" s="96"/>
      <c r="K567" s="96"/>
    </row>
    <row r="568" ht="43.45" customHeight="1">
      <c r="A568" s="95"/>
      <c r="B568" s="95"/>
      <c r="C568" s="96"/>
      <c r="D568" s="96"/>
      <c r="E568" s="96"/>
      <c r="F568" s="96"/>
      <c r="G568" s="96"/>
      <c r="H568" s="96"/>
      <c r="I568" s="96"/>
      <c r="J568" s="96"/>
      <c r="K568" s="96"/>
    </row>
    <row r="569" ht="43.45" customHeight="1">
      <c r="A569" s="95"/>
      <c r="B569" s="95"/>
      <c r="C569" s="96"/>
      <c r="D569" s="96"/>
      <c r="E569" s="96"/>
      <c r="F569" s="96"/>
      <c r="G569" s="96"/>
      <c r="H569" s="96"/>
      <c r="I569" s="96"/>
      <c r="J569" s="96"/>
      <c r="K569" s="96"/>
    </row>
    <row r="570" ht="43.45" customHeight="1">
      <c r="A570" s="95"/>
      <c r="B570" s="95"/>
      <c r="C570" s="96"/>
      <c r="D570" s="96"/>
      <c r="E570" s="96"/>
      <c r="F570" s="96"/>
      <c r="G570" s="96"/>
      <c r="H570" s="96"/>
      <c r="I570" s="96"/>
      <c r="J570" s="96"/>
      <c r="K570" s="96"/>
    </row>
    <row r="571" ht="43.45" customHeight="1">
      <c r="A571" s="95"/>
      <c r="B571" s="95"/>
      <c r="C571" s="96"/>
      <c r="D571" s="96"/>
      <c r="E571" s="96"/>
      <c r="F571" s="96"/>
      <c r="G571" s="96"/>
      <c r="H571" s="96"/>
      <c r="I571" s="96"/>
      <c r="J571" s="96"/>
      <c r="K571" s="96"/>
    </row>
    <row r="572" ht="43.45" customHeight="1">
      <c r="A572" s="95"/>
      <c r="B572" s="95"/>
      <c r="C572" s="96"/>
      <c r="D572" s="96"/>
      <c r="E572" s="96"/>
      <c r="F572" s="96"/>
      <c r="G572" s="96"/>
      <c r="H572" s="96"/>
      <c r="I572" s="96"/>
      <c r="J572" s="96"/>
      <c r="K572" s="96"/>
    </row>
    <row r="573" ht="43.45" customHeight="1">
      <c r="A573" s="95"/>
      <c r="B573" s="95"/>
      <c r="C573" s="96"/>
      <c r="D573" s="96"/>
      <c r="E573" s="96"/>
      <c r="F573" s="96"/>
      <c r="G573" s="96"/>
      <c r="H573" s="96"/>
      <c r="I573" s="96"/>
      <c r="J573" s="96"/>
      <c r="K573" s="96"/>
    </row>
    <row r="574" ht="43.45" customHeight="1">
      <c r="A574" s="95"/>
      <c r="B574" s="95"/>
      <c r="C574" s="96"/>
      <c r="D574" s="96"/>
      <c r="E574" s="96"/>
      <c r="F574" s="96"/>
      <c r="G574" s="96"/>
      <c r="H574" s="96"/>
      <c r="I574" s="96"/>
      <c r="J574" s="96"/>
      <c r="K574" s="96"/>
    </row>
    <row r="575" ht="43.45" customHeight="1">
      <c r="A575" s="95"/>
      <c r="B575" s="95"/>
      <c r="C575" s="96"/>
      <c r="D575" s="96"/>
      <c r="E575" s="96"/>
      <c r="F575" s="96"/>
      <c r="G575" s="96"/>
      <c r="H575" s="96"/>
      <c r="I575" s="96"/>
      <c r="J575" s="96"/>
      <c r="K575" s="96"/>
    </row>
    <row r="576" ht="43.45" customHeight="1">
      <c r="A576" s="95"/>
      <c r="B576" s="95"/>
      <c r="C576" s="96"/>
      <c r="D576" s="96"/>
      <c r="E576" s="96"/>
      <c r="F576" s="96"/>
      <c r="G576" s="96"/>
      <c r="H576" s="96"/>
      <c r="I576" s="96"/>
      <c r="J576" s="96"/>
      <c r="K576" s="96"/>
    </row>
    <row r="577" ht="43.45" customHeight="1">
      <c r="A577" s="95"/>
      <c r="B577" s="95"/>
      <c r="C577" s="96"/>
      <c r="D577" s="96"/>
      <c r="E577" s="96"/>
      <c r="F577" s="96"/>
      <c r="G577" s="96"/>
      <c r="H577" s="96"/>
      <c r="I577" s="96"/>
      <c r="J577" s="96"/>
      <c r="K577" s="96"/>
    </row>
    <row r="578" ht="43.45" customHeight="1">
      <c r="A578" s="95"/>
      <c r="B578" s="95"/>
      <c r="C578" s="96"/>
      <c r="D578" s="96"/>
      <c r="E578" s="96"/>
      <c r="F578" s="96"/>
      <c r="G578" s="96"/>
      <c r="H578" s="96"/>
      <c r="I578" s="96"/>
      <c r="J578" s="96"/>
      <c r="K578" s="96"/>
    </row>
    <row r="579" ht="43.45" customHeight="1">
      <c r="A579" s="95"/>
      <c r="B579" s="95"/>
      <c r="C579" s="96"/>
      <c r="D579" s="96"/>
      <c r="E579" s="96"/>
      <c r="F579" s="96"/>
      <c r="G579" s="96"/>
      <c r="H579" s="96"/>
      <c r="I579" s="96"/>
      <c r="J579" s="96"/>
      <c r="K579" s="96"/>
    </row>
    <row r="580" ht="43.45" customHeight="1">
      <c r="A580" s="95"/>
      <c r="B580" s="95"/>
      <c r="C580" s="96"/>
      <c r="D580" s="96"/>
      <c r="E580" s="96"/>
      <c r="F580" s="96"/>
      <c r="G580" s="96"/>
      <c r="H580" s="96"/>
      <c r="I580" s="96"/>
      <c r="J580" s="96"/>
      <c r="K580" s="96"/>
    </row>
    <row r="581" ht="43.45" customHeight="1">
      <c r="A581" s="95"/>
      <c r="B581" s="95"/>
      <c r="C581" s="96"/>
      <c r="D581" s="96"/>
      <c r="E581" s="96"/>
      <c r="F581" s="96"/>
      <c r="G581" s="96"/>
      <c r="H581" s="96"/>
      <c r="I581" s="96"/>
      <c r="J581" s="96"/>
      <c r="K581" s="96"/>
    </row>
    <row r="582" ht="43.45" customHeight="1">
      <c r="A582" s="95"/>
      <c r="B582" s="95"/>
      <c r="C582" s="96"/>
      <c r="D582" s="96"/>
      <c r="E582" s="96"/>
      <c r="F582" s="96"/>
      <c r="G582" s="96"/>
      <c r="H582" s="96"/>
      <c r="I582" s="96"/>
      <c r="J582" s="96"/>
      <c r="K582" s="96"/>
    </row>
    <row r="583" ht="43.45" customHeight="1">
      <c r="A583" s="95"/>
      <c r="B583" s="95"/>
      <c r="C583" s="96"/>
      <c r="D583" s="96"/>
      <c r="E583" s="96"/>
      <c r="F583" s="96"/>
      <c r="G583" s="96"/>
      <c r="H583" s="96"/>
      <c r="I583" s="96"/>
      <c r="J583" s="96"/>
      <c r="K583" s="96"/>
    </row>
    <row r="584" ht="43.45" customHeight="1">
      <c r="A584" s="95"/>
      <c r="B584" s="95"/>
      <c r="C584" s="96"/>
      <c r="D584" s="96"/>
      <c r="E584" s="96"/>
      <c r="F584" s="96"/>
      <c r="G584" s="96"/>
      <c r="H584" s="96"/>
      <c r="I584" s="96"/>
      <c r="J584" s="96"/>
      <c r="K584" s="96"/>
    </row>
    <row r="585" ht="43.45" customHeight="1">
      <c r="A585" s="95"/>
      <c r="B585" s="95"/>
      <c r="C585" s="96"/>
      <c r="D585" s="96"/>
      <c r="E585" s="96"/>
      <c r="F585" s="96"/>
      <c r="G585" s="96"/>
      <c r="H585" s="96"/>
      <c r="I585" s="96"/>
      <c r="J585" s="96"/>
      <c r="K585" s="96"/>
    </row>
    <row r="586" ht="43.45" customHeight="1">
      <c r="A586" s="95"/>
      <c r="B586" s="95"/>
      <c r="C586" s="96"/>
      <c r="D586" s="96"/>
      <c r="E586" s="96"/>
      <c r="F586" s="96"/>
      <c r="G586" s="96"/>
      <c r="H586" s="96"/>
      <c r="I586" s="96"/>
      <c r="J586" s="96"/>
      <c r="K586" s="96"/>
    </row>
    <row r="587" ht="43.45" customHeight="1">
      <c r="A587" s="95"/>
      <c r="B587" s="95"/>
      <c r="C587" s="96"/>
      <c r="D587" s="96"/>
      <c r="E587" s="96"/>
      <c r="F587" s="96"/>
      <c r="G587" s="96"/>
      <c r="H587" s="96"/>
      <c r="I587" s="96"/>
      <c r="J587" s="96"/>
      <c r="K587" s="96"/>
    </row>
    <row r="588" ht="43.45" customHeight="1">
      <c r="A588" s="95"/>
      <c r="B588" s="95"/>
      <c r="C588" s="96"/>
      <c r="D588" s="96"/>
      <c r="E588" s="96"/>
      <c r="F588" s="96"/>
      <c r="G588" s="96"/>
      <c r="H588" s="96"/>
      <c r="I588" s="96"/>
      <c r="J588" s="96"/>
      <c r="K588" s="96"/>
    </row>
    <row r="589" ht="43.45" customHeight="1">
      <c r="A589" s="95"/>
      <c r="B589" s="95"/>
      <c r="C589" s="96"/>
      <c r="D589" s="96"/>
      <c r="E589" s="96"/>
      <c r="F589" s="96"/>
      <c r="G589" s="96"/>
      <c r="H589" s="96"/>
      <c r="I589" s="96"/>
      <c r="J589" s="96"/>
      <c r="K589" s="96"/>
    </row>
    <row r="590" ht="43.45" customHeight="1">
      <c r="A590" s="95"/>
      <c r="B590" s="95"/>
      <c r="C590" s="96"/>
      <c r="D590" s="96"/>
      <c r="E590" s="96"/>
      <c r="F590" s="96"/>
      <c r="G590" s="96"/>
      <c r="H590" s="96"/>
      <c r="I590" s="96"/>
      <c r="J590" s="96"/>
      <c r="K590" s="96"/>
    </row>
    <row r="591" ht="43.45" customHeight="1">
      <c r="A591" s="95"/>
      <c r="B591" s="95"/>
      <c r="C591" s="96"/>
      <c r="D591" s="96"/>
      <c r="E591" s="96"/>
      <c r="F591" s="96"/>
      <c r="G591" s="96"/>
      <c r="H591" s="96"/>
      <c r="I591" s="96"/>
      <c r="J591" s="96"/>
      <c r="K591" s="96"/>
    </row>
    <row r="592" ht="43.45" customHeight="1">
      <c r="A592" s="95"/>
      <c r="B592" s="95"/>
      <c r="C592" s="96"/>
      <c r="D592" s="96"/>
      <c r="E592" s="96"/>
      <c r="F592" s="96"/>
      <c r="G592" s="96"/>
      <c r="H592" s="96"/>
      <c r="I592" s="96"/>
      <c r="J592" s="96"/>
      <c r="K592" s="96"/>
    </row>
    <row r="593" ht="43.45" customHeight="1">
      <c r="A593" s="95"/>
      <c r="B593" s="95"/>
      <c r="C593" s="96"/>
      <c r="D593" s="96"/>
      <c r="E593" s="96"/>
      <c r="F593" s="96"/>
      <c r="G593" s="96"/>
      <c r="H593" s="96"/>
      <c r="I593" s="96"/>
      <c r="J593" s="96"/>
      <c r="K593" s="96"/>
    </row>
    <row r="594" ht="43.45" customHeight="1">
      <c r="A594" s="95"/>
      <c r="B594" s="95"/>
      <c r="C594" s="96"/>
      <c r="D594" s="96"/>
      <c r="E594" s="96"/>
      <c r="F594" s="96"/>
      <c r="G594" s="96"/>
      <c r="H594" s="96"/>
      <c r="I594" s="96"/>
      <c r="J594" s="96"/>
      <c r="K594" s="96"/>
    </row>
    <row r="595" ht="43.45" customHeight="1">
      <c r="A595" s="95"/>
      <c r="B595" s="95"/>
      <c r="C595" s="96"/>
      <c r="D595" s="96"/>
      <c r="E595" s="96"/>
      <c r="F595" s="96"/>
      <c r="G595" s="96"/>
      <c r="H595" s="96"/>
      <c r="I595" s="96"/>
      <c r="J595" s="96"/>
      <c r="K595" s="96"/>
    </row>
    <row r="596" ht="43.45" customHeight="1">
      <c r="A596" s="95"/>
      <c r="B596" s="95"/>
      <c r="C596" s="96"/>
      <c r="D596" s="96"/>
      <c r="E596" s="96"/>
      <c r="F596" s="96"/>
      <c r="G596" s="96"/>
      <c r="H596" s="96"/>
      <c r="I596" s="96"/>
      <c r="J596" s="96"/>
      <c r="K596" s="96"/>
    </row>
    <row r="597" ht="43.45" customHeight="1">
      <c r="A597" s="95"/>
      <c r="B597" s="95"/>
      <c r="C597" s="96"/>
      <c r="D597" s="96"/>
      <c r="E597" s="96"/>
      <c r="F597" s="96"/>
      <c r="G597" s="96"/>
      <c r="H597" s="96"/>
      <c r="I597" s="96"/>
      <c r="J597" s="96"/>
      <c r="K597" s="96"/>
    </row>
    <row r="598" ht="43.45" customHeight="1">
      <c r="A598" s="95"/>
      <c r="B598" s="95"/>
      <c r="C598" s="96"/>
      <c r="D598" s="96"/>
      <c r="E598" s="96"/>
      <c r="F598" s="96"/>
      <c r="G598" s="96"/>
      <c r="H598" s="96"/>
      <c r="I598" s="96"/>
      <c r="J598" s="96"/>
      <c r="K598" s="96"/>
    </row>
    <row r="599" ht="43.45" customHeight="1">
      <c r="A599" s="95"/>
      <c r="B599" s="95"/>
      <c r="C599" s="96"/>
      <c r="D599" s="96"/>
      <c r="E599" s="96"/>
      <c r="F599" s="96"/>
      <c r="G599" s="96"/>
      <c r="H599" s="96"/>
      <c r="I599" s="96"/>
      <c r="J599" s="96"/>
      <c r="K599" s="96"/>
    </row>
    <row r="600" ht="43.45" customHeight="1">
      <c r="A600" s="95"/>
      <c r="B600" s="95"/>
      <c r="C600" s="96"/>
      <c r="D600" s="96"/>
      <c r="E600" s="96"/>
      <c r="F600" s="96"/>
      <c r="G600" s="96"/>
      <c r="H600" s="96"/>
      <c r="I600" s="96"/>
      <c r="J600" s="96"/>
      <c r="K600" s="96"/>
    </row>
    <row r="601" ht="43.45" customHeight="1">
      <c r="A601" s="95"/>
      <c r="B601" s="95"/>
      <c r="C601" s="96"/>
      <c r="D601" s="96"/>
      <c r="E601" s="96"/>
      <c r="F601" s="96"/>
      <c r="G601" s="96"/>
      <c r="H601" s="96"/>
      <c r="I601" s="96"/>
      <c r="J601" s="96"/>
      <c r="K601" s="96"/>
    </row>
    <row r="602" ht="43.45" customHeight="1">
      <c r="A602" s="95"/>
      <c r="B602" s="95"/>
      <c r="C602" s="96"/>
      <c r="D602" s="96"/>
      <c r="E602" s="96"/>
      <c r="F602" s="96"/>
      <c r="G602" s="96"/>
      <c r="H602" s="96"/>
      <c r="I602" s="96"/>
      <c r="J602" s="96"/>
      <c r="K602" s="96"/>
    </row>
    <row r="603" ht="43.45" customHeight="1">
      <c r="A603" s="95"/>
      <c r="B603" s="95"/>
      <c r="C603" s="96"/>
      <c r="D603" s="96"/>
      <c r="E603" s="96"/>
      <c r="F603" s="96"/>
      <c r="G603" s="96"/>
      <c r="H603" s="96"/>
      <c r="I603" s="96"/>
      <c r="J603" s="96"/>
      <c r="K603" s="96"/>
    </row>
    <row r="604" ht="43.45" customHeight="1">
      <c r="A604" s="95"/>
      <c r="B604" s="95"/>
      <c r="C604" s="96"/>
      <c r="D604" s="96"/>
      <c r="E604" s="96"/>
      <c r="F604" s="96"/>
      <c r="G604" s="96"/>
      <c r="H604" s="96"/>
      <c r="I604" s="96"/>
      <c r="J604" s="96"/>
      <c r="K604" s="96"/>
    </row>
    <row r="605" ht="43.45" customHeight="1">
      <c r="A605" s="95"/>
      <c r="B605" s="95"/>
      <c r="C605" s="96"/>
      <c r="D605" s="96"/>
      <c r="E605" s="96"/>
      <c r="F605" s="96"/>
      <c r="G605" s="96"/>
      <c r="H605" s="96"/>
      <c r="I605" s="96"/>
      <c r="J605" s="96"/>
      <c r="K605" s="96"/>
    </row>
    <row r="606" ht="43.45" customHeight="1">
      <c r="A606" s="95"/>
      <c r="B606" s="95"/>
      <c r="C606" s="96"/>
      <c r="D606" s="96"/>
      <c r="E606" s="96"/>
      <c r="F606" s="96"/>
      <c r="G606" s="96"/>
      <c r="H606" s="96"/>
      <c r="I606" s="96"/>
      <c r="J606" s="96"/>
      <c r="K606" s="96"/>
    </row>
  </sheetData>
  <mergeCells count="16">
    <mergeCell ref="A34:B38"/>
    <mergeCell ref="E34:H34"/>
    <mergeCell ref="E35:H35"/>
    <mergeCell ref="E36:H36"/>
    <mergeCell ref="E37:H37"/>
    <mergeCell ref="E38:H38"/>
    <mergeCell ref="A1:B33"/>
    <mergeCell ref="C10:K11"/>
    <mergeCell ref="C13:K13"/>
    <mergeCell ref="C14:K18"/>
    <mergeCell ref="D19:J20"/>
    <mergeCell ref="E23:H23"/>
    <mergeCell ref="E25:H25"/>
    <mergeCell ref="E27:H27"/>
    <mergeCell ref="E29:H29"/>
    <mergeCell ref="E31:H31"/>
  </mergeCells>
  <pageMargins left="0.5" right="0.51" top="0.41" bottom="0.2" header="0.2" footer="0.29"/>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T17"/>
  <sheetViews>
    <sheetView workbookViewId="0" showGridLines="0" rightToLeft="1" defaultGridColor="1"/>
  </sheetViews>
  <sheetFormatPr defaultColWidth="8.83333" defaultRowHeight="12.75" customHeight="1" outlineLevelRow="0" outlineLevelCol="0"/>
  <cols>
    <col min="1" max="9" width="10.3516" style="97" customWidth="1"/>
    <col min="10" max="10" width="16.3516" style="97" customWidth="1"/>
    <col min="11" max="20" width="9.17188" style="97" customWidth="1"/>
    <col min="21" max="16384" width="8.85156" style="97" customWidth="1"/>
  </cols>
  <sheetData>
    <row r="1" ht="8" customHeight="1">
      <c r="A1" s="98"/>
      <c r="B1" s="99"/>
      <c r="C1" s="99"/>
      <c r="D1" s="99"/>
      <c r="E1" s="99"/>
      <c r="F1" s="99"/>
      <c r="G1" s="99"/>
      <c r="H1" s="99"/>
      <c r="I1" s="99"/>
      <c r="J1" s="99"/>
      <c r="K1" s="100"/>
      <c r="L1" s="100"/>
      <c r="M1" s="100"/>
      <c r="N1" s="100"/>
      <c r="O1" s="100"/>
      <c r="P1" s="100"/>
      <c r="Q1" s="100"/>
      <c r="R1" s="100"/>
      <c r="S1" s="100"/>
      <c r="T1" s="101"/>
    </row>
    <row r="2" ht="12.75" customHeight="1">
      <c r="A2" s="102"/>
      <c r="B2" s="103"/>
      <c r="C2" s="103"/>
      <c r="D2" s="103"/>
      <c r="E2" s="103"/>
      <c r="F2" s="103"/>
      <c r="G2" s="103"/>
      <c r="H2" s="103"/>
      <c r="I2" s="103"/>
      <c r="J2" s="104"/>
      <c r="K2" s="105"/>
      <c r="L2" s="106"/>
      <c r="M2" s="106"/>
      <c r="N2" s="106"/>
      <c r="O2" s="106"/>
      <c r="P2" s="106"/>
      <c r="Q2" s="106"/>
      <c r="R2" s="106"/>
      <c r="S2" s="106"/>
      <c r="T2" s="107"/>
    </row>
    <row r="3" ht="12.75" customHeight="1">
      <c r="A3" s="108"/>
      <c r="B3" s="109"/>
      <c r="C3" s="109"/>
      <c r="D3" s="109"/>
      <c r="E3" s="109"/>
      <c r="F3" s="109"/>
      <c r="G3" s="109"/>
      <c r="H3" s="109"/>
      <c r="I3" s="109"/>
      <c r="J3" s="110"/>
      <c r="K3" s="105"/>
      <c r="L3" s="106"/>
      <c r="M3" s="106"/>
      <c r="N3" s="106"/>
      <c r="O3" s="106"/>
      <c r="P3" s="106"/>
      <c r="Q3" s="106"/>
      <c r="R3" s="106"/>
      <c r="S3" s="106"/>
      <c r="T3" s="107"/>
    </row>
    <row r="4" ht="12.75" customHeight="1">
      <c r="A4" s="108"/>
      <c r="B4" s="109"/>
      <c r="C4" s="109"/>
      <c r="D4" s="109"/>
      <c r="E4" s="109"/>
      <c r="F4" s="109"/>
      <c r="G4" s="109"/>
      <c r="H4" s="109"/>
      <c r="I4" s="109"/>
      <c r="J4" s="110"/>
      <c r="K4" s="105"/>
      <c r="L4" s="106"/>
      <c r="M4" s="106"/>
      <c r="N4" s="106"/>
      <c r="O4" s="106"/>
      <c r="P4" s="106"/>
      <c r="Q4" s="106"/>
      <c r="R4" s="106"/>
      <c r="S4" s="106"/>
      <c r="T4" s="107"/>
    </row>
    <row r="5" ht="13.5" customHeight="1">
      <c r="A5" s="111"/>
      <c r="B5" s="112"/>
      <c r="C5" s="112"/>
      <c r="D5" s="112"/>
      <c r="E5" s="112"/>
      <c r="F5" s="112"/>
      <c r="G5" s="112"/>
      <c r="H5" s="112"/>
      <c r="I5" s="112"/>
      <c r="J5" s="113"/>
      <c r="K5" s="105"/>
      <c r="L5" s="106"/>
      <c r="M5" s="106"/>
      <c r="N5" s="106"/>
      <c r="O5" s="106"/>
      <c r="P5" s="106"/>
      <c r="Q5" s="106"/>
      <c r="R5" s="106"/>
      <c r="S5" s="106"/>
      <c r="T5" s="107"/>
    </row>
    <row r="6" ht="13.5" customHeight="1">
      <c r="A6" s="114"/>
      <c r="B6" s="115"/>
      <c r="C6" s="115"/>
      <c r="D6" s="115"/>
      <c r="E6" s="115"/>
      <c r="F6" s="115"/>
      <c r="G6" s="115"/>
      <c r="H6" s="115"/>
      <c r="I6" s="115"/>
      <c r="J6" s="116"/>
      <c r="K6" s="106"/>
      <c r="L6" s="106"/>
      <c r="M6" s="106"/>
      <c r="N6" s="106"/>
      <c r="O6" s="106"/>
      <c r="P6" s="106"/>
      <c r="Q6" s="106"/>
      <c r="R6" s="106"/>
      <c r="S6" s="106"/>
      <c r="T6" s="107"/>
    </row>
    <row r="7" ht="40.5" customHeight="1">
      <c r="A7" s="117"/>
      <c r="B7" t="s" s="118">
        <v>23</v>
      </c>
      <c r="C7" s="119"/>
      <c r="D7" s="119"/>
      <c r="E7" s="119"/>
      <c r="F7" s="119"/>
      <c r="G7" s="119"/>
      <c r="H7" s="119"/>
      <c r="I7" s="120"/>
      <c r="J7" s="105"/>
      <c r="K7" s="106"/>
      <c r="L7" s="106"/>
      <c r="M7" s="121"/>
      <c r="N7" s="121"/>
      <c r="O7" s="121"/>
      <c r="P7" s="121"/>
      <c r="Q7" s="121"/>
      <c r="R7" s="121"/>
      <c r="S7" s="121"/>
      <c r="T7" s="122"/>
    </row>
    <row r="8" ht="14.15" customHeight="1">
      <c r="A8" s="123"/>
      <c r="B8" s="116"/>
      <c r="C8" s="116"/>
      <c r="D8" s="116"/>
      <c r="E8" s="116"/>
      <c r="F8" s="116"/>
      <c r="G8" s="116"/>
      <c r="H8" s="116"/>
      <c r="I8" s="116"/>
      <c r="J8" s="106"/>
      <c r="K8" s="106"/>
      <c r="L8" s="106"/>
      <c r="M8" s="106"/>
      <c r="N8" s="106"/>
      <c r="O8" s="106"/>
      <c r="P8" s="106"/>
      <c r="Q8" s="106"/>
      <c r="R8" s="106"/>
      <c r="S8" s="106"/>
      <c r="T8" s="107"/>
    </row>
    <row r="9" ht="53.25" customHeight="1">
      <c r="A9" t="s" s="124">
        <v>24</v>
      </c>
      <c r="B9" s="125"/>
      <c r="C9" s="125"/>
      <c r="D9" s="125"/>
      <c r="E9" s="125"/>
      <c r="F9" s="125"/>
      <c r="G9" s="125"/>
      <c r="H9" s="125"/>
      <c r="I9" s="125"/>
      <c r="J9" s="125"/>
      <c r="K9" s="106"/>
      <c r="L9" s="106"/>
      <c r="M9" s="106"/>
      <c r="N9" s="106"/>
      <c r="O9" s="106"/>
      <c r="P9" s="106"/>
      <c r="Q9" s="106"/>
      <c r="R9" s="106"/>
      <c r="S9" s="106"/>
      <c r="T9" s="107"/>
    </row>
    <row r="10" ht="27" customHeight="1">
      <c r="A10" t="s" s="126">
        <v>25</v>
      </c>
      <c r="B10" s="127"/>
      <c r="C10" s="127"/>
      <c r="D10" s="127"/>
      <c r="E10" s="127"/>
      <c r="F10" s="127"/>
      <c r="G10" s="127"/>
      <c r="H10" s="127"/>
      <c r="I10" s="127"/>
      <c r="J10" s="127"/>
      <c r="K10" s="106"/>
      <c r="L10" s="106"/>
      <c r="M10" s="106"/>
      <c r="N10" s="106"/>
      <c r="O10" s="106"/>
      <c r="P10" s="106"/>
      <c r="Q10" s="106"/>
      <c r="R10" s="106"/>
      <c r="S10" s="106"/>
      <c r="T10" s="107"/>
    </row>
    <row r="11" ht="69" customHeight="1">
      <c r="A11" t="s" s="124">
        <v>26</v>
      </c>
      <c r="B11" s="125"/>
      <c r="C11" s="125"/>
      <c r="D11" s="125"/>
      <c r="E11" s="125"/>
      <c r="F11" s="125"/>
      <c r="G11" s="125"/>
      <c r="H11" s="125"/>
      <c r="I11" s="125"/>
      <c r="J11" s="125"/>
      <c r="K11" s="106"/>
      <c r="L11" s="106"/>
      <c r="M11" s="106"/>
      <c r="N11" s="106"/>
      <c r="O11" s="106"/>
      <c r="P11" s="106"/>
      <c r="Q11" s="106"/>
      <c r="R11" s="106"/>
      <c r="S11" s="106"/>
      <c r="T11" s="107"/>
    </row>
    <row r="12" ht="24.95" customHeight="1">
      <c r="A12" t="s" s="128">
        <v>27</v>
      </c>
      <c r="B12" s="129"/>
      <c r="C12" s="129"/>
      <c r="D12" s="129"/>
      <c r="E12" s="129"/>
      <c r="F12" s="129"/>
      <c r="G12" s="129"/>
      <c r="H12" s="129"/>
      <c r="I12" s="129"/>
      <c r="J12" s="129"/>
      <c r="K12" s="106"/>
      <c r="L12" s="106"/>
      <c r="M12" s="106"/>
      <c r="N12" s="106"/>
      <c r="O12" s="106"/>
      <c r="P12" s="106"/>
      <c r="Q12" s="106"/>
      <c r="R12" s="106"/>
      <c r="S12" s="106"/>
      <c r="T12" s="107"/>
    </row>
    <row r="13" ht="24.95" customHeight="1">
      <c r="A13" t="s" s="128">
        <v>28</v>
      </c>
      <c r="B13" s="129"/>
      <c r="C13" s="129"/>
      <c r="D13" s="129"/>
      <c r="E13" s="129"/>
      <c r="F13" s="129"/>
      <c r="G13" s="129"/>
      <c r="H13" s="129"/>
      <c r="I13" s="129"/>
      <c r="J13" s="129"/>
      <c r="K13" s="106"/>
      <c r="L13" s="106"/>
      <c r="M13" s="106"/>
      <c r="N13" s="106"/>
      <c r="O13" s="106"/>
      <c r="P13" s="106"/>
      <c r="Q13" s="106"/>
      <c r="R13" s="106"/>
      <c r="S13" s="106"/>
      <c r="T13" s="107"/>
    </row>
    <row r="14" ht="24.95" customHeight="1">
      <c r="A14" t="s" s="128">
        <v>29</v>
      </c>
      <c r="B14" s="129"/>
      <c r="C14" s="129"/>
      <c r="D14" s="129"/>
      <c r="E14" s="129"/>
      <c r="F14" s="129"/>
      <c r="G14" s="129"/>
      <c r="H14" s="129"/>
      <c r="I14" s="129"/>
      <c r="J14" s="129"/>
      <c r="K14" s="106"/>
      <c r="L14" s="106"/>
      <c r="M14" s="106"/>
      <c r="N14" s="106"/>
      <c r="O14" s="106"/>
      <c r="P14" s="106"/>
      <c r="Q14" s="106"/>
      <c r="R14" s="106"/>
      <c r="S14" s="106"/>
      <c r="T14" s="107"/>
    </row>
    <row r="15" ht="24.95" customHeight="1">
      <c r="A15" t="s" s="128">
        <v>30</v>
      </c>
      <c r="B15" s="129"/>
      <c r="C15" s="129"/>
      <c r="D15" s="129"/>
      <c r="E15" s="129"/>
      <c r="F15" s="129"/>
      <c r="G15" s="129"/>
      <c r="H15" s="129"/>
      <c r="I15" s="129"/>
      <c r="J15" s="129"/>
      <c r="K15" s="106"/>
      <c r="L15" s="106"/>
      <c r="M15" s="106"/>
      <c r="N15" s="106"/>
      <c r="O15" s="106"/>
      <c r="P15" s="106"/>
      <c r="Q15" s="106"/>
      <c r="R15" s="106"/>
      <c r="S15" s="106"/>
      <c r="T15" s="107"/>
    </row>
    <row r="16" ht="24.95" customHeight="1">
      <c r="A16" s="130"/>
      <c r="B16" s="131"/>
      <c r="C16" s="131"/>
      <c r="D16" s="131"/>
      <c r="E16" s="131"/>
      <c r="F16" s="131"/>
      <c r="G16" s="131"/>
      <c r="H16" s="131"/>
      <c r="I16" s="131"/>
      <c r="J16" s="131"/>
      <c r="K16" s="106"/>
      <c r="L16" s="106"/>
      <c r="M16" s="106"/>
      <c r="N16" s="106"/>
      <c r="O16" s="106"/>
      <c r="P16" s="106"/>
      <c r="Q16" s="106"/>
      <c r="R16" s="106"/>
      <c r="S16" s="106"/>
      <c r="T16" s="107"/>
    </row>
    <row r="17" ht="57.75" customHeight="1">
      <c r="A17" t="s" s="132">
        <v>31</v>
      </c>
      <c r="B17" s="133"/>
      <c r="C17" s="133"/>
      <c r="D17" s="133"/>
      <c r="E17" s="133"/>
      <c r="F17" s="133"/>
      <c r="G17" s="133"/>
      <c r="H17" s="133"/>
      <c r="I17" s="133"/>
      <c r="J17" s="134"/>
      <c r="K17" s="135"/>
      <c r="L17" s="136"/>
      <c r="M17" s="136"/>
      <c r="N17" s="136"/>
      <c r="O17" s="136"/>
      <c r="P17" s="136"/>
      <c r="Q17" s="136"/>
      <c r="R17" s="136"/>
      <c r="S17" s="136"/>
      <c r="T17" s="137"/>
    </row>
  </sheetData>
  <mergeCells count="11">
    <mergeCell ref="A13:J13"/>
    <mergeCell ref="A14:J14"/>
    <mergeCell ref="A15:J15"/>
    <mergeCell ref="A16:J16"/>
    <mergeCell ref="A17:J17"/>
    <mergeCell ref="A12:J12"/>
    <mergeCell ref="A2:J5"/>
    <mergeCell ref="B7:I7"/>
    <mergeCell ref="A9:J9"/>
    <mergeCell ref="A10:J10"/>
    <mergeCell ref="A11:J11"/>
  </mergeCells>
  <pageMargins left="0.27" right="0.19" top="1.08" bottom="0.23" header="0.3" footer="0.19"/>
  <pageSetup firstPageNumber="1" fitToHeight="1" fitToWidth="1" scale="85"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16"/>
  <sheetViews>
    <sheetView workbookViewId="0" showGridLines="0" rightToLeft="1" defaultGridColor="1"/>
  </sheetViews>
  <sheetFormatPr defaultColWidth="8.83333" defaultRowHeight="12.75" customHeight="1" outlineLevelRow="0" outlineLevelCol="0"/>
  <cols>
    <col min="1" max="1" width="19.8516" style="138" customWidth="1"/>
    <col min="2" max="2" width="76.5" style="138" customWidth="1"/>
    <col min="3" max="3" width="55" style="138" customWidth="1"/>
    <col min="4" max="4" width="33.6719" style="138" customWidth="1"/>
    <col min="5" max="5" width="14.6719" style="138" customWidth="1"/>
    <col min="6" max="6" width="15.3516" style="138" customWidth="1"/>
    <col min="7" max="7" width="18.1719" style="138" customWidth="1"/>
    <col min="8" max="8" width="32.8516" style="138" customWidth="1"/>
    <col min="9" max="16384" width="8.85156" style="138" customWidth="1"/>
  </cols>
  <sheetData>
    <row r="1" ht="13.65" customHeight="1">
      <c r="A1" s="139"/>
      <c r="B1" s="140"/>
      <c r="C1" s="140"/>
      <c r="D1" s="140"/>
      <c r="E1" s="140"/>
      <c r="F1" s="140"/>
      <c r="G1" s="140"/>
      <c r="H1" s="141"/>
    </row>
    <row r="2" ht="72" customHeight="1">
      <c r="A2" t="s" s="142">
        <v>33</v>
      </c>
      <c r="B2" s="143"/>
      <c r="C2" s="143"/>
      <c r="D2" s="143"/>
      <c r="E2" s="143"/>
      <c r="F2" s="143"/>
      <c r="G2" s="143"/>
      <c r="H2" s="144"/>
    </row>
    <row r="3" ht="57" customHeight="1">
      <c r="A3" t="s" s="145">
        <v>34</v>
      </c>
      <c r="B3" s="146"/>
      <c r="C3" s="146"/>
      <c r="D3" s="146"/>
      <c r="E3" s="146"/>
      <c r="F3" s="146"/>
      <c r="G3" s="147"/>
      <c r="H3" s="148"/>
    </row>
    <row r="4" ht="51" customHeight="1">
      <c r="A4" t="s" s="149">
        <v>35</v>
      </c>
      <c r="B4" t="s" s="150">
        <v>36</v>
      </c>
      <c r="C4" t="s" s="150">
        <v>37</v>
      </c>
      <c r="D4" t="s" s="150">
        <v>38</v>
      </c>
      <c r="E4" t="s" s="150">
        <v>39</v>
      </c>
      <c r="F4" t="s" s="150">
        <v>40</v>
      </c>
      <c r="G4" t="s" s="151">
        <v>41</v>
      </c>
      <c r="H4" t="s" s="152">
        <v>42</v>
      </c>
    </row>
    <row r="5" ht="69.75" customHeight="1">
      <c r="A5" s="153">
        <v>1</v>
      </c>
      <c r="B5" t="s" s="154">
        <v>43</v>
      </c>
      <c r="C5" t="s" s="155">
        <v>44</v>
      </c>
      <c r="D5" s="156" cm="1">
        <f t="array" ref="D5">7*4</f>
        <v>28</v>
      </c>
      <c r="E5" s="157">
        <v>0.1</v>
      </c>
      <c r="F5" s="156">
        <v>28</v>
      </c>
      <c r="G5" s="158" cm="1">
        <f t="array" ref="G5">(F5/D5)*E5</f>
        <v>0.1</v>
      </c>
      <c r="H5" t="s" s="159">
        <v>45</v>
      </c>
    </row>
    <row r="6" ht="69.75" customHeight="1">
      <c r="A6" s="153">
        <v>2</v>
      </c>
      <c r="B6" t="s" s="154">
        <v>46</v>
      </c>
      <c r="C6" t="s" s="155">
        <v>47</v>
      </c>
      <c r="D6" s="156">
        <v>7</v>
      </c>
      <c r="E6" s="157">
        <v>0.2</v>
      </c>
      <c r="F6" s="160">
        <v>5</v>
      </c>
      <c r="G6" s="158" cm="1">
        <f t="array" ref="G6">(F6/D6)*E6</f>
        <v>0.142857142857143</v>
      </c>
      <c r="H6" s="161"/>
    </row>
    <row r="7" ht="69.75" customHeight="1">
      <c r="A7" s="153">
        <v>3</v>
      </c>
      <c r="B7" t="s" s="154">
        <v>48</v>
      </c>
      <c r="C7" t="s" s="155">
        <v>49</v>
      </c>
      <c r="D7" s="156" cm="1">
        <f t="array" ref="D7">2*7</f>
        <v>14</v>
      </c>
      <c r="E7" s="157">
        <v>0.1</v>
      </c>
      <c r="F7" s="162">
        <v>8</v>
      </c>
      <c r="G7" s="158" cm="1">
        <f t="array" ref="G7">(F7/D7)*E7</f>
        <v>0.0571428571428571</v>
      </c>
      <c r="H7" s="161"/>
    </row>
    <row r="8" ht="69.75" customHeight="1">
      <c r="A8" s="153">
        <v>4</v>
      </c>
      <c r="B8" t="s" s="154">
        <v>50</v>
      </c>
      <c r="C8" t="s" s="155">
        <v>51</v>
      </c>
      <c r="D8" s="156">
        <v>1</v>
      </c>
      <c r="E8" s="157">
        <v>0.05</v>
      </c>
      <c r="F8" s="156">
        <v>1</v>
      </c>
      <c r="G8" s="158" cm="1">
        <f t="array" ref="G8">(F8/D8)*E8</f>
        <v>0.05</v>
      </c>
      <c r="H8" t="s" s="163">
        <v>52</v>
      </c>
    </row>
    <row r="9" ht="69.75" customHeight="1">
      <c r="A9" s="153">
        <v>5</v>
      </c>
      <c r="B9" t="s" s="154">
        <v>53</v>
      </c>
      <c r="C9" t="s" s="155">
        <v>54</v>
      </c>
      <c r="D9" s="156">
        <v>1</v>
      </c>
      <c r="E9" s="157">
        <v>0.1</v>
      </c>
      <c r="F9" s="156">
        <v>1</v>
      </c>
      <c r="G9" s="158" cm="1">
        <f t="array" ref="G9">(F9/D9)*E9</f>
        <v>0.1</v>
      </c>
      <c r="H9" t="s" s="163">
        <v>52</v>
      </c>
    </row>
    <row r="10" ht="69.75" customHeight="1">
      <c r="A10" s="153">
        <v>6</v>
      </c>
      <c r="B10" t="s" s="154">
        <v>55</v>
      </c>
      <c r="C10" t="s" s="164">
        <v>56</v>
      </c>
      <c r="D10" s="165">
        <v>1</v>
      </c>
      <c r="E10" s="157">
        <v>0.4</v>
      </c>
      <c r="F10" s="166">
        <v>1</v>
      </c>
      <c r="G10" s="158" cm="1">
        <f t="array" ref="G10">(F10/D10)*E10</f>
        <v>0.4</v>
      </c>
      <c r="H10" t="s" s="163">
        <v>52</v>
      </c>
    </row>
    <row r="11" ht="69.75" customHeight="1">
      <c r="A11" s="153">
        <v>7</v>
      </c>
      <c r="B11" t="s" s="154">
        <v>57</v>
      </c>
      <c r="C11" t="s" s="164">
        <v>58</v>
      </c>
      <c r="D11" s="156">
        <v>3</v>
      </c>
      <c r="E11" s="157">
        <v>0.05</v>
      </c>
      <c r="F11" s="167">
        <v>3</v>
      </c>
      <c r="G11" s="158" cm="1">
        <f t="array" ref="G11">(F11/D11)*E11</f>
        <v>0.05</v>
      </c>
      <c r="H11" t="s" s="159">
        <v>59</v>
      </c>
    </row>
    <row r="12" ht="69.75" customHeight="1">
      <c r="A12" s="153">
        <v>8</v>
      </c>
      <c r="B12" t="s" s="154">
        <v>60</v>
      </c>
      <c r="C12" t="s" s="164">
        <v>61</v>
      </c>
      <c r="D12" s="168"/>
      <c r="E12" s="157"/>
      <c r="F12" s="169"/>
      <c r="G12" s="158"/>
      <c r="H12" s="161"/>
    </row>
    <row r="13" ht="69.75" customHeight="1">
      <c r="A13" s="170"/>
      <c r="B13" s="171"/>
      <c r="C13" s="172"/>
      <c r="D13" s="172"/>
      <c r="E13" s="173"/>
      <c r="F13" s="169"/>
      <c r="G13" s="158"/>
      <c r="H13" s="161"/>
    </row>
    <row r="14" ht="69.75" customHeight="1">
      <c r="A14" s="174"/>
      <c r="B14" s="175"/>
      <c r="C14" s="175"/>
      <c r="D14" s="176"/>
      <c r="E14" s="177"/>
      <c r="F14" s="178"/>
      <c r="G14" s="179"/>
      <c r="H14" s="161"/>
    </row>
    <row r="15" ht="38.25" customHeight="1">
      <c r="A15" s="180"/>
      <c r="B15" s="181"/>
      <c r="C15" s="181"/>
      <c r="D15" s="182"/>
      <c r="E15" s="183" cm="1">
        <f t="array" ref="E15">SUM(E5:E14)</f>
        <v>1</v>
      </c>
      <c r="F15" s="184"/>
      <c r="G15" s="184"/>
      <c r="H15" s="185"/>
    </row>
    <row r="16" ht="51.75" customHeight="1">
      <c r="A16" t="s" s="186">
        <v>62</v>
      </c>
      <c r="B16" s="187"/>
      <c r="C16" s="188"/>
      <c r="D16" s="189"/>
      <c r="E16" s="190" cm="1">
        <f t="array" ref="E16">SUM(G5:G14)</f>
        <v>0.9</v>
      </c>
      <c r="F16" s="190"/>
      <c r="G16" s="191"/>
      <c r="H16" s="192"/>
    </row>
  </sheetData>
  <mergeCells count="4">
    <mergeCell ref="A2:G2"/>
    <mergeCell ref="A3:G3"/>
    <mergeCell ref="A16:B16"/>
    <mergeCell ref="E16:G16"/>
  </mergeCells>
  <pageMargins left="0.393701" right="0.393701" top="0.393701" bottom="0.393701" header="0.511811" footer="0.511811"/>
  <pageSetup firstPageNumber="1" fitToHeight="1" fitToWidth="1" scale="48"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H103"/>
  <sheetViews>
    <sheetView workbookViewId="0" showGridLines="0" rightToLeft="1" defaultGridColor="1"/>
  </sheetViews>
  <sheetFormatPr defaultColWidth="8.83333" defaultRowHeight="12.75" customHeight="1" outlineLevelRow="0" outlineLevelCol="0"/>
  <cols>
    <col min="1" max="1" width="4.67188" style="193" customWidth="1"/>
    <col min="2" max="2" width="18.5" style="193" customWidth="1"/>
    <col min="3" max="3" width="16.6719" style="193" customWidth="1"/>
    <col min="4" max="4" width="8.17188" style="193" customWidth="1"/>
    <col min="5" max="5" width="39.3516" style="193" customWidth="1"/>
    <col min="6" max="6" width="4.85156" style="193" customWidth="1"/>
    <col min="7" max="7" width="23.1719" style="193" customWidth="1"/>
    <col min="8" max="9" width="6.85156" style="193" customWidth="1"/>
    <col min="10" max="10" width="10" style="193" customWidth="1"/>
    <col min="11" max="11" width="21.5" style="193" customWidth="1"/>
    <col min="12" max="164" width="9.17188" style="193" customWidth="1"/>
    <col min="165" max="16384" width="8.85156" style="193" customWidth="1"/>
  </cols>
  <sheetData>
    <row r="1" ht="24" customHeight="1">
      <c r="A1" s="194"/>
      <c r="B1" s="195"/>
      <c r="C1" s="195"/>
      <c r="D1" s="195"/>
      <c r="E1" s="195"/>
      <c r="F1" s="195"/>
      <c r="G1" s="195"/>
      <c r="H1" s="196"/>
      <c r="I1" s="196"/>
      <c r="J1" s="196"/>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c r="BQ1" s="197"/>
      <c r="BR1" s="197"/>
      <c r="BS1" s="197"/>
      <c r="BT1" s="197"/>
      <c r="BU1" s="197"/>
      <c r="BV1" s="197"/>
      <c r="BW1" s="197"/>
      <c r="BX1" s="197"/>
      <c r="BY1" s="197"/>
      <c r="BZ1" s="197"/>
      <c r="CA1" s="197"/>
      <c r="CB1" s="197"/>
      <c r="CC1" s="197"/>
      <c r="CD1" s="197"/>
      <c r="CE1" s="197"/>
      <c r="CF1" s="197"/>
      <c r="CG1" s="197"/>
      <c r="CH1" s="197"/>
      <c r="CI1" s="197"/>
      <c r="CJ1" s="197"/>
      <c r="CK1" s="197"/>
      <c r="CL1" s="197"/>
      <c r="CM1" s="197"/>
      <c r="CN1" s="197"/>
      <c r="CO1" s="197"/>
      <c r="CP1" s="197"/>
      <c r="CQ1" s="197"/>
      <c r="CR1" s="197"/>
      <c r="CS1" s="197"/>
      <c r="CT1" s="197"/>
      <c r="CU1" s="197"/>
      <c r="CV1" s="197"/>
      <c r="CW1" s="197"/>
      <c r="CX1" s="197"/>
      <c r="CY1" s="197"/>
      <c r="CZ1" s="197"/>
      <c r="DA1" s="197"/>
      <c r="DB1" s="197"/>
      <c r="DC1" s="197"/>
      <c r="DD1" s="197"/>
      <c r="DE1" s="197"/>
      <c r="DF1" s="197"/>
      <c r="DG1" s="197"/>
      <c r="DH1" s="197"/>
      <c r="DI1" s="197"/>
      <c r="DJ1" s="197"/>
      <c r="DK1" s="197"/>
      <c r="DL1" s="197"/>
      <c r="DM1" s="197"/>
      <c r="DN1" s="197"/>
      <c r="DO1" s="197"/>
      <c r="DP1" s="197"/>
      <c r="DQ1" s="197"/>
      <c r="DR1" s="197"/>
      <c r="DS1" s="197"/>
      <c r="DT1" s="197"/>
      <c r="DU1" s="197"/>
      <c r="DV1" s="197"/>
      <c r="DW1" s="197"/>
      <c r="DX1" s="197"/>
      <c r="DY1" s="197"/>
      <c r="DZ1" s="197"/>
      <c r="EA1" s="197"/>
      <c r="EB1" s="197"/>
      <c r="EC1" s="197"/>
      <c r="ED1" s="197"/>
      <c r="EE1" s="197"/>
      <c r="EF1" s="197"/>
      <c r="EG1" s="197"/>
      <c r="EH1" s="197"/>
      <c r="EI1" s="197"/>
      <c r="EJ1" s="197"/>
      <c r="EK1" s="197"/>
      <c r="EL1" s="197"/>
      <c r="EM1" s="197"/>
      <c r="EN1" s="197"/>
      <c r="EO1" s="197"/>
      <c r="EP1" s="197"/>
      <c r="EQ1" s="197"/>
      <c r="ER1" s="197"/>
      <c r="ES1" s="197"/>
      <c r="ET1" s="197"/>
      <c r="EU1" s="197"/>
      <c r="EV1" s="197"/>
      <c r="EW1" s="197"/>
      <c r="EX1" s="197"/>
      <c r="EY1" s="197"/>
      <c r="EZ1" s="197"/>
      <c r="FA1" s="197"/>
      <c r="FB1" s="197"/>
      <c r="FC1" s="197"/>
      <c r="FD1" s="197"/>
      <c r="FE1" s="197"/>
      <c r="FF1" s="197"/>
      <c r="FG1" s="197"/>
      <c r="FH1" s="197"/>
    </row>
    <row r="2" ht="64.5" customHeight="1">
      <c r="A2" s="198"/>
      <c r="B2" t="s" s="142">
        <v>64</v>
      </c>
      <c r="C2" s="199"/>
      <c r="D2" s="199"/>
      <c r="E2" s="199"/>
      <c r="F2" s="199"/>
      <c r="G2" s="199"/>
      <c r="H2" s="199"/>
      <c r="I2" s="199"/>
      <c r="J2" s="199"/>
      <c r="K2" s="200"/>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201"/>
      <c r="BQ2" s="201"/>
      <c r="BR2" s="201"/>
      <c r="BS2" s="201"/>
      <c r="BT2" s="201"/>
      <c r="BU2" s="201"/>
      <c r="BV2" s="201"/>
      <c r="BW2" s="201"/>
      <c r="BX2" s="201"/>
      <c r="BY2" s="201"/>
      <c r="BZ2" s="201"/>
      <c r="CA2" s="201"/>
      <c r="CB2" s="201"/>
      <c r="CC2" s="201"/>
      <c r="CD2" s="201"/>
      <c r="CE2" s="201"/>
      <c r="CF2" s="201"/>
      <c r="CG2" s="201"/>
      <c r="CH2" s="201"/>
      <c r="CI2" s="201"/>
      <c r="CJ2" s="201"/>
      <c r="CK2" s="201"/>
      <c r="CL2" s="201"/>
      <c r="CM2" s="201"/>
      <c r="CN2" s="201"/>
      <c r="CO2" s="201"/>
      <c r="CP2" s="201"/>
      <c r="CQ2" s="201"/>
      <c r="CR2" s="201"/>
      <c r="CS2" s="201"/>
      <c r="CT2" s="201"/>
      <c r="CU2" s="201"/>
      <c r="CV2" s="201"/>
      <c r="CW2" s="201"/>
      <c r="CX2" s="201"/>
      <c r="CY2" s="201"/>
      <c r="CZ2" s="201"/>
      <c r="DA2" s="201"/>
      <c r="DB2" s="201"/>
      <c r="DC2" s="201"/>
      <c r="DD2" s="201"/>
      <c r="DE2" s="201"/>
      <c r="DF2" s="201"/>
      <c r="DG2" s="201"/>
      <c r="DH2" s="201"/>
      <c r="DI2" s="201"/>
      <c r="DJ2" s="201"/>
      <c r="DK2" s="201"/>
      <c r="DL2" s="201"/>
      <c r="DM2" s="201"/>
      <c r="DN2" s="201"/>
      <c r="DO2" s="201"/>
      <c r="DP2" s="201"/>
      <c r="DQ2" s="201"/>
      <c r="DR2" s="201"/>
      <c r="DS2" s="201"/>
      <c r="DT2" s="201"/>
      <c r="DU2" s="201"/>
      <c r="DV2" s="201"/>
      <c r="DW2" s="201"/>
      <c r="DX2" s="201"/>
      <c r="DY2" s="201"/>
      <c r="DZ2" s="201"/>
      <c r="EA2" s="201"/>
      <c r="EB2" s="201"/>
      <c r="EC2" s="201"/>
      <c r="ED2" s="201"/>
      <c r="EE2" s="201"/>
      <c r="EF2" s="201"/>
      <c r="EG2" s="201"/>
      <c r="EH2" s="201"/>
      <c r="EI2" s="201"/>
      <c r="EJ2" s="201"/>
      <c r="EK2" s="201"/>
      <c r="EL2" s="201"/>
      <c r="EM2" s="201"/>
      <c r="EN2" s="201"/>
      <c r="EO2" s="201"/>
      <c r="EP2" s="201"/>
      <c r="EQ2" s="201"/>
      <c r="ER2" s="201"/>
      <c r="ES2" s="201"/>
      <c r="ET2" s="201"/>
      <c r="EU2" s="201"/>
      <c r="EV2" s="201"/>
      <c r="EW2" s="201"/>
      <c r="EX2" s="201"/>
      <c r="EY2" s="201"/>
      <c r="EZ2" s="201"/>
      <c r="FA2" s="201"/>
      <c r="FB2" s="201"/>
      <c r="FC2" s="201"/>
      <c r="FD2" s="201"/>
      <c r="FE2" s="201"/>
      <c r="FF2" s="201"/>
      <c r="FG2" s="201"/>
      <c r="FH2" s="201"/>
    </row>
    <row r="3" ht="21.75" customHeight="1">
      <c r="A3" s="202"/>
      <c r="B3" s="203"/>
      <c r="C3" s="203"/>
      <c r="D3" s="203"/>
      <c r="E3" s="203"/>
      <c r="F3" s="203"/>
      <c r="G3" s="203"/>
      <c r="H3" s="204"/>
      <c r="I3" s="204"/>
      <c r="J3" s="204"/>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97"/>
      <c r="CU3" s="197"/>
      <c r="CV3" s="197"/>
      <c r="CW3" s="197"/>
      <c r="CX3" s="197"/>
      <c r="CY3" s="197"/>
      <c r="CZ3" s="197"/>
      <c r="DA3" s="197"/>
      <c r="DB3" s="197"/>
      <c r="DC3" s="197"/>
      <c r="DD3" s="197"/>
      <c r="DE3" s="197"/>
      <c r="DF3" s="197"/>
      <c r="DG3" s="197"/>
      <c r="DH3" s="197"/>
      <c r="DI3" s="197"/>
      <c r="DJ3" s="197"/>
      <c r="DK3" s="197"/>
      <c r="DL3" s="197"/>
      <c r="DM3" s="197"/>
      <c r="DN3" s="197"/>
      <c r="DO3" s="197"/>
      <c r="DP3" s="197"/>
      <c r="DQ3" s="197"/>
      <c r="DR3" s="197"/>
      <c r="DS3" s="197"/>
      <c r="DT3" s="197"/>
      <c r="DU3" s="197"/>
      <c r="DV3" s="197"/>
      <c r="DW3" s="197"/>
      <c r="DX3" s="197"/>
      <c r="DY3" s="197"/>
      <c r="DZ3" s="197"/>
      <c r="EA3" s="197"/>
      <c r="EB3" s="197"/>
      <c r="EC3" s="197"/>
      <c r="ED3" s="197"/>
      <c r="EE3" s="197"/>
      <c r="EF3" s="197"/>
      <c r="EG3" s="197"/>
      <c r="EH3" s="197"/>
      <c r="EI3" s="197"/>
      <c r="EJ3" s="197"/>
      <c r="EK3" s="197"/>
      <c r="EL3" s="197"/>
      <c r="EM3" s="197"/>
      <c r="EN3" s="197"/>
      <c r="EO3" s="197"/>
      <c r="EP3" s="197"/>
      <c r="EQ3" s="197"/>
      <c r="ER3" s="197"/>
      <c r="ES3" s="197"/>
      <c r="ET3" s="197"/>
      <c r="EU3" s="197"/>
      <c r="EV3" s="197"/>
      <c r="EW3" s="197"/>
      <c r="EX3" s="197"/>
      <c r="EY3" s="197"/>
      <c r="EZ3" s="197"/>
      <c r="FA3" s="197"/>
      <c r="FB3" s="197"/>
      <c r="FC3" s="197"/>
      <c r="FD3" s="197"/>
      <c r="FE3" s="197"/>
      <c r="FF3" s="197"/>
      <c r="FG3" s="197"/>
      <c r="FH3" s="197"/>
    </row>
    <row r="4" ht="28.5" customHeight="1">
      <c r="A4" s="205"/>
      <c r="B4" t="s" s="206">
        <v>65</v>
      </c>
      <c r="C4" t="s" s="206">
        <v>66</v>
      </c>
      <c r="D4" t="s" s="206">
        <v>67</v>
      </c>
      <c r="E4" s="207"/>
      <c r="F4" s="207"/>
      <c r="G4" s="207"/>
      <c r="H4" s="208"/>
      <c r="I4" s="209"/>
      <c r="J4" s="209"/>
      <c r="K4" s="196"/>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97"/>
      <c r="BS4" s="197"/>
      <c r="BT4" s="197"/>
      <c r="BU4" s="197"/>
      <c r="BV4" s="197"/>
      <c r="BW4" s="197"/>
      <c r="BX4" s="197"/>
      <c r="BY4" s="197"/>
      <c r="BZ4" s="197"/>
      <c r="CA4" s="197"/>
      <c r="CB4" s="197"/>
      <c r="CC4" s="197"/>
      <c r="CD4" s="197"/>
      <c r="CE4" s="197"/>
      <c r="CF4" s="197"/>
      <c r="CG4" s="197"/>
      <c r="CH4" s="197"/>
      <c r="CI4" s="197"/>
      <c r="CJ4" s="197"/>
      <c r="CK4" s="197"/>
      <c r="CL4" s="197"/>
      <c r="CM4" s="197"/>
      <c r="CN4" s="197"/>
      <c r="CO4" s="197"/>
      <c r="CP4" s="197"/>
      <c r="CQ4" s="197"/>
      <c r="CR4" s="197"/>
      <c r="CS4" s="197"/>
      <c r="CT4" s="197"/>
      <c r="CU4" s="197"/>
      <c r="CV4" s="197"/>
      <c r="CW4" s="197"/>
      <c r="CX4" s="197"/>
      <c r="CY4" s="197"/>
      <c r="CZ4" s="197"/>
      <c r="DA4" s="197"/>
      <c r="DB4" s="197"/>
      <c r="DC4" s="197"/>
      <c r="DD4" s="197"/>
      <c r="DE4" s="197"/>
      <c r="DF4" s="197"/>
      <c r="DG4" s="197"/>
      <c r="DH4" s="197"/>
      <c r="DI4" s="197"/>
      <c r="DJ4" s="197"/>
      <c r="DK4" s="197"/>
      <c r="DL4" s="197"/>
      <c r="DM4" s="197"/>
      <c r="DN4" s="197"/>
      <c r="DO4" s="197"/>
      <c r="DP4" s="197"/>
      <c r="DQ4" s="197"/>
      <c r="DR4" s="197"/>
      <c r="DS4" s="197"/>
      <c r="DT4" s="197"/>
      <c r="DU4" s="197"/>
      <c r="DV4" s="197"/>
      <c r="DW4" s="197"/>
      <c r="DX4" s="197"/>
      <c r="DY4" s="197"/>
      <c r="DZ4" s="197"/>
      <c r="EA4" s="197"/>
      <c r="EB4" s="197"/>
      <c r="EC4" s="197"/>
      <c r="ED4" s="197"/>
      <c r="EE4" s="197"/>
      <c r="EF4" s="197"/>
      <c r="EG4" s="197"/>
      <c r="EH4" s="197"/>
      <c r="EI4" s="197"/>
      <c r="EJ4" s="197"/>
      <c r="EK4" s="197"/>
      <c r="EL4" s="197"/>
      <c r="EM4" s="197"/>
      <c r="EN4" s="197"/>
      <c r="EO4" s="197"/>
      <c r="EP4" s="197"/>
      <c r="EQ4" s="197"/>
      <c r="ER4" s="197"/>
      <c r="ES4" s="197"/>
      <c r="ET4" s="197"/>
      <c r="EU4" s="197"/>
      <c r="EV4" s="197"/>
      <c r="EW4" s="197"/>
      <c r="EX4" s="197"/>
      <c r="EY4" s="197"/>
      <c r="EZ4" s="197"/>
      <c r="FA4" s="197"/>
      <c r="FB4" s="197"/>
      <c r="FC4" s="197"/>
      <c r="FD4" s="197"/>
      <c r="FE4" s="197"/>
      <c r="FF4" s="197"/>
      <c r="FG4" s="197"/>
      <c r="FH4" s="197"/>
    </row>
    <row r="5" ht="50.1" customHeight="1">
      <c r="A5" s="205"/>
      <c r="B5" t="s" s="210">
        <v>68</v>
      </c>
      <c r="C5" t="s" s="210">
        <v>69</v>
      </c>
      <c r="D5" t="s" s="210">
        <v>70</v>
      </c>
      <c r="E5" s="211"/>
      <c r="F5" s="211"/>
      <c r="G5" s="211"/>
      <c r="H5" s="212"/>
      <c r="I5" t="s" s="213">
        <v>71</v>
      </c>
      <c r="J5" s="214"/>
      <c r="K5" s="215"/>
      <c r="L5" s="216"/>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row>
    <row r="6" ht="50.1" customHeight="1">
      <c r="A6" s="205"/>
      <c r="B6" t="s" s="210">
        <v>72</v>
      </c>
      <c r="C6" t="s" s="210">
        <v>73</v>
      </c>
      <c r="D6" t="s" s="210">
        <v>74</v>
      </c>
      <c r="E6" s="211"/>
      <c r="F6" s="211"/>
      <c r="G6" s="211"/>
      <c r="H6" s="212"/>
      <c r="I6" s="217"/>
      <c r="J6" s="218"/>
      <c r="K6" s="219"/>
      <c r="L6" s="216"/>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7"/>
      <c r="BQ6" s="197"/>
      <c r="BR6" s="197"/>
      <c r="BS6" s="197"/>
      <c r="BT6" s="197"/>
      <c r="BU6" s="197"/>
      <c r="BV6" s="197"/>
      <c r="BW6" s="197"/>
      <c r="BX6" s="197"/>
      <c r="BY6" s="197"/>
      <c r="BZ6" s="197"/>
      <c r="CA6" s="197"/>
      <c r="CB6" s="197"/>
      <c r="CC6" s="197"/>
      <c r="CD6" s="197"/>
      <c r="CE6" s="197"/>
      <c r="CF6" s="197"/>
      <c r="CG6" s="197"/>
      <c r="CH6" s="197"/>
      <c r="CI6" s="197"/>
      <c r="CJ6" s="197"/>
      <c r="CK6" s="197"/>
      <c r="CL6" s="197"/>
      <c r="CM6" s="197"/>
      <c r="CN6" s="197"/>
      <c r="CO6" s="197"/>
      <c r="CP6" s="197"/>
      <c r="CQ6" s="197"/>
      <c r="CR6" s="197"/>
      <c r="CS6" s="197"/>
      <c r="CT6" s="197"/>
      <c r="CU6" s="197"/>
      <c r="CV6" s="197"/>
      <c r="CW6" s="197"/>
      <c r="CX6" s="197"/>
      <c r="CY6" s="197"/>
      <c r="CZ6" s="197"/>
      <c r="DA6" s="197"/>
      <c r="DB6" s="197"/>
      <c r="DC6" s="197"/>
      <c r="DD6" s="197"/>
      <c r="DE6" s="197"/>
      <c r="DF6" s="197"/>
      <c r="DG6" s="197"/>
      <c r="DH6" s="197"/>
      <c r="DI6" s="197"/>
      <c r="DJ6" s="197"/>
      <c r="DK6" s="197"/>
      <c r="DL6" s="197"/>
      <c r="DM6" s="197"/>
      <c r="DN6" s="197"/>
      <c r="DO6" s="197"/>
      <c r="DP6" s="197"/>
      <c r="DQ6" s="197"/>
      <c r="DR6" s="197"/>
      <c r="DS6" s="197"/>
      <c r="DT6" s="197"/>
      <c r="DU6" s="197"/>
      <c r="DV6" s="197"/>
      <c r="DW6" s="197"/>
      <c r="DX6" s="197"/>
      <c r="DY6" s="197"/>
      <c r="DZ6" s="197"/>
      <c r="EA6" s="197"/>
      <c r="EB6" s="197"/>
      <c r="EC6" s="197"/>
      <c r="ED6" s="197"/>
      <c r="EE6" s="197"/>
      <c r="EF6" s="197"/>
      <c r="EG6" s="197"/>
      <c r="EH6" s="197"/>
      <c r="EI6" s="197"/>
      <c r="EJ6" s="197"/>
      <c r="EK6" s="197"/>
      <c r="EL6" s="197"/>
      <c r="EM6" s="197"/>
      <c r="EN6" s="197"/>
      <c r="EO6" s="197"/>
      <c r="EP6" s="197"/>
      <c r="EQ6" s="197"/>
      <c r="ER6" s="197"/>
      <c r="ES6" s="197"/>
      <c r="ET6" s="197"/>
      <c r="EU6" s="197"/>
      <c r="EV6" s="197"/>
      <c r="EW6" s="197"/>
      <c r="EX6" s="197"/>
      <c r="EY6" s="197"/>
      <c r="EZ6" s="197"/>
      <c r="FA6" s="197"/>
      <c r="FB6" s="197"/>
      <c r="FC6" s="197"/>
      <c r="FD6" s="197"/>
      <c r="FE6" s="197"/>
      <c r="FF6" s="197"/>
      <c r="FG6" s="197"/>
      <c r="FH6" s="197"/>
    </row>
    <row r="7" ht="50.1" customHeight="1">
      <c r="A7" s="205"/>
      <c r="B7" t="s" s="210">
        <v>75</v>
      </c>
      <c r="C7" t="s" s="210">
        <v>76</v>
      </c>
      <c r="D7" t="s" s="210">
        <v>77</v>
      </c>
      <c r="E7" s="211"/>
      <c r="F7" s="211"/>
      <c r="G7" s="211"/>
      <c r="H7" s="212"/>
      <c r="I7" s="217"/>
      <c r="J7" s="218"/>
      <c r="K7" s="219"/>
      <c r="L7" s="216"/>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7"/>
      <c r="CH7" s="197"/>
      <c r="CI7" s="197"/>
      <c r="CJ7" s="197"/>
      <c r="CK7" s="197"/>
      <c r="CL7" s="197"/>
      <c r="CM7" s="197"/>
      <c r="CN7" s="197"/>
      <c r="CO7" s="197"/>
      <c r="CP7" s="197"/>
      <c r="CQ7" s="197"/>
      <c r="CR7" s="197"/>
      <c r="CS7" s="197"/>
      <c r="CT7" s="197"/>
      <c r="CU7" s="197"/>
      <c r="CV7" s="197"/>
      <c r="CW7" s="197"/>
      <c r="CX7" s="197"/>
      <c r="CY7" s="197"/>
      <c r="CZ7" s="197"/>
      <c r="DA7" s="197"/>
      <c r="DB7" s="197"/>
      <c r="DC7" s="197"/>
      <c r="DD7" s="197"/>
      <c r="DE7" s="197"/>
      <c r="DF7" s="197"/>
      <c r="DG7" s="197"/>
      <c r="DH7" s="197"/>
      <c r="DI7" s="197"/>
      <c r="DJ7" s="197"/>
      <c r="DK7" s="197"/>
      <c r="DL7" s="197"/>
      <c r="DM7" s="197"/>
      <c r="DN7" s="197"/>
      <c r="DO7" s="197"/>
      <c r="DP7" s="197"/>
      <c r="DQ7" s="197"/>
      <c r="DR7" s="197"/>
      <c r="DS7" s="197"/>
      <c r="DT7" s="197"/>
      <c r="DU7" s="197"/>
      <c r="DV7" s="197"/>
      <c r="DW7" s="197"/>
      <c r="DX7" s="197"/>
      <c r="DY7" s="197"/>
      <c r="DZ7" s="197"/>
      <c r="EA7" s="197"/>
      <c r="EB7" s="197"/>
      <c r="EC7" s="197"/>
      <c r="ED7" s="197"/>
      <c r="EE7" s="197"/>
      <c r="EF7" s="197"/>
      <c r="EG7" s="197"/>
      <c r="EH7" s="197"/>
      <c r="EI7" s="197"/>
      <c r="EJ7" s="197"/>
      <c r="EK7" s="197"/>
      <c r="EL7" s="197"/>
      <c r="EM7" s="197"/>
      <c r="EN7" s="197"/>
      <c r="EO7" s="197"/>
      <c r="EP7" s="197"/>
      <c r="EQ7" s="197"/>
      <c r="ER7" s="197"/>
      <c r="ES7" s="197"/>
      <c r="ET7" s="197"/>
      <c r="EU7" s="197"/>
      <c r="EV7" s="197"/>
      <c r="EW7" s="197"/>
      <c r="EX7" s="197"/>
      <c r="EY7" s="197"/>
      <c r="EZ7" s="197"/>
      <c r="FA7" s="197"/>
      <c r="FB7" s="197"/>
      <c r="FC7" s="197"/>
      <c r="FD7" s="197"/>
      <c r="FE7" s="197"/>
      <c r="FF7" s="197"/>
      <c r="FG7" s="197"/>
      <c r="FH7" s="197"/>
    </row>
    <row r="8" ht="50.1" customHeight="1">
      <c r="A8" s="205"/>
      <c r="B8" t="s" s="210">
        <v>78</v>
      </c>
      <c r="C8" t="s" s="210">
        <v>79</v>
      </c>
      <c r="D8" t="s" s="210">
        <v>80</v>
      </c>
      <c r="E8" s="211"/>
      <c r="F8" s="211"/>
      <c r="G8" s="211"/>
      <c r="H8" s="212"/>
      <c r="I8" s="220"/>
      <c r="J8" s="221"/>
      <c r="K8" s="222"/>
      <c r="L8" s="223"/>
      <c r="M8" s="224"/>
      <c r="N8" s="225"/>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c r="CC8" s="197"/>
      <c r="CD8" s="197"/>
      <c r="CE8" s="197"/>
      <c r="CF8" s="197"/>
      <c r="CG8" s="197"/>
      <c r="CH8" s="197"/>
      <c r="CI8" s="197"/>
      <c r="CJ8" s="197"/>
      <c r="CK8" s="197"/>
      <c r="CL8" s="197"/>
      <c r="CM8" s="197"/>
      <c r="CN8" s="197"/>
      <c r="CO8" s="197"/>
      <c r="CP8" s="197"/>
      <c r="CQ8" s="197"/>
      <c r="CR8" s="197"/>
      <c r="CS8" s="197"/>
      <c r="CT8" s="197"/>
      <c r="CU8" s="197"/>
      <c r="CV8" s="197"/>
      <c r="CW8" s="197"/>
      <c r="CX8" s="197"/>
      <c r="CY8" s="197"/>
      <c r="CZ8" s="197"/>
      <c r="DA8" s="197"/>
      <c r="DB8" s="197"/>
      <c r="DC8" s="197"/>
      <c r="DD8" s="197"/>
      <c r="DE8" s="197"/>
      <c r="DF8" s="197"/>
      <c r="DG8" s="197"/>
      <c r="DH8" s="197"/>
      <c r="DI8" s="197"/>
      <c r="DJ8" s="197"/>
      <c r="DK8" s="197"/>
      <c r="DL8" s="197"/>
      <c r="DM8" s="197"/>
      <c r="DN8" s="197"/>
      <c r="DO8" s="197"/>
      <c r="DP8" s="197"/>
      <c r="DQ8" s="197"/>
      <c r="DR8" s="197"/>
      <c r="DS8" s="197"/>
      <c r="DT8" s="197"/>
      <c r="DU8" s="197"/>
      <c r="DV8" s="197"/>
      <c r="DW8" s="197"/>
      <c r="DX8" s="197"/>
      <c r="DY8" s="197"/>
      <c r="DZ8" s="197"/>
      <c r="EA8" s="197"/>
      <c r="EB8" s="197"/>
      <c r="EC8" s="197"/>
      <c r="ED8" s="197"/>
      <c r="EE8" s="197"/>
      <c r="EF8" s="197"/>
      <c r="EG8" s="197"/>
      <c r="EH8" s="197"/>
      <c r="EI8" s="197"/>
      <c r="EJ8" s="197"/>
      <c r="EK8" s="197"/>
      <c r="EL8" s="197"/>
      <c r="EM8" s="197"/>
      <c r="EN8" s="197"/>
      <c r="EO8" s="197"/>
      <c r="EP8" s="197"/>
      <c r="EQ8" s="197"/>
      <c r="ER8" s="197"/>
      <c r="ES8" s="197"/>
      <c r="ET8" s="197"/>
      <c r="EU8" s="197"/>
      <c r="EV8" s="197"/>
      <c r="EW8" s="197"/>
      <c r="EX8" s="197"/>
      <c r="EY8" s="197"/>
      <c r="EZ8" s="197"/>
      <c r="FA8" s="197"/>
      <c r="FB8" s="197"/>
      <c r="FC8" s="197"/>
      <c r="FD8" s="197"/>
      <c r="FE8" s="197"/>
      <c r="FF8" s="197"/>
      <c r="FG8" s="197"/>
      <c r="FH8" s="197"/>
    </row>
    <row r="9" ht="50.1" customHeight="1">
      <c r="A9" s="205"/>
      <c r="B9" t="s" s="210">
        <v>81</v>
      </c>
      <c r="C9" t="s" s="210">
        <v>82</v>
      </c>
      <c r="D9" t="s" s="210">
        <v>83</v>
      </c>
      <c r="E9" s="211"/>
      <c r="F9" s="211"/>
      <c r="G9" s="211"/>
      <c r="H9" s="208"/>
      <c r="I9" s="226"/>
      <c r="J9" s="226"/>
      <c r="K9" s="227"/>
      <c r="L9" s="224"/>
      <c r="M9" s="224"/>
      <c r="N9" s="225"/>
      <c r="O9" s="197"/>
      <c r="P9" s="197"/>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c r="BJ9" s="197"/>
      <c r="BK9" s="197"/>
      <c r="BL9" s="197"/>
      <c r="BM9" s="197"/>
      <c r="BN9" s="197"/>
      <c r="BO9" s="197"/>
      <c r="BP9" s="197"/>
      <c r="BQ9" s="197"/>
      <c r="BR9" s="197"/>
      <c r="BS9" s="197"/>
      <c r="BT9" s="197"/>
      <c r="BU9" s="197"/>
      <c r="BV9" s="197"/>
      <c r="BW9" s="197"/>
      <c r="BX9" s="197"/>
      <c r="BY9" s="197"/>
      <c r="BZ9" s="197"/>
      <c r="CA9" s="197"/>
      <c r="CB9" s="197"/>
      <c r="CC9" s="197"/>
      <c r="CD9" s="197"/>
      <c r="CE9" s="197"/>
      <c r="CF9" s="197"/>
      <c r="CG9" s="197"/>
      <c r="CH9" s="197"/>
      <c r="CI9" s="197"/>
      <c r="CJ9" s="197"/>
      <c r="CK9" s="197"/>
      <c r="CL9" s="197"/>
      <c r="CM9" s="197"/>
      <c r="CN9" s="197"/>
      <c r="CO9" s="197"/>
      <c r="CP9" s="197"/>
      <c r="CQ9" s="197"/>
      <c r="CR9" s="197"/>
      <c r="CS9" s="197"/>
      <c r="CT9" s="197"/>
      <c r="CU9" s="197"/>
      <c r="CV9" s="197"/>
      <c r="CW9" s="197"/>
      <c r="CX9" s="197"/>
      <c r="CY9" s="197"/>
      <c r="CZ9" s="197"/>
      <c r="DA9" s="197"/>
      <c r="DB9" s="197"/>
      <c r="DC9" s="197"/>
      <c r="DD9" s="197"/>
      <c r="DE9" s="197"/>
      <c r="DF9" s="197"/>
      <c r="DG9" s="197"/>
      <c r="DH9" s="197"/>
      <c r="DI9" s="197"/>
      <c r="DJ9" s="197"/>
      <c r="DK9" s="197"/>
      <c r="DL9" s="197"/>
      <c r="DM9" s="197"/>
      <c r="DN9" s="197"/>
      <c r="DO9" s="197"/>
      <c r="DP9" s="197"/>
      <c r="DQ9" s="197"/>
      <c r="DR9" s="197"/>
      <c r="DS9" s="197"/>
      <c r="DT9" s="197"/>
      <c r="DU9" s="197"/>
      <c r="DV9" s="197"/>
      <c r="DW9" s="197"/>
      <c r="DX9" s="197"/>
      <c r="DY9" s="197"/>
      <c r="DZ9" s="197"/>
      <c r="EA9" s="197"/>
      <c r="EB9" s="197"/>
      <c r="EC9" s="197"/>
      <c r="ED9" s="197"/>
      <c r="EE9" s="197"/>
      <c r="EF9" s="197"/>
      <c r="EG9" s="197"/>
      <c r="EH9" s="197"/>
      <c r="EI9" s="197"/>
      <c r="EJ9" s="197"/>
      <c r="EK9" s="197"/>
      <c r="EL9" s="197"/>
      <c r="EM9" s="197"/>
      <c r="EN9" s="197"/>
      <c r="EO9" s="197"/>
      <c r="EP9" s="197"/>
      <c r="EQ9" s="197"/>
      <c r="ER9" s="197"/>
      <c r="ES9" s="197"/>
      <c r="ET9" s="197"/>
      <c r="EU9" s="197"/>
      <c r="EV9" s="197"/>
      <c r="EW9" s="197"/>
      <c r="EX9" s="197"/>
      <c r="EY9" s="197"/>
      <c r="EZ9" s="197"/>
      <c r="FA9" s="197"/>
      <c r="FB9" s="197"/>
      <c r="FC9" s="197"/>
      <c r="FD9" s="197"/>
      <c r="FE9" s="197"/>
      <c r="FF9" s="197"/>
      <c r="FG9" s="197"/>
      <c r="FH9" s="197"/>
    </row>
    <row r="10" ht="50.1" customHeight="1">
      <c r="A10" s="205"/>
      <c r="B10" t="s" s="228">
        <v>84</v>
      </c>
      <c r="C10" t="s" s="210">
        <v>85</v>
      </c>
      <c r="D10" t="s" s="228">
        <v>86</v>
      </c>
      <c r="E10" s="229"/>
      <c r="F10" s="229"/>
      <c r="G10" s="229"/>
      <c r="H10" s="208"/>
      <c r="I10" s="230"/>
      <c r="J10" s="230"/>
      <c r="K10" s="197"/>
      <c r="L10" s="224"/>
      <c r="M10" s="231"/>
      <c r="N10" s="225"/>
      <c r="O10" s="197"/>
      <c r="P10" s="197"/>
      <c r="Q10" s="197"/>
      <c r="R10" s="197"/>
      <c r="S10" s="197"/>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197"/>
      <c r="BP10" s="197"/>
      <c r="BQ10" s="197"/>
      <c r="BR10" s="197"/>
      <c r="BS10" s="197"/>
      <c r="BT10" s="197"/>
      <c r="BU10" s="197"/>
      <c r="BV10" s="197"/>
      <c r="BW10" s="197"/>
      <c r="BX10" s="197"/>
      <c r="BY10" s="197"/>
      <c r="BZ10" s="197"/>
      <c r="CA10" s="197"/>
      <c r="CB10" s="197"/>
      <c r="CC10" s="197"/>
      <c r="CD10" s="197"/>
      <c r="CE10" s="197"/>
      <c r="CF10" s="197"/>
      <c r="CG10" s="197"/>
      <c r="CH10" s="197"/>
      <c r="CI10" s="197"/>
      <c r="CJ10" s="197"/>
      <c r="CK10" s="197"/>
      <c r="CL10" s="197"/>
      <c r="CM10" s="197"/>
      <c r="CN10" s="197"/>
      <c r="CO10" s="197"/>
      <c r="CP10" s="197"/>
      <c r="CQ10" s="197"/>
      <c r="CR10" s="197"/>
      <c r="CS10" s="197"/>
      <c r="CT10" s="197"/>
      <c r="CU10" s="197"/>
      <c r="CV10" s="197"/>
      <c r="CW10" s="197"/>
      <c r="CX10" s="197"/>
      <c r="CY10" s="197"/>
      <c r="CZ10" s="197"/>
      <c r="DA10" s="197"/>
      <c r="DB10" s="197"/>
      <c r="DC10" s="197"/>
      <c r="DD10" s="197"/>
      <c r="DE10" s="197"/>
      <c r="DF10" s="197"/>
      <c r="DG10" s="197"/>
      <c r="DH10" s="197"/>
      <c r="DI10" s="197"/>
      <c r="DJ10" s="197"/>
      <c r="DK10" s="197"/>
      <c r="DL10" s="197"/>
      <c r="DM10" s="197"/>
      <c r="DN10" s="197"/>
      <c r="DO10" s="197"/>
      <c r="DP10" s="197"/>
      <c r="DQ10" s="197"/>
      <c r="DR10" s="197"/>
      <c r="DS10" s="197"/>
      <c r="DT10" s="197"/>
      <c r="DU10" s="197"/>
      <c r="DV10" s="197"/>
      <c r="DW10" s="197"/>
      <c r="DX10" s="197"/>
      <c r="DY10" s="197"/>
      <c r="DZ10" s="197"/>
      <c r="EA10" s="197"/>
      <c r="EB10" s="197"/>
      <c r="EC10" s="197"/>
      <c r="ED10" s="197"/>
      <c r="EE10" s="197"/>
      <c r="EF10" s="197"/>
      <c r="EG10" s="197"/>
      <c r="EH10" s="197"/>
      <c r="EI10" s="197"/>
      <c r="EJ10" s="197"/>
      <c r="EK10" s="197"/>
      <c r="EL10" s="197"/>
      <c r="EM10" s="197"/>
      <c r="EN10" s="197"/>
      <c r="EO10" s="197"/>
      <c r="EP10" s="197"/>
      <c r="EQ10" s="197"/>
      <c r="ER10" s="197"/>
      <c r="ES10" s="197"/>
      <c r="ET10" s="197"/>
      <c r="EU10" s="197"/>
      <c r="EV10" s="197"/>
      <c r="EW10" s="197"/>
      <c r="EX10" s="197"/>
      <c r="EY10" s="197"/>
      <c r="EZ10" s="197"/>
      <c r="FA10" s="197"/>
      <c r="FB10" s="197"/>
      <c r="FC10" s="197"/>
      <c r="FD10" s="197"/>
      <c r="FE10" s="197"/>
      <c r="FF10" s="197"/>
      <c r="FG10" s="197"/>
      <c r="FH10" s="197"/>
    </row>
    <row r="11" ht="11.25" customHeight="1">
      <c r="A11" s="197"/>
      <c r="B11" s="232"/>
      <c r="C11" s="233"/>
      <c r="D11" s="234"/>
      <c r="E11" s="235"/>
      <c r="F11" s="235"/>
      <c r="G11" s="227"/>
      <c r="H11" s="197"/>
      <c r="I11" s="197"/>
      <c r="J11" s="197"/>
      <c r="K11" s="197"/>
      <c r="L11" s="224"/>
      <c r="M11" s="231"/>
      <c r="N11" s="225"/>
      <c r="O11" s="197"/>
      <c r="P11" s="197"/>
      <c r="Q11" s="197"/>
      <c r="R11" s="197"/>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c r="BJ11" s="197"/>
      <c r="BK11" s="197"/>
      <c r="BL11" s="197"/>
      <c r="BM11" s="197"/>
      <c r="BN11" s="197"/>
      <c r="BO11" s="197"/>
      <c r="BP11" s="197"/>
      <c r="BQ11" s="197"/>
      <c r="BR11" s="197"/>
      <c r="BS11" s="197"/>
      <c r="BT11" s="197"/>
      <c r="BU11" s="197"/>
      <c r="BV11" s="197"/>
      <c r="BW11" s="197"/>
      <c r="BX11" s="197"/>
      <c r="BY11" s="197"/>
      <c r="BZ11" s="197"/>
      <c r="CA11" s="197"/>
      <c r="CB11" s="197"/>
      <c r="CC11" s="197"/>
      <c r="CD11" s="197"/>
      <c r="CE11" s="197"/>
      <c r="CF11" s="197"/>
      <c r="CG11" s="197"/>
      <c r="CH11" s="197"/>
      <c r="CI11" s="197"/>
      <c r="CJ11" s="197"/>
      <c r="CK11" s="197"/>
      <c r="CL11" s="197"/>
      <c r="CM11" s="197"/>
      <c r="CN11" s="197"/>
      <c r="CO11" s="197"/>
      <c r="CP11" s="197"/>
      <c r="CQ11" s="197"/>
      <c r="CR11" s="197"/>
      <c r="CS11" s="197"/>
      <c r="CT11" s="197"/>
      <c r="CU11" s="197"/>
      <c r="CV11" s="197"/>
      <c r="CW11" s="197"/>
      <c r="CX11" s="197"/>
      <c r="CY11" s="197"/>
      <c r="CZ11" s="197"/>
      <c r="DA11" s="197"/>
      <c r="DB11" s="197"/>
      <c r="DC11" s="197"/>
      <c r="DD11" s="197"/>
      <c r="DE11" s="197"/>
      <c r="DF11" s="197"/>
      <c r="DG11" s="197"/>
      <c r="DH11" s="197"/>
      <c r="DI11" s="197"/>
      <c r="DJ11" s="197"/>
      <c r="DK11" s="197"/>
      <c r="DL11" s="197"/>
      <c r="DM11" s="197"/>
      <c r="DN11" s="197"/>
      <c r="DO11" s="197"/>
      <c r="DP11" s="197"/>
      <c r="DQ11" s="197"/>
      <c r="DR11" s="197"/>
      <c r="DS11" s="197"/>
      <c r="DT11" s="197"/>
      <c r="DU11" s="197"/>
      <c r="DV11" s="197"/>
      <c r="DW11" s="197"/>
      <c r="DX11" s="197"/>
      <c r="DY11" s="197"/>
      <c r="DZ11" s="197"/>
      <c r="EA11" s="197"/>
      <c r="EB11" s="197"/>
      <c r="EC11" s="197"/>
      <c r="ED11" s="197"/>
      <c r="EE11" s="197"/>
      <c r="EF11" s="197"/>
      <c r="EG11" s="197"/>
      <c r="EH11" s="197"/>
      <c r="EI11" s="197"/>
      <c r="EJ11" s="197"/>
      <c r="EK11" s="197"/>
      <c r="EL11" s="197"/>
      <c r="EM11" s="197"/>
      <c r="EN11" s="197"/>
      <c r="EO11" s="197"/>
      <c r="EP11" s="197"/>
      <c r="EQ11" s="197"/>
      <c r="ER11" s="197"/>
      <c r="ES11" s="197"/>
      <c r="ET11" s="197"/>
      <c r="EU11" s="197"/>
      <c r="EV11" s="197"/>
      <c r="EW11" s="197"/>
      <c r="EX11" s="197"/>
      <c r="EY11" s="197"/>
      <c r="EZ11" s="197"/>
      <c r="FA11" s="197"/>
      <c r="FB11" s="197"/>
      <c r="FC11" s="197"/>
      <c r="FD11" s="197"/>
      <c r="FE11" s="197"/>
      <c r="FF11" s="197"/>
      <c r="FG11" s="197"/>
      <c r="FH11" s="197"/>
    </row>
    <row r="12" ht="11.25" customHeight="1">
      <c r="A12" s="197"/>
      <c r="B12" s="236"/>
      <c r="C12" s="236"/>
      <c r="D12" s="237"/>
      <c r="E12" s="238"/>
      <c r="F12" s="238"/>
      <c r="G12" s="238"/>
      <c r="H12" s="239"/>
      <c r="I12" s="239"/>
      <c r="J12" s="239"/>
      <c r="K12" s="197"/>
      <c r="L12" s="224"/>
      <c r="M12" s="231"/>
      <c r="N12" s="240"/>
      <c r="O12" s="197"/>
      <c r="P12" s="197"/>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197"/>
      <c r="BP12" s="197"/>
      <c r="BQ12" s="197"/>
      <c r="BR12" s="197"/>
      <c r="BS12" s="197"/>
      <c r="BT12" s="197"/>
      <c r="BU12" s="197"/>
      <c r="BV12" s="197"/>
      <c r="BW12" s="197"/>
      <c r="BX12" s="197"/>
      <c r="BY12" s="197"/>
      <c r="BZ12" s="197"/>
      <c r="CA12" s="197"/>
      <c r="CB12" s="197"/>
      <c r="CC12" s="197"/>
      <c r="CD12" s="197"/>
      <c r="CE12" s="197"/>
      <c r="CF12" s="197"/>
      <c r="CG12" s="197"/>
      <c r="CH12" s="197"/>
      <c r="CI12" s="197"/>
      <c r="CJ12" s="197"/>
      <c r="CK12" s="197"/>
      <c r="CL12" s="197"/>
      <c r="CM12" s="197"/>
      <c r="CN12" s="197"/>
      <c r="CO12" s="197"/>
      <c r="CP12" s="197"/>
      <c r="CQ12" s="197"/>
      <c r="CR12" s="197"/>
      <c r="CS12" s="197"/>
      <c r="CT12" s="197"/>
      <c r="CU12" s="197"/>
      <c r="CV12" s="197"/>
      <c r="CW12" s="197"/>
      <c r="CX12" s="197"/>
      <c r="CY12" s="197"/>
      <c r="CZ12" s="197"/>
      <c r="DA12" s="197"/>
      <c r="DB12" s="197"/>
      <c r="DC12" s="197"/>
      <c r="DD12" s="197"/>
      <c r="DE12" s="197"/>
      <c r="DF12" s="197"/>
      <c r="DG12" s="197"/>
      <c r="DH12" s="197"/>
      <c r="DI12" s="197"/>
      <c r="DJ12" s="197"/>
      <c r="DK12" s="197"/>
      <c r="DL12" s="197"/>
      <c r="DM12" s="197"/>
      <c r="DN12" s="197"/>
      <c r="DO12" s="197"/>
      <c r="DP12" s="197"/>
      <c r="DQ12" s="197"/>
      <c r="DR12" s="197"/>
      <c r="DS12" s="197"/>
      <c r="DT12" s="197"/>
      <c r="DU12" s="197"/>
      <c r="DV12" s="197"/>
      <c r="DW12" s="197"/>
      <c r="DX12" s="197"/>
      <c r="DY12" s="197"/>
      <c r="DZ12" s="197"/>
      <c r="EA12" s="197"/>
      <c r="EB12" s="197"/>
      <c r="EC12" s="197"/>
      <c r="ED12" s="197"/>
      <c r="EE12" s="197"/>
      <c r="EF12" s="197"/>
      <c r="EG12" s="197"/>
      <c r="EH12" s="197"/>
      <c r="EI12" s="197"/>
      <c r="EJ12" s="197"/>
      <c r="EK12" s="197"/>
      <c r="EL12" s="197"/>
      <c r="EM12" s="197"/>
      <c r="EN12" s="197"/>
      <c r="EO12" s="197"/>
      <c r="EP12" s="197"/>
      <c r="EQ12" s="197"/>
      <c r="ER12" s="197"/>
      <c r="ES12" s="197"/>
      <c r="ET12" s="197"/>
      <c r="EU12" s="197"/>
      <c r="EV12" s="197"/>
      <c r="EW12" s="197"/>
      <c r="EX12" s="197"/>
      <c r="EY12" s="197"/>
      <c r="EZ12" s="197"/>
      <c r="FA12" s="197"/>
      <c r="FB12" s="197"/>
      <c r="FC12" s="197"/>
      <c r="FD12" s="197"/>
      <c r="FE12" s="197"/>
      <c r="FF12" s="197"/>
      <c r="FG12" s="197"/>
      <c r="FH12" s="197"/>
    </row>
    <row r="13" ht="39.75" customHeight="1">
      <c r="A13" s="241"/>
      <c r="B13" t="s" s="242">
        <v>67</v>
      </c>
      <c r="C13" s="243"/>
      <c r="D13" s="244"/>
      <c r="E13" t="s" s="242">
        <v>87</v>
      </c>
      <c r="F13" s="245"/>
      <c r="G13" s="246"/>
      <c r="H13" s="246"/>
      <c r="I13" s="246"/>
      <c r="J13" s="243"/>
      <c r="K13" s="247"/>
      <c r="L13" s="224"/>
      <c r="M13" s="231"/>
      <c r="N13" s="197"/>
      <c r="O13" s="197"/>
      <c r="P13" s="197"/>
      <c r="Q13" s="197"/>
      <c r="R13" s="197"/>
      <c r="S13" s="197"/>
      <c r="T13" s="197"/>
      <c r="U13" s="197"/>
      <c r="V13" s="197"/>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197"/>
      <c r="BP13" s="197"/>
      <c r="BQ13" s="197"/>
      <c r="BR13" s="197"/>
      <c r="BS13" s="197"/>
      <c r="BT13" s="197"/>
      <c r="BU13" s="197"/>
      <c r="BV13" s="197"/>
      <c r="BW13" s="197"/>
      <c r="BX13" s="197"/>
      <c r="BY13" s="197"/>
      <c r="BZ13" s="197"/>
      <c r="CA13" s="197"/>
      <c r="CB13" s="197"/>
      <c r="CC13" s="197"/>
      <c r="CD13" s="197"/>
      <c r="CE13" s="197"/>
      <c r="CF13" s="197"/>
      <c r="CG13" s="197"/>
      <c r="CH13" s="197"/>
      <c r="CI13" s="197"/>
      <c r="CJ13" s="197"/>
      <c r="CK13" s="197"/>
      <c r="CL13" s="197"/>
      <c r="CM13" s="197"/>
      <c r="CN13" s="197"/>
      <c r="CO13" s="197"/>
      <c r="CP13" s="197"/>
      <c r="CQ13" s="197"/>
      <c r="CR13" s="197"/>
      <c r="CS13" s="197"/>
      <c r="CT13" s="197"/>
      <c r="CU13" s="197"/>
      <c r="CV13" s="197"/>
      <c r="CW13" s="197"/>
      <c r="CX13" s="197"/>
      <c r="CY13" s="197"/>
      <c r="CZ13" s="197"/>
      <c r="DA13" s="197"/>
      <c r="DB13" s="197"/>
      <c r="DC13" s="197"/>
      <c r="DD13" s="197"/>
      <c r="DE13" s="197"/>
      <c r="DF13" s="197"/>
      <c r="DG13" s="197"/>
      <c r="DH13" s="197"/>
      <c r="DI13" s="197"/>
      <c r="DJ13" s="197"/>
      <c r="DK13" s="197"/>
      <c r="DL13" s="197"/>
      <c r="DM13" s="197"/>
      <c r="DN13" s="197"/>
      <c r="DO13" s="197"/>
      <c r="DP13" s="197"/>
      <c r="DQ13" s="197"/>
      <c r="DR13" s="197"/>
      <c r="DS13" s="197"/>
      <c r="DT13" s="197"/>
      <c r="DU13" s="197"/>
      <c r="DV13" s="197"/>
      <c r="DW13" s="197"/>
      <c r="DX13" s="197"/>
      <c r="DY13" s="197"/>
      <c r="DZ13" s="197"/>
      <c r="EA13" s="197"/>
      <c r="EB13" s="197"/>
      <c r="EC13" s="197"/>
      <c r="ED13" s="197"/>
      <c r="EE13" s="197"/>
      <c r="EF13" s="197"/>
      <c r="EG13" s="197"/>
      <c r="EH13" s="197"/>
      <c r="EI13" s="197"/>
      <c r="EJ13" s="197"/>
      <c r="EK13" s="197"/>
      <c r="EL13" s="197"/>
      <c r="EM13" s="197"/>
      <c r="EN13" s="197"/>
      <c r="EO13" s="197"/>
      <c r="EP13" s="197"/>
      <c r="EQ13" s="197"/>
      <c r="ER13" s="197"/>
      <c r="ES13" s="197"/>
      <c r="ET13" s="197"/>
      <c r="EU13" s="197"/>
      <c r="EV13" s="197"/>
      <c r="EW13" s="197"/>
      <c r="EX13" s="197"/>
      <c r="EY13" s="197"/>
      <c r="EZ13" s="197"/>
      <c r="FA13" s="197"/>
      <c r="FB13" s="197"/>
      <c r="FC13" s="197"/>
      <c r="FD13" s="197"/>
      <c r="FE13" s="197"/>
      <c r="FF13" s="197"/>
      <c r="FG13" s="197"/>
      <c r="FH13" s="197"/>
    </row>
    <row r="14" ht="23.25" customHeight="1">
      <c r="A14" s="241"/>
      <c r="B14" t="s" s="248">
        <v>88</v>
      </c>
      <c r="C14" s="249"/>
      <c r="D14" s="250"/>
      <c r="E14" t="s" s="251">
        <v>89</v>
      </c>
      <c r="F14" s="252"/>
      <c r="G14" s="253"/>
      <c r="H14" t="s" s="254">
        <v>66</v>
      </c>
      <c r="I14" s="255"/>
      <c r="J14" t="s" s="256">
        <v>90</v>
      </c>
      <c r="K14" t="s" s="256">
        <v>42</v>
      </c>
      <c r="L14" s="257"/>
      <c r="M14" s="231"/>
      <c r="N14" s="197"/>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197"/>
      <c r="ED14" s="197"/>
      <c r="EE14" s="197"/>
      <c r="EF14" s="197"/>
      <c r="EG14" s="197"/>
      <c r="EH14" s="197"/>
      <c r="EI14" s="197"/>
      <c r="EJ14" s="197"/>
      <c r="EK14" s="197"/>
      <c r="EL14" s="197"/>
      <c r="EM14" s="197"/>
      <c r="EN14" s="197"/>
      <c r="EO14" s="197"/>
      <c r="EP14" s="197"/>
      <c r="EQ14" s="197"/>
      <c r="ER14" s="197"/>
      <c r="ES14" s="197"/>
      <c r="ET14" s="197"/>
      <c r="EU14" s="197"/>
      <c r="EV14" s="197"/>
      <c r="EW14" s="197"/>
      <c r="EX14" s="197"/>
      <c r="EY14" s="197"/>
      <c r="EZ14" s="197"/>
      <c r="FA14" s="197"/>
      <c r="FB14" s="197"/>
      <c r="FC14" s="197"/>
      <c r="FD14" s="197"/>
      <c r="FE14" s="197"/>
      <c r="FF14" s="197"/>
      <c r="FG14" s="197"/>
      <c r="FH14" s="197"/>
    </row>
    <row r="15" ht="40.5" customHeight="1">
      <c r="A15" s="241"/>
      <c r="B15" s="258"/>
      <c r="C15" s="259"/>
      <c r="D15" s="250"/>
      <c r="E15" s="260"/>
      <c r="F15" s="261"/>
      <c r="G15" s="262"/>
      <c r="H15" t="s" s="263">
        <v>91</v>
      </c>
      <c r="I15" t="s" s="263">
        <v>92</v>
      </c>
      <c r="J15" s="264"/>
      <c r="K15" s="264"/>
      <c r="L15" s="257"/>
      <c r="M15" s="265"/>
      <c r="N15" s="197"/>
      <c r="O15" s="197"/>
      <c r="P15" s="197"/>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7"/>
      <c r="BU15" s="197"/>
      <c r="BV15" s="197"/>
      <c r="BW15" s="197"/>
      <c r="BX15" s="197"/>
      <c r="BY15" s="197"/>
      <c r="BZ15" s="197"/>
      <c r="CA15" s="197"/>
      <c r="CB15" s="197"/>
      <c r="CC15" s="197"/>
      <c r="CD15" s="197"/>
      <c r="CE15" s="197"/>
      <c r="CF15" s="197"/>
      <c r="CG15" s="197"/>
      <c r="CH15" s="197"/>
      <c r="CI15" s="197"/>
      <c r="CJ15" s="197"/>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c r="DO15" s="197"/>
      <c r="DP15" s="197"/>
      <c r="DQ15" s="197"/>
      <c r="DR15" s="197"/>
      <c r="DS15" s="197"/>
      <c r="DT15" s="197"/>
      <c r="DU15" s="197"/>
      <c r="DV15" s="197"/>
      <c r="DW15" s="197"/>
      <c r="DX15" s="197"/>
      <c r="DY15" s="197"/>
      <c r="DZ15" s="197"/>
      <c r="EA15" s="197"/>
      <c r="EB15" s="197"/>
      <c r="EC15" s="197"/>
      <c r="ED15" s="197"/>
      <c r="EE15" s="197"/>
      <c r="EF15" s="197"/>
      <c r="EG15" s="197"/>
      <c r="EH15" s="197"/>
      <c r="EI15" s="197"/>
      <c r="EJ15" s="197"/>
      <c r="EK15" s="197"/>
      <c r="EL15" s="197"/>
      <c r="EM15" s="197"/>
      <c r="EN15" s="197"/>
      <c r="EO15" s="197"/>
      <c r="EP15" s="197"/>
      <c r="EQ15" s="197"/>
      <c r="ER15" s="197"/>
      <c r="ES15" s="197"/>
      <c r="ET15" s="197"/>
      <c r="EU15" s="197"/>
      <c r="EV15" s="197"/>
      <c r="EW15" s="197"/>
      <c r="EX15" s="197"/>
      <c r="EY15" s="197"/>
      <c r="EZ15" s="197"/>
      <c r="FA15" s="197"/>
      <c r="FB15" s="197"/>
      <c r="FC15" s="197"/>
      <c r="FD15" s="197"/>
      <c r="FE15" s="197"/>
      <c r="FF15" s="197"/>
      <c r="FG15" s="197"/>
      <c r="FH15" s="197"/>
    </row>
    <row r="16" ht="268.5" customHeight="1">
      <c r="A16" s="241"/>
      <c r="B16" t="s" s="266">
        <v>93</v>
      </c>
      <c r="C16" s="267"/>
      <c r="D16" s="268"/>
      <c r="E16" t="str" s="269" cm="1">
        <f t="array" ref="E16">VLOOKUP(H16,'V-lookup'!B4:C8,2,FALSE)</f>
        <v> يطلب مشاركة الأخرين 
 يشاورهم و يبادر بالتواصل مع الأخرين
يتناقش في وجهات نظر متعددة بوضوح و بطريقة بنائه
يعرض و يوصل المعلومات و المعرفة لمجموعة من الناس
يلتزم بوعوده  للعميل 
يفهم أولويات الفريق و يكيف مهامة تبعاً لذلك
ينمي أهداف الفريق أكثر من أهدافه
يحافظ على السلوك الإيجابي لفريق العمل في الأوقات العصيبة
يظهر الإلتزام للمنظمة و أهدافها و قيمها
يفهم و يراعي متطلبات وظيفته
</v>
      </c>
      <c r="F16" s="270"/>
      <c r="G16" s="271"/>
      <c r="H16" s="272">
        <v>2</v>
      </c>
      <c r="I16" t="s" s="273">
        <v>72</v>
      </c>
      <c r="J16" s="274" cm="1">
        <f t="array" ref="J16">IF(I16="مميز وكفء",105%,IF(I16="فعال",95%,IF(I16="جيد",85%,IF(I16="مقبول",70%,IF(I16="غير مرض",60%,IF(I16="ضعيف",0%,"#N/ A"))))))</f>
        <v>0.95</v>
      </c>
      <c r="K16" s="274"/>
      <c r="L16" s="257"/>
      <c r="M16" s="197"/>
      <c r="N16" s="197"/>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7"/>
      <c r="BS16" s="197"/>
      <c r="BT16" s="197"/>
      <c r="BU16" s="197"/>
      <c r="BV16" s="197"/>
      <c r="BW16" s="197"/>
      <c r="BX16" s="197"/>
      <c r="BY16" s="197"/>
      <c r="BZ16" s="197"/>
      <c r="CA16" s="197"/>
      <c r="CB16" s="197"/>
      <c r="CC16" s="197"/>
      <c r="CD16" s="197"/>
      <c r="CE16" s="197"/>
      <c r="CF16" s="197"/>
      <c r="CG16" s="197"/>
      <c r="CH16" s="197"/>
      <c r="CI16" s="197"/>
      <c r="CJ16" s="197"/>
      <c r="CK16" s="197"/>
      <c r="CL16" s="197"/>
      <c r="CM16" s="197"/>
      <c r="CN16" s="197"/>
      <c r="CO16" s="197"/>
      <c r="CP16" s="197"/>
      <c r="CQ16" s="197"/>
      <c r="CR16" s="197"/>
      <c r="CS16" s="197"/>
      <c r="CT16" s="197"/>
      <c r="CU16" s="197"/>
      <c r="CV16" s="197"/>
      <c r="CW16" s="197"/>
      <c r="CX16" s="197"/>
      <c r="CY16" s="197"/>
      <c r="CZ16" s="197"/>
      <c r="DA16" s="197"/>
      <c r="DB16" s="197"/>
      <c r="DC16" s="197"/>
      <c r="DD16" s="197"/>
      <c r="DE16" s="197"/>
      <c r="DF16" s="197"/>
      <c r="DG16" s="197"/>
      <c r="DH16" s="197"/>
      <c r="DI16" s="197"/>
      <c r="DJ16" s="197"/>
      <c r="DK16" s="197"/>
      <c r="DL16" s="197"/>
      <c r="DM16" s="197"/>
      <c r="DN16" s="197"/>
      <c r="DO16" s="197"/>
      <c r="DP16" s="197"/>
      <c r="DQ16" s="197"/>
      <c r="DR16" s="197"/>
      <c r="DS16" s="197"/>
      <c r="DT16" s="197"/>
      <c r="DU16" s="197"/>
      <c r="DV16" s="197"/>
      <c r="DW16" s="197"/>
      <c r="DX16" s="197"/>
      <c r="DY16" s="197"/>
      <c r="DZ16" s="197"/>
      <c r="EA16" s="197"/>
      <c r="EB16" s="197"/>
      <c r="EC16" s="197"/>
      <c r="ED16" s="197"/>
      <c r="EE16" s="197"/>
      <c r="EF16" s="197"/>
      <c r="EG16" s="197"/>
      <c r="EH16" s="197"/>
      <c r="EI16" s="197"/>
      <c r="EJ16" s="197"/>
      <c r="EK16" s="197"/>
      <c r="EL16" s="197"/>
      <c r="EM16" s="197"/>
      <c r="EN16" s="197"/>
      <c r="EO16" s="197"/>
      <c r="EP16" s="197"/>
      <c r="EQ16" s="197"/>
      <c r="ER16" s="197"/>
      <c r="ES16" s="197"/>
      <c r="ET16" s="197"/>
      <c r="EU16" s="197"/>
      <c r="EV16" s="197"/>
      <c r="EW16" s="197"/>
      <c r="EX16" s="197"/>
      <c r="EY16" s="197"/>
      <c r="EZ16" s="197"/>
      <c r="FA16" s="197"/>
      <c r="FB16" s="197"/>
      <c r="FC16" s="197"/>
      <c r="FD16" s="197"/>
      <c r="FE16" s="197"/>
      <c r="FF16" s="197"/>
      <c r="FG16" s="197"/>
      <c r="FH16" s="197"/>
    </row>
    <row r="17" ht="192" customHeight="1">
      <c r="A17" s="241"/>
      <c r="B17" t="s" s="266">
        <v>95</v>
      </c>
      <c r="C17" s="267"/>
      <c r="D17" s="268"/>
      <c r="E17" t="str" s="269" cm="1">
        <f t="array" ref="E17">VLOOKUP(H17,'V-lookup'!D4:E8,2,FALSE)</f>
        <v> دائما يعمل علي انجاز مهامه وأهدافه بغض النظر عن الصعاب التي قد يواجهها
 يتحمل المسؤوليه تجاه عمله ونتائجه ويطلب التعليق عليه
دائما يعمل علي تحسين نتائج عمله
يسعى ويطلب التوجيه من المشرفين عند مواجهة الصعاب فى العمل
يستكشف كل السبل الممكنة مع كل الأطراف فى العمل فى ضوء سلطاته</v>
      </c>
      <c r="F17" s="270"/>
      <c r="G17" s="271"/>
      <c r="H17" s="272">
        <v>2</v>
      </c>
      <c r="I17" t="s" s="273">
        <v>72</v>
      </c>
      <c r="J17" s="274" cm="1">
        <f t="array" ref="J17">IF(I17="مميز وكفء",105%,IF(I17="فعال",95%,IF(I17="جيد",85%,IF(I17="مقبول",70%,IF(I17="غير مرض",60%,IF(I17="ضعيف",0%,"#N/ A"))))))</f>
        <v>0.95</v>
      </c>
      <c r="K17" s="274"/>
      <c r="L17" s="257"/>
      <c r="M17" s="197"/>
      <c r="N17" s="197"/>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c r="CB17" s="197"/>
      <c r="CC17" s="197"/>
      <c r="CD17" s="197"/>
      <c r="CE17" s="197"/>
      <c r="CF17" s="197"/>
      <c r="CG17" s="197"/>
      <c r="CH17" s="197"/>
      <c r="CI17" s="197"/>
      <c r="CJ17" s="197"/>
      <c r="CK17" s="197"/>
      <c r="CL17" s="197"/>
      <c r="CM17" s="197"/>
      <c r="CN17" s="197"/>
      <c r="CO17" s="197"/>
      <c r="CP17" s="197"/>
      <c r="CQ17" s="197"/>
      <c r="CR17" s="197"/>
      <c r="CS17" s="197"/>
      <c r="CT17" s="197"/>
      <c r="CU17" s="197"/>
      <c r="CV17" s="197"/>
      <c r="CW17" s="197"/>
      <c r="CX17" s="197"/>
      <c r="CY17" s="197"/>
      <c r="CZ17" s="197"/>
      <c r="DA17" s="197"/>
      <c r="DB17" s="197"/>
      <c r="DC17" s="197"/>
      <c r="DD17" s="197"/>
      <c r="DE17" s="197"/>
      <c r="DF17" s="197"/>
      <c r="DG17" s="197"/>
      <c r="DH17" s="197"/>
      <c r="DI17" s="197"/>
      <c r="DJ17" s="197"/>
      <c r="DK17" s="197"/>
      <c r="DL17" s="197"/>
      <c r="DM17" s="197"/>
      <c r="DN17" s="197"/>
      <c r="DO17" s="197"/>
      <c r="DP17" s="197"/>
      <c r="DQ17" s="197"/>
      <c r="DR17" s="197"/>
      <c r="DS17" s="197"/>
      <c r="DT17" s="197"/>
      <c r="DU17" s="197"/>
      <c r="DV17" s="197"/>
      <c r="DW17" s="197"/>
      <c r="DX17" s="197"/>
      <c r="DY17" s="197"/>
      <c r="DZ17" s="197"/>
      <c r="EA17" s="197"/>
      <c r="EB17" s="197"/>
      <c r="EC17" s="197"/>
      <c r="ED17" s="197"/>
      <c r="EE17" s="197"/>
      <c r="EF17" s="197"/>
      <c r="EG17" s="197"/>
      <c r="EH17" s="197"/>
      <c r="EI17" s="197"/>
      <c r="EJ17" s="197"/>
      <c r="EK17" s="197"/>
      <c r="EL17" s="197"/>
      <c r="EM17" s="197"/>
      <c r="EN17" s="197"/>
      <c r="EO17" s="197"/>
      <c r="EP17" s="197"/>
      <c r="EQ17" s="197"/>
      <c r="ER17" s="197"/>
      <c r="ES17" s="197"/>
      <c r="ET17" s="197"/>
      <c r="EU17" s="197"/>
      <c r="EV17" s="197"/>
      <c r="EW17" s="197"/>
      <c r="EX17" s="197"/>
      <c r="EY17" s="197"/>
      <c r="EZ17" s="197"/>
      <c r="FA17" s="197"/>
      <c r="FB17" s="197"/>
      <c r="FC17" s="197"/>
      <c r="FD17" s="197"/>
      <c r="FE17" s="197"/>
      <c r="FF17" s="197"/>
      <c r="FG17" s="197"/>
      <c r="FH17" s="197"/>
    </row>
    <row r="18" ht="165" customHeight="1">
      <c r="A18" s="241"/>
      <c r="B18" t="s" s="266">
        <v>97</v>
      </c>
      <c r="C18" s="267"/>
      <c r="D18" s="268"/>
      <c r="E18" t="str" s="269" cm="1">
        <f t="array" ref="E18">VLOOKUP(H18,'V-lookup'!F4:G8,2,FALSE)</f>
        <v> يلتزم ويهتم بشؤون العميل.
  يحدد متطلبات العميل وتوقعاته.
يوضح المزايا للعميل
يتفهم العميل وموقفه
 يتقبل رد فعل العميل بطريقة ايجابية ويظهر الاستعداد لحل مشاكله.
 يلاحظ مشاكل وطلبات العميل ويستجيب لها فى اطار مسؤولياته</v>
      </c>
      <c r="F18" s="270"/>
      <c r="G18" s="271"/>
      <c r="H18" s="272">
        <v>2</v>
      </c>
      <c r="I18" t="s" s="273">
        <v>72</v>
      </c>
      <c r="J18" s="274" cm="1">
        <f t="array" ref="J18">IF(I18="مميز وكفء",105%,IF(I18="فعال",95%,IF(I18="جيد",85%,IF(I18="مقبول",70%,IF(I18="غير مرض",60%,IF(I18="ضعيف",0%,"#N/ A"))))))</f>
        <v>0.95</v>
      </c>
      <c r="K18" s="274"/>
      <c r="L18" s="257"/>
      <c r="M18" s="197"/>
      <c r="N18" s="197"/>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c r="BO18" s="197"/>
      <c r="BP18" s="197"/>
      <c r="BQ18" s="197"/>
      <c r="BR18" s="197"/>
      <c r="BS18" s="197"/>
      <c r="BT18" s="197"/>
      <c r="BU18" s="197"/>
      <c r="BV18" s="197"/>
      <c r="BW18" s="197"/>
      <c r="BX18" s="197"/>
      <c r="BY18" s="197"/>
      <c r="BZ18" s="197"/>
      <c r="CA18" s="197"/>
      <c r="CB18" s="197"/>
      <c r="CC18" s="197"/>
      <c r="CD18" s="197"/>
      <c r="CE18" s="197"/>
      <c r="CF18" s="197"/>
      <c r="CG18" s="197"/>
      <c r="CH18" s="197"/>
      <c r="CI18" s="197"/>
      <c r="CJ18" s="197"/>
      <c r="CK18" s="197"/>
      <c r="CL18" s="197"/>
      <c r="CM18" s="197"/>
      <c r="CN18" s="197"/>
      <c r="CO18" s="197"/>
      <c r="CP18" s="197"/>
      <c r="CQ18" s="197"/>
      <c r="CR18" s="197"/>
      <c r="CS18" s="197"/>
      <c r="CT18" s="197"/>
      <c r="CU18" s="197"/>
      <c r="CV18" s="197"/>
      <c r="CW18" s="197"/>
      <c r="CX18" s="197"/>
      <c r="CY18" s="197"/>
      <c r="CZ18" s="197"/>
      <c r="DA18" s="197"/>
      <c r="DB18" s="197"/>
      <c r="DC18" s="197"/>
      <c r="DD18" s="197"/>
      <c r="DE18" s="197"/>
      <c r="DF18" s="197"/>
      <c r="DG18" s="197"/>
      <c r="DH18" s="197"/>
      <c r="DI18" s="197"/>
      <c r="DJ18" s="197"/>
      <c r="DK18" s="197"/>
      <c r="DL18" s="197"/>
      <c r="DM18" s="197"/>
      <c r="DN18" s="197"/>
      <c r="DO18" s="197"/>
      <c r="DP18" s="197"/>
      <c r="DQ18" s="197"/>
      <c r="DR18" s="197"/>
      <c r="DS18" s="197"/>
      <c r="DT18" s="197"/>
      <c r="DU18" s="197"/>
      <c r="DV18" s="197"/>
      <c r="DW18" s="197"/>
      <c r="DX18" s="197"/>
      <c r="DY18" s="197"/>
      <c r="DZ18" s="197"/>
      <c r="EA18" s="197"/>
      <c r="EB18" s="197"/>
      <c r="EC18" s="197"/>
      <c r="ED18" s="197"/>
      <c r="EE18" s="197"/>
      <c r="EF18" s="197"/>
      <c r="EG18" s="197"/>
      <c r="EH18" s="197"/>
      <c r="EI18" s="197"/>
      <c r="EJ18" s="197"/>
      <c r="EK18" s="197"/>
      <c r="EL18" s="197"/>
      <c r="EM18" s="197"/>
      <c r="EN18" s="197"/>
      <c r="EO18" s="197"/>
      <c r="EP18" s="197"/>
      <c r="EQ18" s="197"/>
      <c r="ER18" s="197"/>
      <c r="ES18" s="197"/>
      <c r="ET18" s="197"/>
      <c r="EU18" s="197"/>
      <c r="EV18" s="197"/>
      <c r="EW18" s="197"/>
      <c r="EX18" s="197"/>
      <c r="EY18" s="197"/>
      <c r="EZ18" s="197"/>
      <c r="FA18" s="197"/>
      <c r="FB18" s="197"/>
      <c r="FC18" s="197"/>
      <c r="FD18" s="197"/>
      <c r="FE18" s="197"/>
      <c r="FF18" s="197"/>
      <c r="FG18" s="197"/>
      <c r="FH18" s="197"/>
    </row>
    <row r="19" ht="11.25" customHeight="1">
      <c r="A19" s="197"/>
      <c r="B19" s="275"/>
      <c r="C19" s="275"/>
      <c r="D19" s="276"/>
      <c r="E19" s="277"/>
      <c r="F19" s="277"/>
      <c r="G19" s="277"/>
      <c r="H19" s="278"/>
      <c r="I19" s="278"/>
      <c r="J19" s="279"/>
      <c r="K19" s="274"/>
      <c r="L19" s="257"/>
      <c r="M19" s="280"/>
      <c r="N19" s="280"/>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7"/>
      <c r="BK19" s="197"/>
      <c r="BL19" s="197"/>
      <c r="BM19" s="197"/>
      <c r="BN19" s="197"/>
      <c r="BO19" s="197"/>
      <c r="BP19" s="197"/>
      <c r="BQ19" s="197"/>
      <c r="BR19" s="197"/>
      <c r="BS19" s="197"/>
      <c r="BT19" s="197"/>
      <c r="BU19" s="197"/>
      <c r="BV19" s="197"/>
      <c r="BW19" s="197"/>
      <c r="BX19" s="197"/>
      <c r="BY19" s="197"/>
      <c r="BZ19" s="197"/>
      <c r="CA19" s="197"/>
      <c r="CB19" s="197"/>
      <c r="CC19" s="197"/>
      <c r="CD19" s="197"/>
      <c r="CE19" s="197"/>
      <c r="CF19" s="197"/>
      <c r="CG19" s="197"/>
      <c r="CH19" s="197"/>
      <c r="CI19" s="197"/>
      <c r="CJ19" s="197"/>
      <c r="CK19" s="197"/>
      <c r="CL19" s="197"/>
      <c r="CM19" s="197"/>
      <c r="CN19" s="197"/>
      <c r="CO19" s="197"/>
      <c r="CP19" s="197"/>
      <c r="CQ19" s="197"/>
      <c r="CR19" s="197"/>
      <c r="CS19" s="197"/>
      <c r="CT19" s="197"/>
      <c r="CU19" s="197"/>
      <c r="CV19" s="197"/>
      <c r="CW19" s="197"/>
      <c r="CX19" s="197"/>
      <c r="CY19" s="197"/>
      <c r="CZ19" s="197"/>
      <c r="DA19" s="197"/>
      <c r="DB19" s="197"/>
      <c r="DC19" s="197"/>
      <c r="DD19" s="197"/>
      <c r="DE19" s="197"/>
      <c r="DF19" s="197"/>
      <c r="DG19" s="197"/>
      <c r="DH19" s="197"/>
      <c r="DI19" s="197"/>
      <c r="DJ19" s="197"/>
      <c r="DK19" s="197"/>
      <c r="DL19" s="197"/>
      <c r="DM19" s="197"/>
      <c r="DN19" s="197"/>
      <c r="DO19" s="197"/>
      <c r="DP19" s="197"/>
      <c r="DQ19" s="197"/>
      <c r="DR19" s="197"/>
      <c r="DS19" s="197"/>
      <c r="DT19" s="197"/>
      <c r="DU19" s="197"/>
      <c r="DV19" s="197"/>
      <c r="DW19" s="197"/>
      <c r="DX19" s="197"/>
      <c r="DY19" s="197"/>
      <c r="DZ19" s="197"/>
      <c r="EA19" s="197"/>
      <c r="EB19" s="197"/>
      <c r="EC19" s="197"/>
      <c r="ED19" s="197"/>
      <c r="EE19" s="197"/>
      <c r="EF19" s="197"/>
      <c r="EG19" s="197"/>
      <c r="EH19" s="197"/>
      <c r="EI19" s="197"/>
      <c r="EJ19" s="197"/>
      <c r="EK19" s="197"/>
      <c r="EL19" s="197"/>
      <c r="EM19" s="197"/>
      <c r="EN19" s="197"/>
      <c r="EO19" s="197"/>
      <c r="EP19" s="197"/>
      <c r="EQ19" s="197"/>
      <c r="ER19" s="197"/>
      <c r="ES19" s="197"/>
      <c r="ET19" s="197"/>
      <c r="EU19" s="197"/>
      <c r="EV19" s="197"/>
      <c r="EW19" s="197"/>
      <c r="EX19" s="197"/>
      <c r="EY19" s="197"/>
      <c r="EZ19" s="197"/>
      <c r="FA19" s="197"/>
      <c r="FB19" s="197"/>
      <c r="FC19" s="197"/>
      <c r="FD19" s="197"/>
      <c r="FE19" s="197"/>
      <c r="FF19" s="197"/>
      <c r="FG19" s="197"/>
      <c r="FH19" s="197"/>
    </row>
    <row r="20" ht="54.75" customHeight="1">
      <c r="A20" s="205"/>
      <c r="B20" t="s" s="281">
        <v>67</v>
      </c>
      <c r="C20" s="282"/>
      <c r="D20" s="283"/>
      <c r="E20" t="s" s="281">
        <v>87</v>
      </c>
      <c r="F20" s="284"/>
      <c r="G20" s="282"/>
      <c r="H20" s="282"/>
      <c r="I20" s="282"/>
      <c r="J20" s="285"/>
      <c r="K20" s="274"/>
      <c r="L20" s="257"/>
      <c r="M20" s="197"/>
      <c r="N20" s="197"/>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197"/>
      <c r="BP20" s="197"/>
      <c r="BQ20" s="197"/>
      <c r="BR20" s="197"/>
      <c r="BS20" s="197"/>
      <c r="BT20" s="197"/>
      <c r="BU20" s="197"/>
      <c r="BV20" s="197"/>
      <c r="BW20" s="197"/>
      <c r="BX20" s="197"/>
      <c r="BY20" s="197"/>
      <c r="BZ20" s="197"/>
      <c r="CA20" s="197"/>
      <c r="CB20" s="197"/>
      <c r="CC20" s="197"/>
      <c r="CD20" s="197"/>
      <c r="CE20" s="197"/>
      <c r="CF20" s="197"/>
      <c r="CG20" s="197"/>
      <c r="CH20" s="197"/>
      <c r="CI20" s="197"/>
      <c r="CJ20" s="197"/>
      <c r="CK20" s="197"/>
      <c r="CL20" s="197"/>
      <c r="CM20" s="197"/>
      <c r="CN20" s="197"/>
      <c r="CO20" s="197"/>
      <c r="CP20" s="197"/>
      <c r="CQ20" s="197"/>
      <c r="CR20" s="197"/>
      <c r="CS20" s="197"/>
      <c r="CT20" s="197"/>
      <c r="CU20" s="197"/>
      <c r="CV20" s="197"/>
      <c r="CW20" s="197"/>
      <c r="CX20" s="197"/>
      <c r="CY20" s="197"/>
      <c r="CZ20" s="197"/>
      <c r="DA20" s="197"/>
      <c r="DB20" s="197"/>
      <c r="DC20" s="197"/>
      <c r="DD20" s="197"/>
      <c r="DE20" s="197"/>
      <c r="DF20" s="197"/>
      <c r="DG20" s="197"/>
      <c r="DH20" s="197"/>
      <c r="DI20" s="197"/>
      <c r="DJ20" s="197"/>
      <c r="DK20" s="197"/>
      <c r="DL20" s="197"/>
      <c r="DM20" s="197"/>
      <c r="DN20" s="197"/>
      <c r="DO20" s="197"/>
      <c r="DP20" s="197"/>
      <c r="DQ20" s="197"/>
      <c r="DR20" s="197"/>
      <c r="DS20" s="197"/>
      <c r="DT20" s="197"/>
      <c r="DU20" s="197"/>
      <c r="DV20" s="197"/>
      <c r="DW20" s="197"/>
      <c r="DX20" s="197"/>
      <c r="DY20" s="197"/>
      <c r="DZ20" s="197"/>
      <c r="EA20" s="197"/>
      <c r="EB20" s="197"/>
      <c r="EC20" s="197"/>
      <c r="ED20" s="197"/>
      <c r="EE20" s="197"/>
      <c r="EF20" s="197"/>
      <c r="EG20" s="197"/>
      <c r="EH20" s="197"/>
      <c r="EI20" s="197"/>
      <c r="EJ20" s="197"/>
      <c r="EK20" s="197"/>
      <c r="EL20" s="197"/>
      <c r="EM20" s="197"/>
      <c r="EN20" s="197"/>
      <c r="EO20" s="197"/>
      <c r="EP20" s="197"/>
      <c r="EQ20" s="197"/>
      <c r="ER20" s="197"/>
      <c r="ES20" s="197"/>
      <c r="ET20" s="197"/>
      <c r="EU20" s="197"/>
      <c r="EV20" s="197"/>
      <c r="EW20" s="197"/>
      <c r="EX20" s="197"/>
      <c r="EY20" s="197"/>
      <c r="EZ20" s="197"/>
      <c r="FA20" s="197"/>
      <c r="FB20" s="197"/>
      <c r="FC20" s="197"/>
      <c r="FD20" s="197"/>
      <c r="FE20" s="197"/>
      <c r="FF20" s="197"/>
      <c r="FG20" s="197"/>
      <c r="FH20" s="197"/>
    </row>
    <row r="21" ht="23.25" customHeight="1">
      <c r="A21" t="s" s="286">
        <v>99</v>
      </c>
      <c r="B21" t="s" s="287">
        <v>100</v>
      </c>
      <c r="C21" s="288"/>
      <c r="D21" s="289"/>
      <c r="E21" t="s" s="290">
        <v>89</v>
      </c>
      <c r="F21" s="291"/>
      <c r="G21" s="292"/>
      <c r="H21" t="s" s="293">
        <v>66</v>
      </c>
      <c r="I21" s="294"/>
      <c r="J21" t="s" s="295">
        <v>90</v>
      </c>
      <c r="K21" t="s" s="256">
        <v>42</v>
      </c>
      <c r="L21" s="257"/>
      <c r="M21" s="197"/>
      <c r="N21" s="197"/>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c r="BQ21" s="197"/>
      <c r="BR21" s="197"/>
      <c r="BS21" s="197"/>
      <c r="BT21" s="197"/>
      <c r="BU21" s="197"/>
      <c r="BV21" s="197"/>
      <c r="BW21" s="197"/>
      <c r="BX21" s="197"/>
      <c r="BY21" s="197"/>
      <c r="BZ21" s="197"/>
      <c r="CA21" s="197"/>
      <c r="CB21" s="197"/>
      <c r="CC21" s="197"/>
      <c r="CD21" s="197"/>
      <c r="CE21" s="197"/>
      <c r="CF21" s="197"/>
      <c r="CG21" s="197"/>
      <c r="CH21" s="197"/>
      <c r="CI21" s="197"/>
      <c r="CJ21" s="197"/>
      <c r="CK21" s="197"/>
      <c r="CL21" s="197"/>
      <c r="CM21" s="197"/>
      <c r="CN21" s="197"/>
      <c r="CO21" s="197"/>
      <c r="CP21" s="197"/>
      <c r="CQ21" s="197"/>
      <c r="CR21" s="197"/>
      <c r="CS21" s="197"/>
      <c r="CT21" s="197"/>
      <c r="CU21" s="197"/>
      <c r="CV21" s="197"/>
      <c r="CW21" s="197"/>
      <c r="CX21" s="197"/>
      <c r="CY21" s="197"/>
      <c r="CZ21" s="197"/>
      <c r="DA21" s="197"/>
      <c r="DB21" s="197"/>
      <c r="DC21" s="197"/>
      <c r="DD21" s="197"/>
      <c r="DE21" s="197"/>
      <c r="DF21" s="197"/>
      <c r="DG21" s="197"/>
      <c r="DH21" s="197"/>
      <c r="DI21" s="197"/>
      <c r="DJ21" s="197"/>
      <c r="DK21" s="197"/>
      <c r="DL21" s="197"/>
      <c r="DM21" s="197"/>
      <c r="DN21" s="197"/>
      <c r="DO21" s="197"/>
      <c r="DP21" s="197"/>
      <c r="DQ21" s="197"/>
      <c r="DR21" s="197"/>
      <c r="DS21" s="197"/>
      <c r="DT21" s="197"/>
      <c r="DU21" s="197"/>
      <c r="DV21" s="197"/>
      <c r="DW21" s="197"/>
      <c r="DX21" s="197"/>
      <c r="DY21" s="197"/>
      <c r="DZ21" s="197"/>
      <c r="EA21" s="197"/>
      <c r="EB21" s="197"/>
      <c r="EC21" s="197"/>
      <c r="ED21" s="197"/>
      <c r="EE21" s="197"/>
      <c r="EF21" s="197"/>
      <c r="EG21" s="197"/>
      <c r="EH21" s="197"/>
      <c r="EI21" s="197"/>
      <c r="EJ21" s="197"/>
      <c r="EK21" s="197"/>
      <c r="EL21" s="197"/>
      <c r="EM21" s="197"/>
      <c r="EN21" s="197"/>
      <c r="EO21" s="197"/>
      <c r="EP21" s="197"/>
      <c r="EQ21" s="197"/>
      <c r="ER21" s="197"/>
      <c r="ES21" s="197"/>
      <c r="ET21" s="197"/>
      <c r="EU21" s="197"/>
      <c r="EV21" s="197"/>
      <c r="EW21" s="197"/>
      <c r="EX21" s="197"/>
      <c r="EY21" s="197"/>
      <c r="EZ21" s="197"/>
      <c r="FA21" s="197"/>
      <c r="FB21" s="197"/>
      <c r="FC21" s="197"/>
      <c r="FD21" s="197"/>
      <c r="FE21" s="197"/>
      <c r="FF21" s="197"/>
      <c r="FG21" s="197"/>
      <c r="FH21" s="197"/>
    </row>
    <row r="22" ht="33" customHeight="1">
      <c r="A22" s="296"/>
      <c r="B22" s="258"/>
      <c r="C22" s="259"/>
      <c r="D22" s="297"/>
      <c r="E22" s="260"/>
      <c r="F22" s="261"/>
      <c r="G22" s="262"/>
      <c r="H22" t="s" s="263">
        <v>101</v>
      </c>
      <c r="I22" t="s" s="263">
        <v>92</v>
      </c>
      <c r="J22" s="264"/>
      <c r="K22" s="264"/>
      <c r="L22" s="257"/>
      <c r="M22" s="197"/>
      <c r="N22" s="197"/>
      <c r="O22" s="197"/>
      <c r="P22" s="197"/>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c r="BJ22" s="197"/>
      <c r="BK22" s="197"/>
      <c r="BL22" s="197"/>
      <c r="BM22" s="197"/>
      <c r="BN22" s="197"/>
      <c r="BO22" s="197"/>
      <c r="BP22" s="197"/>
      <c r="BQ22" s="197"/>
      <c r="BR22" s="197"/>
      <c r="BS22" s="197"/>
      <c r="BT22" s="197"/>
      <c r="BU22" s="197"/>
      <c r="BV22" s="197"/>
      <c r="BW22" s="197"/>
      <c r="BX22" s="197"/>
      <c r="BY22" s="197"/>
      <c r="BZ22" s="197"/>
      <c r="CA22" s="197"/>
      <c r="CB22" s="197"/>
      <c r="CC22" s="197"/>
      <c r="CD22" s="197"/>
      <c r="CE22" s="197"/>
      <c r="CF22" s="197"/>
      <c r="CG22" s="197"/>
      <c r="CH22" s="197"/>
      <c r="CI22" s="197"/>
      <c r="CJ22" s="197"/>
      <c r="CK22" s="197"/>
      <c r="CL22" s="197"/>
      <c r="CM22" s="197"/>
      <c r="CN22" s="197"/>
      <c r="CO22" s="197"/>
      <c r="CP22" s="197"/>
      <c r="CQ22" s="197"/>
      <c r="CR22" s="197"/>
      <c r="CS22" s="197"/>
      <c r="CT22" s="197"/>
      <c r="CU22" s="197"/>
      <c r="CV22" s="197"/>
      <c r="CW22" s="197"/>
      <c r="CX22" s="197"/>
      <c r="CY22" s="197"/>
      <c r="CZ22" s="197"/>
      <c r="DA22" s="197"/>
      <c r="DB22" s="197"/>
      <c r="DC22" s="197"/>
      <c r="DD22" s="197"/>
      <c r="DE22" s="197"/>
      <c r="DF22" s="197"/>
      <c r="DG22" s="197"/>
      <c r="DH22" s="197"/>
      <c r="DI22" s="197"/>
      <c r="DJ22" s="197"/>
      <c r="DK22" s="197"/>
      <c r="DL22" s="197"/>
      <c r="DM22" s="197"/>
      <c r="DN22" s="197"/>
      <c r="DO22" s="197"/>
      <c r="DP22" s="197"/>
      <c r="DQ22" s="197"/>
      <c r="DR22" s="197"/>
      <c r="DS22" s="197"/>
      <c r="DT22" s="197"/>
      <c r="DU22" s="197"/>
      <c r="DV22" s="197"/>
      <c r="DW22" s="197"/>
      <c r="DX22" s="197"/>
      <c r="DY22" s="197"/>
      <c r="DZ22" s="197"/>
      <c r="EA22" s="197"/>
      <c r="EB22" s="197"/>
      <c r="EC22" s="197"/>
      <c r="ED22" s="197"/>
      <c r="EE22" s="197"/>
      <c r="EF22" s="197"/>
      <c r="EG22" s="197"/>
      <c r="EH22" s="197"/>
      <c r="EI22" s="197"/>
      <c r="EJ22" s="197"/>
      <c r="EK22" s="197"/>
      <c r="EL22" s="197"/>
      <c r="EM22" s="197"/>
      <c r="EN22" s="197"/>
      <c r="EO22" s="197"/>
      <c r="EP22" s="197"/>
      <c r="EQ22" s="197"/>
      <c r="ER22" s="197"/>
      <c r="ES22" s="197"/>
      <c r="ET22" s="197"/>
      <c r="EU22" s="197"/>
      <c r="EV22" s="197"/>
      <c r="EW22" s="197"/>
      <c r="EX22" s="197"/>
      <c r="EY22" s="197"/>
      <c r="EZ22" s="197"/>
      <c r="FA22" s="197"/>
      <c r="FB22" s="197"/>
      <c r="FC22" s="197"/>
      <c r="FD22" s="197"/>
      <c r="FE22" s="197"/>
      <c r="FF22" s="197"/>
      <c r="FG22" s="197"/>
      <c r="FH22" s="197"/>
    </row>
    <row r="23" ht="170.25" customHeight="1">
      <c r="A23" s="298">
        <v>1</v>
      </c>
      <c r="B23" t="str" s="299" cm="1">
        <f t="array" ref="B23">VLOOKUP(A23,'V-lookup'!A12:C48,2,0)</f>
        <v>التفكير التجاري</v>
      </c>
      <c r="C23" s="300"/>
      <c r="D23" s="268"/>
      <c r="E23" t="str" s="269" cm="1">
        <f t="array" ref="E23">VLOOKUP(H23,'V-lookup'!B14:C104,2,0)</f>
        <v>يتفهم العلاقة بين وظفيته وتأثيره علي الشركة في السوق
يستخدم معلوماته وخبرته لعمله كما يوجهه مشرفه
يتقبل الأفكار الجديدة التي تفيد عمله.
يحرص علي الاستخدام الامثل للموارد في العمل
يتجنب اهدار الموارد في عمله
يعرض بدائل متعددة للأخرين
يبدأ علاقات مع العملاء والموردين طبقا لحاجة العمل</v>
      </c>
      <c r="F23" s="270"/>
      <c r="G23" s="271"/>
      <c r="H23" s="272">
        <v>12</v>
      </c>
      <c r="I23" t="s" s="273">
        <v>75</v>
      </c>
      <c r="J23" s="274" cm="1">
        <f t="array" ref="J23">IF(I23="مميز وكفء",105%,IF(I23="فعال",95%,IF(I23="جيد",85%,IF(I23="مقبول",70%,IF(I23="غير مرض",60%,IF(I23="ضعيف",0%,"#N/ A"))))))</f>
        <v>0.85</v>
      </c>
      <c r="K23" s="274"/>
      <c r="L23" s="257"/>
      <c r="M23" s="197"/>
      <c r="N23" s="197"/>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c r="BL23" s="197"/>
      <c r="BM23" s="197"/>
      <c r="BN23" s="197"/>
      <c r="BO23" s="197"/>
      <c r="BP23" s="197"/>
      <c r="BQ23" s="197"/>
      <c r="BR23" s="197"/>
      <c r="BS23" s="197"/>
      <c r="BT23" s="197"/>
      <c r="BU23" s="197"/>
      <c r="BV23" s="197"/>
      <c r="BW23" s="197"/>
      <c r="BX23" s="197"/>
      <c r="BY23" s="197"/>
      <c r="BZ23" s="197"/>
      <c r="CA23" s="197"/>
      <c r="CB23" s="197"/>
      <c r="CC23" s="197"/>
      <c r="CD23" s="197"/>
      <c r="CE23" s="197"/>
      <c r="CF23" s="197"/>
      <c r="CG23" s="197"/>
      <c r="CH23" s="197"/>
      <c r="CI23" s="197"/>
      <c r="CJ23" s="197"/>
      <c r="CK23" s="197"/>
      <c r="CL23" s="197"/>
      <c r="CM23" s="197"/>
      <c r="CN23" s="197"/>
      <c r="CO23" s="197"/>
      <c r="CP23" s="197"/>
      <c r="CQ23" s="197"/>
      <c r="CR23" s="197"/>
      <c r="CS23" s="197"/>
      <c r="CT23" s="197"/>
      <c r="CU23" s="197"/>
      <c r="CV23" s="197"/>
      <c r="CW23" s="197"/>
      <c r="CX23" s="197"/>
      <c r="CY23" s="197"/>
      <c r="CZ23" s="197"/>
      <c r="DA23" s="197"/>
      <c r="DB23" s="197"/>
      <c r="DC23" s="197"/>
      <c r="DD23" s="197"/>
      <c r="DE23" s="197"/>
      <c r="DF23" s="197"/>
      <c r="DG23" s="197"/>
      <c r="DH23" s="197"/>
      <c r="DI23" s="197"/>
      <c r="DJ23" s="197"/>
      <c r="DK23" s="197"/>
      <c r="DL23" s="197"/>
      <c r="DM23" s="197"/>
      <c r="DN23" s="197"/>
      <c r="DO23" s="197"/>
      <c r="DP23" s="197"/>
      <c r="DQ23" s="197"/>
      <c r="DR23" s="197"/>
      <c r="DS23" s="197"/>
      <c r="DT23" s="197"/>
      <c r="DU23" s="197"/>
      <c r="DV23" s="197"/>
      <c r="DW23" s="197"/>
      <c r="DX23" s="197"/>
      <c r="DY23" s="197"/>
      <c r="DZ23" s="197"/>
      <c r="EA23" s="197"/>
      <c r="EB23" s="197"/>
      <c r="EC23" s="197"/>
      <c r="ED23" s="197"/>
      <c r="EE23" s="197"/>
      <c r="EF23" s="197"/>
      <c r="EG23" s="197"/>
      <c r="EH23" s="197"/>
      <c r="EI23" s="197"/>
      <c r="EJ23" s="197"/>
      <c r="EK23" s="197"/>
      <c r="EL23" s="197"/>
      <c r="EM23" s="197"/>
      <c r="EN23" s="197"/>
      <c r="EO23" s="197"/>
      <c r="EP23" s="197"/>
      <c r="EQ23" s="197"/>
      <c r="ER23" s="197"/>
      <c r="ES23" s="197"/>
      <c r="ET23" s="197"/>
      <c r="EU23" s="197"/>
      <c r="EV23" s="197"/>
      <c r="EW23" s="197"/>
      <c r="EX23" s="197"/>
      <c r="EY23" s="197"/>
      <c r="EZ23" s="197"/>
      <c r="FA23" s="197"/>
      <c r="FB23" s="197"/>
      <c r="FC23" s="197"/>
      <c r="FD23" s="197"/>
      <c r="FE23" s="197"/>
      <c r="FF23" s="197"/>
      <c r="FG23" s="197"/>
      <c r="FH23" s="197"/>
    </row>
    <row r="24" ht="21" customHeight="1">
      <c r="A24" s="197"/>
      <c r="B24" s="301"/>
      <c r="C24" s="301"/>
      <c r="D24" s="276"/>
      <c r="E24" s="270"/>
      <c r="F24" s="270"/>
      <c r="G24" s="270"/>
      <c r="H24" s="302"/>
      <c r="I24" s="302"/>
      <c r="J24" s="303"/>
      <c r="K24" s="274"/>
      <c r="L24" s="257"/>
      <c r="M24" s="197"/>
      <c r="N24" s="197"/>
      <c r="O24" s="197"/>
      <c r="P24" s="197"/>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c r="BJ24" s="197"/>
      <c r="BK24" s="197"/>
      <c r="BL24" s="197"/>
      <c r="BM24" s="197"/>
      <c r="BN24" s="197"/>
      <c r="BO24" s="197"/>
      <c r="BP24" s="197"/>
      <c r="BQ24" s="197"/>
      <c r="BR24" s="197"/>
      <c r="BS24" s="197"/>
      <c r="BT24" s="197"/>
      <c r="BU24" s="197"/>
      <c r="BV24" s="197"/>
      <c r="BW24" s="197"/>
      <c r="BX24" s="197"/>
      <c r="BY24" s="197"/>
      <c r="BZ24" s="197"/>
      <c r="CA24" s="197"/>
      <c r="CB24" s="197"/>
      <c r="CC24" s="197"/>
      <c r="CD24" s="197"/>
      <c r="CE24" s="197"/>
      <c r="CF24" s="197"/>
      <c r="CG24" s="197"/>
      <c r="CH24" s="197"/>
      <c r="CI24" s="197"/>
      <c r="CJ24" s="197"/>
      <c r="CK24" s="197"/>
      <c r="CL24" s="197"/>
      <c r="CM24" s="197"/>
      <c r="CN24" s="197"/>
      <c r="CO24" s="197"/>
      <c r="CP24" s="197"/>
      <c r="CQ24" s="197"/>
      <c r="CR24" s="197"/>
      <c r="CS24" s="197"/>
      <c r="CT24" s="197"/>
      <c r="CU24" s="197"/>
      <c r="CV24" s="197"/>
      <c r="CW24" s="197"/>
      <c r="CX24" s="197"/>
      <c r="CY24" s="197"/>
      <c r="CZ24" s="197"/>
      <c r="DA24" s="197"/>
      <c r="DB24" s="197"/>
      <c r="DC24" s="197"/>
      <c r="DD24" s="197"/>
      <c r="DE24" s="197"/>
      <c r="DF24" s="197"/>
      <c r="DG24" s="197"/>
      <c r="DH24" s="197"/>
      <c r="DI24" s="197"/>
      <c r="DJ24" s="197"/>
      <c r="DK24" s="197"/>
      <c r="DL24" s="197"/>
      <c r="DM24" s="197"/>
      <c r="DN24" s="197"/>
      <c r="DO24" s="197"/>
      <c r="DP24" s="197"/>
      <c r="DQ24" s="197"/>
      <c r="DR24" s="197"/>
      <c r="DS24" s="197"/>
      <c r="DT24" s="197"/>
      <c r="DU24" s="197"/>
      <c r="DV24" s="197"/>
      <c r="DW24" s="197"/>
      <c r="DX24" s="197"/>
      <c r="DY24" s="197"/>
      <c r="DZ24" s="197"/>
      <c r="EA24" s="197"/>
      <c r="EB24" s="197"/>
      <c r="EC24" s="197"/>
      <c r="ED24" s="197"/>
      <c r="EE24" s="197"/>
      <c r="EF24" s="197"/>
      <c r="EG24" s="197"/>
      <c r="EH24" s="197"/>
      <c r="EI24" s="197"/>
      <c r="EJ24" s="197"/>
      <c r="EK24" s="197"/>
      <c r="EL24" s="197"/>
      <c r="EM24" s="197"/>
      <c r="EN24" s="197"/>
      <c r="EO24" s="197"/>
      <c r="EP24" s="197"/>
      <c r="EQ24" s="197"/>
      <c r="ER24" s="197"/>
      <c r="ES24" s="197"/>
      <c r="ET24" s="197"/>
      <c r="EU24" s="197"/>
      <c r="EV24" s="197"/>
      <c r="EW24" s="197"/>
      <c r="EX24" s="197"/>
      <c r="EY24" s="197"/>
      <c r="EZ24" s="197"/>
      <c r="FA24" s="197"/>
      <c r="FB24" s="197"/>
      <c r="FC24" s="197"/>
      <c r="FD24" s="197"/>
      <c r="FE24" s="197"/>
      <c r="FF24" s="197"/>
      <c r="FG24" s="197"/>
      <c r="FH24" s="197"/>
    </row>
    <row r="25" ht="20.25" customHeight="1">
      <c r="A25" s="197"/>
      <c r="B25" s="275"/>
      <c r="C25" s="275"/>
      <c r="D25" s="304"/>
      <c r="E25" s="277"/>
      <c r="F25" s="277"/>
      <c r="G25" s="277"/>
      <c r="H25" s="305"/>
      <c r="I25" s="305"/>
      <c r="J25" s="305"/>
      <c r="K25" s="306"/>
      <c r="L25" s="197"/>
      <c r="M25" s="197"/>
      <c r="N25" s="197"/>
      <c r="O25" s="197"/>
      <c r="P25" s="197"/>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c r="BJ25" s="197"/>
      <c r="BK25" s="197"/>
      <c r="BL25" s="197"/>
      <c r="BM25" s="197"/>
      <c r="BN25" s="197"/>
      <c r="BO25" s="197"/>
      <c r="BP25" s="197"/>
      <c r="BQ25" s="197"/>
      <c r="BR25" s="197"/>
      <c r="BS25" s="197"/>
      <c r="BT25" s="197"/>
      <c r="BU25" s="197"/>
      <c r="BV25" s="197"/>
      <c r="BW25" s="197"/>
      <c r="BX25" s="197"/>
      <c r="BY25" s="197"/>
      <c r="BZ25" s="197"/>
      <c r="CA25" s="197"/>
      <c r="CB25" s="197"/>
      <c r="CC25" s="197"/>
      <c r="CD25" s="197"/>
      <c r="CE25" s="197"/>
      <c r="CF25" s="197"/>
      <c r="CG25" s="197"/>
      <c r="CH25" s="197"/>
      <c r="CI25" s="197"/>
      <c r="CJ25" s="197"/>
      <c r="CK25" s="197"/>
      <c r="CL25" s="197"/>
      <c r="CM25" s="197"/>
      <c r="CN25" s="197"/>
      <c r="CO25" s="197"/>
      <c r="CP25" s="197"/>
      <c r="CQ25" s="197"/>
      <c r="CR25" s="197"/>
      <c r="CS25" s="197"/>
      <c r="CT25" s="197"/>
      <c r="CU25" s="197"/>
      <c r="CV25" s="197"/>
      <c r="CW25" s="197"/>
      <c r="CX25" s="197"/>
      <c r="CY25" s="197"/>
      <c r="CZ25" s="197"/>
      <c r="DA25" s="197"/>
      <c r="DB25" s="197"/>
      <c r="DC25" s="197"/>
      <c r="DD25" s="197"/>
      <c r="DE25" s="197"/>
      <c r="DF25" s="197"/>
      <c r="DG25" s="197"/>
      <c r="DH25" s="197"/>
      <c r="DI25" s="197"/>
      <c r="DJ25" s="197"/>
      <c r="DK25" s="197"/>
      <c r="DL25" s="197"/>
      <c r="DM25" s="197"/>
      <c r="DN25" s="197"/>
      <c r="DO25" s="197"/>
      <c r="DP25" s="197"/>
      <c r="DQ25" s="197"/>
      <c r="DR25" s="197"/>
      <c r="DS25" s="197"/>
      <c r="DT25" s="197"/>
      <c r="DU25" s="197"/>
      <c r="DV25" s="197"/>
      <c r="DW25" s="197"/>
      <c r="DX25" s="197"/>
      <c r="DY25" s="197"/>
      <c r="DZ25" s="197"/>
      <c r="EA25" s="197"/>
      <c r="EB25" s="197"/>
      <c r="EC25" s="197"/>
      <c r="ED25" s="197"/>
      <c r="EE25" s="197"/>
      <c r="EF25" s="197"/>
      <c r="EG25" s="197"/>
      <c r="EH25" s="197"/>
      <c r="EI25" s="197"/>
      <c r="EJ25" s="197"/>
      <c r="EK25" s="197"/>
      <c r="EL25" s="197"/>
      <c r="EM25" s="197"/>
      <c r="EN25" s="197"/>
      <c r="EO25" s="197"/>
      <c r="EP25" s="197"/>
      <c r="EQ25" s="197"/>
      <c r="ER25" s="197"/>
      <c r="ES25" s="197"/>
      <c r="ET25" s="197"/>
      <c r="EU25" s="197"/>
      <c r="EV25" s="197"/>
      <c r="EW25" s="197"/>
      <c r="EX25" s="197"/>
      <c r="EY25" s="197"/>
      <c r="EZ25" s="197"/>
      <c r="FA25" s="197"/>
      <c r="FB25" s="197"/>
      <c r="FC25" s="197"/>
      <c r="FD25" s="197"/>
      <c r="FE25" s="197"/>
      <c r="FF25" s="197"/>
      <c r="FG25" s="197"/>
      <c r="FH25" s="197"/>
    </row>
    <row r="26" ht="30" customHeight="1">
      <c r="A26" s="205"/>
      <c r="B26" s="307"/>
      <c r="C26" s="308"/>
      <c r="D26" s="308"/>
      <c r="E26" s="308"/>
      <c r="F26" s="308"/>
      <c r="G26" s="309"/>
      <c r="H26" s="310"/>
      <c r="I26" s="311"/>
      <c r="J26" s="311"/>
      <c r="K26" s="197"/>
      <c r="L26" s="197"/>
      <c r="M26" s="197"/>
      <c r="N26" s="197"/>
      <c r="O26" s="197"/>
      <c r="P26" s="197"/>
      <c r="Q26" s="197"/>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c r="BJ26" s="197"/>
      <c r="BK26" s="197"/>
      <c r="BL26" s="197"/>
      <c r="BM26" s="197"/>
      <c r="BN26" s="197"/>
      <c r="BO26" s="197"/>
      <c r="BP26" s="197"/>
      <c r="BQ26" s="197"/>
      <c r="BR26" s="197"/>
      <c r="BS26" s="197"/>
      <c r="BT26" s="197"/>
      <c r="BU26" s="197"/>
      <c r="BV26" s="197"/>
      <c r="BW26" s="197"/>
      <c r="BX26" s="197"/>
      <c r="BY26" s="197"/>
      <c r="BZ26" s="197"/>
      <c r="CA26" s="197"/>
      <c r="CB26" s="197"/>
      <c r="CC26" s="197"/>
      <c r="CD26" s="197"/>
      <c r="CE26" s="197"/>
      <c r="CF26" s="197"/>
      <c r="CG26" s="197"/>
      <c r="CH26" s="197"/>
      <c r="CI26" s="197"/>
      <c r="CJ26" s="197"/>
      <c r="CK26" s="197"/>
      <c r="CL26" s="197"/>
      <c r="CM26" s="197"/>
      <c r="CN26" s="197"/>
      <c r="CO26" s="197"/>
      <c r="CP26" s="197"/>
      <c r="CQ26" s="197"/>
      <c r="CR26" s="197"/>
      <c r="CS26" s="197"/>
      <c r="CT26" s="197"/>
      <c r="CU26" s="197"/>
      <c r="CV26" s="197"/>
      <c r="CW26" s="197"/>
      <c r="CX26" s="197"/>
      <c r="CY26" s="197"/>
      <c r="CZ26" s="197"/>
      <c r="DA26" s="197"/>
      <c r="DB26" s="197"/>
      <c r="DC26" s="197"/>
      <c r="DD26" s="197"/>
      <c r="DE26" s="197"/>
      <c r="DF26" s="197"/>
      <c r="DG26" s="197"/>
      <c r="DH26" s="197"/>
      <c r="DI26" s="197"/>
      <c r="DJ26" s="197"/>
      <c r="DK26" s="197"/>
      <c r="DL26" s="197"/>
      <c r="DM26" s="197"/>
      <c r="DN26" s="197"/>
      <c r="DO26" s="197"/>
      <c r="DP26" s="197"/>
      <c r="DQ26" s="197"/>
      <c r="DR26" s="197"/>
      <c r="DS26" s="197"/>
      <c r="DT26" s="197"/>
      <c r="DU26" s="197"/>
      <c r="DV26" s="197"/>
      <c r="DW26" s="197"/>
      <c r="DX26" s="197"/>
      <c r="DY26" s="197"/>
      <c r="DZ26" s="197"/>
      <c r="EA26" s="197"/>
      <c r="EB26" s="197"/>
      <c r="EC26" s="197"/>
      <c r="ED26" s="197"/>
      <c r="EE26" s="197"/>
      <c r="EF26" s="197"/>
      <c r="EG26" s="197"/>
      <c r="EH26" s="197"/>
      <c r="EI26" s="197"/>
      <c r="EJ26" s="197"/>
      <c r="EK26" s="197"/>
      <c r="EL26" s="197"/>
      <c r="EM26" s="197"/>
      <c r="EN26" s="197"/>
      <c r="EO26" s="197"/>
      <c r="EP26" s="197"/>
      <c r="EQ26" s="197"/>
      <c r="ER26" s="197"/>
      <c r="ES26" s="197"/>
      <c r="ET26" s="197"/>
      <c r="EU26" s="197"/>
      <c r="EV26" s="197"/>
      <c r="EW26" s="197"/>
      <c r="EX26" s="197"/>
      <c r="EY26" s="197"/>
      <c r="EZ26" s="197"/>
      <c r="FA26" s="197"/>
      <c r="FB26" s="197"/>
      <c r="FC26" s="197"/>
      <c r="FD26" s="197"/>
      <c r="FE26" s="197"/>
      <c r="FF26" s="197"/>
      <c r="FG26" s="197"/>
      <c r="FH26" s="197"/>
    </row>
    <row r="27" ht="20.1" customHeight="1">
      <c r="A27" s="205"/>
      <c r="B27" t="s" s="312">
        <v>104</v>
      </c>
      <c r="C27" s="313"/>
      <c r="D27" s="313"/>
      <c r="E27" t="s" s="312">
        <v>105</v>
      </c>
      <c r="F27" t="s" s="312">
        <v>106</v>
      </c>
      <c r="G27" s="313"/>
      <c r="H27" s="310"/>
      <c r="I27" s="311"/>
      <c r="J27" s="311"/>
      <c r="K27" s="197"/>
      <c r="L27" s="197"/>
      <c r="M27" s="197"/>
      <c r="N27" s="197"/>
      <c r="O27" s="197"/>
      <c r="P27" s="197"/>
      <c r="Q27" s="197"/>
      <c r="R27" s="197"/>
      <c r="S27" s="197"/>
      <c r="T27" s="197"/>
      <c r="U27" s="197"/>
      <c r="V27" s="197"/>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c r="BD27" s="197"/>
      <c r="BE27" s="197"/>
      <c r="BF27" s="197"/>
      <c r="BG27" s="197"/>
      <c r="BH27" s="197"/>
      <c r="BI27" s="197"/>
      <c r="BJ27" s="197"/>
      <c r="BK27" s="197"/>
      <c r="BL27" s="197"/>
      <c r="BM27" s="197"/>
      <c r="BN27" s="197"/>
      <c r="BO27" s="197"/>
      <c r="BP27" s="197"/>
      <c r="BQ27" s="197"/>
      <c r="BR27" s="197"/>
      <c r="BS27" s="197"/>
      <c r="BT27" s="197"/>
      <c r="BU27" s="197"/>
      <c r="BV27" s="197"/>
      <c r="BW27" s="197"/>
      <c r="BX27" s="197"/>
      <c r="BY27" s="197"/>
      <c r="BZ27" s="197"/>
      <c r="CA27" s="197"/>
      <c r="CB27" s="197"/>
      <c r="CC27" s="197"/>
      <c r="CD27" s="197"/>
      <c r="CE27" s="197"/>
      <c r="CF27" s="197"/>
      <c r="CG27" s="197"/>
      <c r="CH27" s="197"/>
      <c r="CI27" s="197"/>
      <c r="CJ27" s="197"/>
      <c r="CK27" s="197"/>
      <c r="CL27" s="197"/>
      <c r="CM27" s="197"/>
      <c r="CN27" s="197"/>
      <c r="CO27" s="197"/>
      <c r="CP27" s="197"/>
      <c r="CQ27" s="197"/>
      <c r="CR27" s="197"/>
      <c r="CS27" s="197"/>
      <c r="CT27" s="197"/>
      <c r="CU27" s="197"/>
      <c r="CV27" s="197"/>
      <c r="CW27" s="197"/>
      <c r="CX27" s="197"/>
      <c r="CY27" s="197"/>
      <c r="CZ27" s="197"/>
      <c r="DA27" s="197"/>
      <c r="DB27" s="197"/>
      <c r="DC27" s="197"/>
      <c r="DD27" s="197"/>
      <c r="DE27" s="197"/>
      <c r="DF27" s="197"/>
      <c r="DG27" s="197"/>
      <c r="DH27" s="197"/>
      <c r="DI27" s="197"/>
      <c r="DJ27" s="197"/>
      <c r="DK27" s="197"/>
      <c r="DL27" s="197"/>
      <c r="DM27" s="197"/>
      <c r="DN27" s="197"/>
      <c r="DO27" s="197"/>
      <c r="DP27" s="197"/>
      <c r="DQ27" s="197"/>
      <c r="DR27" s="197"/>
      <c r="DS27" s="197"/>
      <c r="DT27" s="197"/>
      <c r="DU27" s="197"/>
      <c r="DV27" s="197"/>
      <c r="DW27" s="197"/>
      <c r="DX27" s="197"/>
      <c r="DY27" s="197"/>
      <c r="DZ27" s="197"/>
      <c r="EA27" s="197"/>
      <c r="EB27" s="197"/>
      <c r="EC27" s="197"/>
      <c r="ED27" s="197"/>
      <c r="EE27" s="197"/>
      <c r="EF27" s="197"/>
      <c r="EG27" s="197"/>
      <c r="EH27" s="197"/>
      <c r="EI27" s="197"/>
      <c r="EJ27" s="197"/>
      <c r="EK27" s="197"/>
      <c r="EL27" s="197"/>
      <c r="EM27" s="197"/>
      <c r="EN27" s="197"/>
      <c r="EO27" s="197"/>
      <c r="EP27" s="197"/>
      <c r="EQ27" s="197"/>
      <c r="ER27" s="197"/>
      <c r="ES27" s="197"/>
      <c r="ET27" s="197"/>
      <c r="EU27" s="197"/>
      <c r="EV27" s="197"/>
      <c r="EW27" s="197"/>
      <c r="EX27" s="197"/>
      <c r="EY27" s="197"/>
      <c r="EZ27" s="197"/>
      <c r="FA27" s="197"/>
      <c r="FB27" s="197"/>
      <c r="FC27" s="197"/>
      <c r="FD27" s="197"/>
      <c r="FE27" s="197"/>
      <c r="FF27" s="197"/>
      <c r="FG27" s="197"/>
      <c r="FH27" s="197"/>
    </row>
    <row r="28" ht="20.1" customHeight="1">
      <c r="A28" s="205"/>
      <c r="B28" s="314">
        <v>0.1</v>
      </c>
      <c r="C28" s="314"/>
      <c r="D28" s="314"/>
      <c r="E28" s="314">
        <v>0.1</v>
      </c>
      <c r="F28" s="314">
        <v>0</v>
      </c>
      <c r="G28" s="314"/>
      <c r="H28" s="315"/>
      <c r="I28" s="316"/>
      <c r="J28" s="316"/>
      <c r="K28" s="317"/>
      <c r="L28" s="197"/>
      <c r="M28" s="197"/>
      <c r="N28" s="197"/>
      <c r="O28" s="197"/>
      <c r="P28" s="197"/>
      <c r="Q28" s="197"/>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197"/>
      <c r="BY28" s="197"/>
      <c r="BZ28" s="197"/>
      <c r="CA28" s="197"/>
      <c r="CB28" s="197"/>
      <c r="CC28" s="197"/>
      <c r="CD28" s="197"/>
      <c r="CE28" s="197"/>
      <c r="CF28" s="197"/>
      <c r="CG28" s="197"/>
      <c r="CH28" s="197"/>
      <c r="CI28" s="197"/>
      <c r="CJ28" s="197"/>
      <c r="CK28" s="197"/>
      <c r="CL28" s="197"/>
      <c r="CM28" s="197"/>
      <c r="CN28" s="197"/>
      <c r="CO28" s="197"/>
      <c r="CP28" s="197"/>
      <c r="CQ28" s="197"/>
      <c r="CR28" s="197"/>
      <c r="CS28" s="197"/>
      <c r="CT28" s="197"/>
      <c r="CU28" s="197"/>
      <c r="CV28" s="197"/>
      <c r="CW28" s="197"/>
      <c r="CX28" s="197"/>
      <c r="CY28" s="197"/>
      <c r="CZ28" s="197"/>
      <c r="DA28" s="197"/>
      <c r="DB28" s="197"/>
      <c r="DC28" s="197"/>
      <c r="DD28" s="197"/>
      <c r="DE28" s="197"/>
      <c r="DF28" s="197"/>
      <c r="DG28" s="197"/>
      <c r="DH28" s="197"/>
      <c r="DI28" s="197"/>
      <c r="DJ28" s="197"/>
      <c r="DK28" s="197"/>
      <c r="DL28" s="197"/>
      <c r="DM28" s="197"/>
      <c r="DN28" s="197"/>
      <c r="DO28" s="197"/>
      <c r="DP28" s="197"/>
      <c r="DQ28" s="197"/>
      <c r="DR28" s="197"/>
      <c r="DS28" s="197"/>
      <c r="DT28" s="197"/>
      <c r="DU28" s="197"/>
      <c r="DV28" s="197"/>
      <c r="DW28" s="197"/>
      <c r="DX28" s="197"/>
      <c r="DY28" s="197"/>
      <c r="DZ28" s="197"/>
      <c r="EA28" s="197"/>
      <c r="EB28" s="197"/>
      <c r="EC28" s="197"/>
      <c r="ED28" s="197"/>
      <c r="EE28" s="197"/>
      <c r="EF28" s="197"/>
      <c r="EG28" s="197"/>
      <c r="EH28" s="197"/>
      <c r="EI28" s="197"/>
      <c r="EJ28" s="197"/>
      <c r="EK28" s="197"/>
      <c r="EL28" s="197"/>
      <c r="EM28" s="197"/>
      <c r="EN28" s="197"/>
      <c r="EO28" s="197"/>
      <c r="EP28" s="197"/>
      <c r="EQ28" s="197"/>
      <c r="ER28" s="197"/>
      <c r="ES28" s="197"/>
      <c r="ET28" s="197"/>
      <c r="EU28" s="197"/>
      <c r="EV28" s="197"/>
      <c r="EW28" s="197"/>
      <c r="EX28" s="197"/>
      <c r="EY28" s="197"/>
      <c r="EZ28" s="197"/>
      <c r="FA28" s="197"/>
      <c r="FB28" s="197"/>
      <c r="FC28" s="197"/>
      <c r="FD28" s="197"/>
      <c r="FE28" s="197"/>
      <c r="FF28" s="197"/>
      <c r="FG28" s="197"/>
      <c r="FH28" s="197"/>
    </row>
    <row r="29" ht="47.25" customHeight="1">
      <c r="A29" s="205"/>
      <c r="B29" t="s" s="318">
        <v>107</v>
      </c>
      <c r="C29" t="s" s="318">
        <v>95</v>
      </c>
      <c r="D29" t="s" s="281">
        <v>97</v>
      </c>
      <c r="E29" s="284"/>
      <c r="F29" s="319"/>
      <c r="G29" s="320"/>
      <c r="H29" s="310"/>
      <c r="I29" s="311"/>
      <c r="J29" s="311"/>
      <c r="K29" s="197"/>
      <c r="L29" s="197"/>
      <c r="M29" s="197"/>
      <c r="N29" s="197"/>
      <c r="O29" s="197"/>
      <c r="P29" s="197"/>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c r="BD29" s="197"/>
      <c r="BE29" s="197"/>
      <c r="BF29" s="197"/>
      <c r="BG29" s="197"/>
      <c r="BH29" s="197"/>
      <c r="BI29" s="197"/>
      <c r="BJ29" s="197"/>
      <c r="BK29" s="197"/>
      <c r="BL29" s="197"/>
      <c r="BM29" s="197"/>
      <c r="BN29" s="197"/>
      <c r="BO29" s="197"/>
      <c r="BP29" s="197"/>
      <c r="BQ29" s="197"/>
      <c r="BR29" s="197"/>
      <c r="BS29" s="197"/>
      <c r="BT29" s="197"/>
      <c r="BU29" s="197"/>
      <c r="BV29" s="197"/>
      <c r="BW29" s="197"/>
      <c r="BX29" s="197"/>
      <c r="BY29" s="197"/>
      <c r="BZ29" s="197"/>
      <c r="CA29" s="197"/>
      <c r="CB29" s="197"/>
      <c r="CC29" s="197"/>
      <c r="CD29" s="197"/>
      <c r="CE29" s="197"/>
      <c r="CF29" s="197"/>
      <c r="CG29" s="197"/>
      <c r="CH29" s="197"/>
      <c r="CI29" s="197"/>
      <c r="CJ29" s="197"/>
      <c r="CK29" s="197"/>
      <c r="CL29" s="197"/>
      <c r="CM29" s="197"/>
      <c r="CN29" s="197"/>
      <c r="CO29" s="197"/>
      <c r="CP29" s="197"/>
      <c r="CQ29" s="197"/>
      <c r="CR29" s="197"/>
      <c r="CS29" s="197"/>
      <c r="CT29" s="197"/>
      <c r="CU29" s="197"/>
      <c r="CV29" s="197"/>
      <c r="CW29" s="197"/>
      <c r="CX29" s="197"/>
      <c r="CY29" s="197"/>
      <c r="CZ29" s="197"/>
      <c r="DA29" s="197"/>
      <c r="DB29" s="197"/>
      <c r="DC29" s="197"/>
      <c r="DD29" s="197"/>
      <c r="DE29" s="197"/>
      <c r="DF29" s="197"/>
      <c r="DG29" s="197"/>
      <c r="DH29" s="197"/>
      <c r="DI29" s="197"/>
      <c r="DJ29" s="197"/>
      <c r="DK29" s="197"/>
      <c r="DL29" s="197"/>
      <c r="DM29" s="197"/>
      <c r="DN29" s="197"/>
      <c r="DO29" s="197"/>
      <c r="DP29" s="197"/>
      <c r="DQ29" s="197"/>
      <c r="DR29" s="197"/>
      <c r="DS29" s="197"/>
      <c r="DT29" s="197"/>
      <c r="DU29" s="197"/>
      <c r="DV29" s="197"/>
      <c r="DW29" s="197"/>
      <c r="DX29" s="197"/>
      <c r="DY29" s="197"/>
      <c r="DZ29" s="197"/>
      <c r="EA29" s="197"/>
      <c r="EB29" s="197"/>
      <c r="EC29" s="197"/>
      <c r="ED29" s="197"/>
      <c r="EE29" s="197"/>
      <c r="EF29" s="197"/>
      <c r="EG29" s="197"/>
      <c r="EH29" s="197"/>
      <c r="EI29" s="197"/>
      <c r="EJ29" s="197"/>
      <c r="EK29" s="197"/>
      <c r="EL29" s="197"/>
      <c r="EM29" s="197"/>
      <c r="EN29" s="197"/>
      <c r="EO29" s="197"/>
      <c r="EP29" s="197"/>
      <c r="EQ29" s="197"/>
      <c r="ER29" s="197"/>
      <c r="ES29" s="197"/>
      <c r="ET29" s="197"/>
      <c r="EU29" s="197"/>
      <c r="EV29" s="197"/>
      <c r="EW29" s="197"/>
      <c r="EX29" s="197"/>
      <c r="EY29" s="197"/>
      <c r="EZ29" s="197"/>
      <c r="FA29" s="197"/>
      <c r="FB29" s="197"/>
      <c r="FC29" s="197"/>
      <c r="FD29" s="197"/>
      <c r="FE29" s="197"/>
      <c r="FF29" s="197"/>
      <c r="FG29" s="197"/>
      <c r="FH29" s="197"/>
    </row>
    <row r="30" ht="20.1" customHeight="1">
      <c r="A30" s="205"/>
      <c r="B30" s="321" cm="1">
        <f t="array" ref="B30">J16</f>
        <v>0.95</v>
      </c>
      <c r="C30" s="321" cm="1">
        <f t="array" ref="C30">J17</f>
        <v>0.95</v>
      </c>
      <c r="D30" s="321" cm="1">
        <f t="array" ref="D30">J18</f>
        <v>0.95</v>
      </c>
      <c r="E30" s="321"/>
      <c r="F30" s="322"/>
      <c r="G30" s="323"/>
      <c r="H30" s="324"/>
      <c r="I30" s="325"/>
      <c r="J30" s="326"/>
      <c r="K30" s="197"/>
      <c r="L30" s="197"/>
      <c r="M30" s="197"/>
      <c r="N30" s="197"/>
      <c r="O30" s="197"/>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7"/>
      <c r="BK30" s="197"/>
      <c r="BL30" s="197"/>
      <c r="BM30" s="197"/>
      <c r="BN30" s="197"/>
      <c r="BO30" s="197"/>
      <c r="BP30" s="197"/>
      <c r="BQ30" s="197"/>
      <c r="BR30" s="197"/>
      <c r="BS30" s="197"/>
      <c r="BT30" s="197"/>
      <c r="BU30" s="197"/>
      <c r="BV30" s="197"/>
      <c r="BW30" s="197"/>
      <c r="BX30" s="197"/>
      <c r="BY30" s="197"/>
      <c r="BZ30" s="197"/>
      <c r="CA30" s="197"/>
      <c r="CB30" s="197"/>
      <c r="CC30" s="197"/>
      <c r="CD30" s="197"/>
      <c r="CE30" s="197"/>
      <c r="CF30" s="197"/>
      <c r="CG30" s="197"/>
      <c r="CH30" s="197"/>
      <c r="CI30" s="197"/>
      <c r="CJ30" s="197"/>
      <c r="CK30" s="197"/>
      <c r="CL30" s="197"/>
      <c r="CM30" s="197"/>
      <c r="CN30" s="197"/>
      <c r="CO30" s="197"/>
      <c r="CP30" s="197"/>
      <c r="CQ30" s="197"/>
      <c r="CR30" s="197"/>
      <c r="CS30" s="197"/>
      <c r="CT30" s="197"/>
      <c r="CU30" s="197"/>
      <c r="CV30" s="197"/>
      <c r="CW30" s="197"/>
      <c r="CX30" s="197"/>
      <c r="CY30" s="197"/>
      <c r="CZ30" s="197"/>
      <c r="DA30" s="197"/>
      <c r="DB30" s="197"/>
      <c r="DC30" s="197"/>
      <c r="DD30" s="197"/>
      <c r="DE30" s="197"/>
      <c r="DF30" s="197"/>
      <c r="DG30" s="197"/>
      <c r="DH30" s="197"/>
      <c r="DI30" s="197"/>
      <c r="DJ30" s="197"/>
      <c r="DK30" s="197"/>
      <c r="DL30" s="197"/>
      <c r="DM30" s="197"/>
      <c r="DN30" s="197"/>
      <c r="DO30" s="197"/>
      <c r="DP30" s="197"/>
      <c r="DQ30" s="197"/>
      <c r="DR30" s="197"/>
      <c r="DS30" s="197"/>
      <c r="DT30" s="197"/>
      <c r="DU30" s="197"/>
      <c r="DV30" s="197"/>
      <c r="DW30" s="197"/>
      <c r="DX30" s="197"/>
      <c r="DY30" s="197"/>
      <c r="DZ30" s="197"/>
      <c r="EA30" s="197"/>
      <c r="EB30" s="197"/>
      <c r="EC30" s="197"/>
      <c r="ED30" s="197"/>
      <c r="EE30" s="197"/>
      <c r="EF30" s="197"/>
      <c r="EG30" s="197"/>
      <c r="EH30" s="197"/>
      <c r="EI30" s="197"/>
      <c r="EJ30" s="197"/>
      <c r="EK30" s="197"/>
      <c r="EL30" s="197"/>
      <c r="EM30" s="197"/>
      <c r="EN30" s="197"/>
      <c r="EO30" s="197"/>
      <c r="EP30" s="197"/>
      <c r="EQ30" s="197"/>
      <c r="ER30" s="197"/>
      <c r="ES30" s="197"/>
      <c r="ET30" s="197"/>
      <c r="EU30" s="197"/>
      <c r="EV30" s="197"/>
      <c r="EW30" s="197"/>
      <c r="EX30" s="197"/>
      <c r="EY30" s="197"/>
      <c r="EZ30" s="197"/>
      <c r="FA30" s="197"/>
      <c r="FB30" s="197"/>
      <c r="FC30" s="197"/>
      <c r="FD30" s="197"/>
      <c r="FE30" s="197"/>
      <c r="FF30" s="197"/>
      <c r="FG30" s="197"/>
      <c r="FH30" s="197"/>
    </row>
    <row r="31" ht="27.75" customHeight="1">
      <c r="A31" s="205"/>
      <c r="B31" s="327" cm="1">
        <f t="array" ref="B31">AVERAGE(B30:D30)</f>
        <v>0.95</v>
      </c>
      <c r="C31" s="327"/>
      <c r="D31" s="327"/>
      <c r="E31" s="314">
        <v>0.1</v>
      </c>
      <c r="F31" s="314">
        <v>0</v>
      </c>
      <c r="G31" s="284"/>
      <c r="H31" s="328"/>
      <c r="I31" s="329"/>
      <c r="J31" s="329"/>
      <c r="K31" s="317"/>
      <c r="L31" s="197"/>
      <c r="M31" s="197"/>
      <c r="N31" s="197"/>
      <c r="O31" s="197"/>
      <c r="P31" s="197"/>
      <c r="Q31" s="197"/>
      <c r="R31" s="197"/>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7"/>
      <c r="BK31" s="197"/>
      <c r="BL31" s="197"/>
      <c r="BM31" s="197"/>
      <c r="BN31" s="197"/>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97"/>
      <c r="CL31" s="197"/>
      <c r="CM31" s="197"/>
      <c r="CN31" s="197"/>
      <c r="CO31" s="197"/>
      <c r="CP31" s="197"/>
      <c r="CQ31" s="197"/>
      <c r="CR31" s="197"/>
      <c r="CS31" s="197"/>
      <c r="CT31" s="197"/>
      <c r="CU31" s="197"/>
      <c r="CV31" s="197"/>
      <c r="CW31" s="197"/>
      <c r="CX31" s="197"/>
      <c r="CY31" s="197"/>
      <c r="CZ31" s="197"/>
      <c r="DA31" s="197"/>
      <c r="DB31" s="197"/>
      <c r="DC31" s="197"/>
      <c r="DD31" s="197"/>
      <c r="DE31" s="197"/>
      <c r="DF31" s="197"/>
      <c r="DG31" s="197"/>
      <c r="DH31" s="197"/>
      <c r="DI31" s="197"/>
      <c r="DJ31" s="197"/>
      <c r="DK31" s="197"/>
      <c r="DL31" s="197"/>
      <c r="DM31" s="197"/>
      <c r="DN31" s="197"/>
      <c r="DO31" s="197"/>
      <c r="DP31" s="197"/>
      <c r="DQ31" s="197"/>
      <c r="DR31" s="197"/>
      <c r="DS31" s="197"/>
      <c r="DT31" s="197"/>
      <c r="DU31" s="197"/>
      <c r="DV31" s="197"/>
      <c r="DW31" s="197"/>
      <c r="DX31" s="197"/>
      <c r="DY31" s="197"/>
      <c r="DZ31" s="197"/>
      <c r="EA31" s="197"/>
      <c r="EB31" s="197"/>
      <c r="EC31" s="197"/>
      <c r="ED31" s="197"/>
      <c r="EE31" s="197"/>
      <c r="EF31" s="197"/>
      <c r="EG31" s="197"/>
      <c r="EH31" s="197"/>
      <c r="EI31" s="197"/>
      <c r="EJ31" s="197"/>
      <c r="EK31" s="197"/>
      <c r="EL31" s="197"/>
      <c r="EM31" s="197"/>
      <c r="EN31" s="197"/>
      <c r="EO31" s="197"/>
      <c r="EP31" s="197"/>
      <c r="EQ31" s="197"/>
      <c r="ER31" s="197"/>
      <c r="ES31" s="197"/>
      <c r="ET31" s="197"/>
      <c r="EU31" s="197"/>
      <c r="EV31" s="197"/>
      <c r="EW31" s="197"/>
      <c r="EX31" s="197"/>
      <c r="EY31" s="197"/>
      <c r="EZ31" s="197"/>
      <c r="FA31" s="197"/>
      <c r="FB31" s="197"/>
      <c r="FC31" s="197"/>
      <c r="FD31" s="197"/>
      <c r="FE31" s="197"/>
      <c r="FF31" s="197"/>
      <c r="FG31" s="197"/>
      <c r="FH31" s="197"/>
    </row>
    <row r="32" ht="13.65" customHeight="1">
      <c r="A32" s="197"/>
      <c r="B32" s="330"/>
      <c r="C32" s="330"/>
      <c r="D32" s="330"/>
      <c r="E32" s="330"/>
      <c r="F32" s="331"/>
      <c r="G32" s="227"/>
      <c r="H32" s="197"/>
      <c r="I32" s="197"/>
      <c r="J32" s="197"/>
      <c r="K32" s="197"/>
      <c r="L32" s="197"/>
      <c r="M32" s="197"/>
      <c r="N32" s="197"/>
      <c r="O32" s="197"/>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197"/>
      <c r="BG32" s="197"/>
      <c r="BH32" s="197"/>
      <c r="BI32" s="197"/>
      <c r="BJ32" s="197"/>
      <c r="BK32" s="197"/>
      <c r="BL32" s="197"/>
      <c r="BM32" s="197"/>
      <c r="BN32" s="197"/>
      <c r="BO32" s="197"/>
      <c r="BP32" s="197"/>
      <c r="BQ32" s="197"/>
      <c r="BR32" s="197"/>
      <c r="BS32" s="197"/>
      <c r="BT32" s="197"/>
      <c r="BU32" s="197"/>
      <c r="BV32" s="197"/>
      <c r="BW32" s="197"/>
      <c r="BX32" s="197"/>
      <c r="BY32" s="197"/>
      <c r="BZ32" s="197"/>
      <c r="CA32" s="197"/>
      <c r="CB32" s="197"/>
      <c r="CC32" s="197"/>
      <c r="CD32" s="197"/>
      <c r="CE32" s="197"/>
      <c r="CF32" s="197"/>
      <c r="CG32" s="197"/>
      <c r="CH32" s="197"/>
      <c r="CI32" s="197"/>
      <c r="CJ32" s="197"/>
      <c r="CK32" s="197"/>
      <c r="CL32" s="197"/>
      <c r="CM32" s="197"/>
      <c r="CN32" s="197"/>
      <c r="CO32" s="197"/>
      <c r="CP32" s="197"/>
      <c r="CQ32" s="197"/>
      <c r="CR32" s="197"/>
      <c r="CS32" s="197"/>
      <c r="CT32" s="197"/>
      <c r="CU32" s="197"/>
      <c r="CV32" s="197"/>
      <c r="CW32" s="197"/>
      <c r="CX32" s="197"/>
      <c r="CY32" s="197"/>
      <c r="CZ32" s="197"/>
      <c r="DA32" s="197"/>
      <c r="DB32" s="197"/>
      <c r="DC32" s="197"/>
      <c r="DD32" s="197"/>
      <c r="DE32" s="197"/>
      <c r="DF32" s="197"/>
      <c r="DG32" s="197"/>
      <c r="DH32" s="197"/>
      <c r="DI32" s="197"/>
      <c r="DJ32" s="197"/>
      <c r="DK32" s="197"/>
      <c r="DL32" s="197"/>
      <c r="DM32" s="197"/>
      <c r="DN32" s="197"/>
      <c r="DO32" s="197"/>
      <c r="DP32" s="197"/>
      <c r="DQ32" s="197"/>
      <c r="DR32" s="197"/>
      <c r="DS32" s="197"/>
      <c r="DT32" s="197"/>
      <c r="DU32" s="197"/>
      <c r="DV32" s="197"/>
      <c r="DW32" s="197"/>
      <c r="DX32" s="197"/>
      <c r="DY32" s="197"/>
      <c r="DZ32" s="197"/>
      <c r="EA32" s="197"/>
      <c r="EB32" s="197"/>
      <c r="EC32" s="197"/>
      <c r="ED32" s="197"/>
      <c r="EE32" s="197"/>
      <c r="EF32" s="197"/>
      <c r="EG32" s="197"/>
      <c r="EH32" s="197"/>
      <c r="EI32" s="197"/>
      <c r="EJ32" s="197"/>
      <c r="EK32" s="197"/>
      <c r="EL32" s="197"/>
      <c r="EM32" s="197"/>
      <c r="EN32" s="197"/>
      <c r="EO32" s="197"/>
      <c r="EP32" s="197"/>
      <c r="EQ32" s="197"/>
      <c r="ER32" s="197"/>
      <c r="ES32" s="197"/>
      <c r="ET32" s="197"/>
      <c r="EU32" s="197"/>
      <c r="EV32" s="197"/>
      <c r="EW32" s="197"/>
      <c r="EX32" s="197"/>
      <c r="EY32" s="197"/>
      <c r="EZ32" s="197"/>
      <c r="FA32" s="197"/>
      <c r="FB32" s="197"/>
      <c r="FC32" s="197"/>
      <c r="FD32" s="197"/>
      <c r="FE32" s="197"/>
      <c r="FF32" s="197"/>
      <c r="FG32" s="197"/>
      <c r="FH32" s="197"/>
    </row>
    <row r="33" ht="37.5" customHeight="1">
      <c r="A33" s="332"/>
      <c r="B33" t="s" s="333">
        <v>108</v>
      </c>
      <c r="C33" s="334"/>
      <c r="D33" s="335"/>
      <c r="E33" s="336" cm="1">
        <f t="array" ref="E33">AVERAGE(B31,E31,F31)</f>
        <v>0.35</v>
      </c>
      <c r="F33" s="337"/>
      <c r="G33" s="197"/>
      <c r="H33" s="197"/>
      <c r="I33" s="197"/>
      <c r="J33" s="197"/>
      <c r="K33" s="197"/>
      <c r="L33" s="197"/>
      <c r="M33" s="197"/>
      <c r="N33" s="197"/>
      <c r="O33" s="197"/>
      <c r="P33" s="197"/>
      <c r="Q33" s="197"/>
      <c r="R33" s="197"/>
      <c r="S33" s="197"/>
      <c r="T33" s="197"/>
      <c r="U33" s="197"/>
      <c r="V33" s="197"/>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7"/>
      <c r="BK33" s="197"/>
      <c r="BL33" s="197"/>
      <c r="BM33" s="197"/>
      <c r="BN33" s="197"/>
      <c r="BO33" s="197"/>
      <c r="BP33" s="197"/>
      <c r="BQ33" s="197"/>
      <c r="BR33" s="197"/>
      <c r="BS33" s="197"/>
      <c r="BT33" s="197"/>
      <c r="BU33" s="197"/>
      <c r="BV33" s="197"/>
      <c r="BW33" s="197"/>
      <c r="BX33" s="197"/>
      <c r="BY33" s="197"/>
      <c r="BZ33" s="197"/>
      <c r="CA33" s="197"/>
      <c r="CB33" s="197"/>
      <c r="CC33" s="197"/>
      <c r="CD33" s="197"/>
      <c r="CE33" s="197"/>
      <c r="CF33" s="197"/>
      <c r="CG33" s="197"/>
      <c r="CH33" s="197"/>
      <c r="CI33" s="197"/>
      <c r="CJ33" s="197"/>
      <c r="CK33" s="197"/>
      <c r="CL33" s="197"/>
      <c r="CM33" s="197"/>
      <c r="CN33" s="197"/>
      <c r="CO33" s="197"/>
      <c r="CP33" s="197"/>
      <c r="CQ33" s="197"/>
      <c r="CR33" s="197"/>
      <c r="CS33" s="197"/>
      <c r="CT33" s="197"/>
      <c r="CU33" s="197"/>
      <c r="CV33" s="197"/>
      <c r="CW33" s="197"/>
      <c r="CX33" s="197"/>
      <c r="CY33" s="197"/>
      <c r="CZ33" s="197"/>
      <c r="DA33" s="197"/>
      <c r="DB33" s="197"/>
      <c r="DC33" s="197"/>
      <c r="DD33" s="197"/>
      <c r="DE33" s="197"/>
      <c r="DF33" s="197"/>
      <c r="DG33" s="197"/>
      <c r="DH33" s="197"/>
      <c r="DI33" s="197"/>
      <c r="DJ33" s="197"/>
      <c r="DK33" s="197"/>
      <c r="DL33" s="197"/>
      <c r="DM33" s="197"/>
      <c r="DN33" s="197"/>
      <c r="DO33" s="197"/>
      <c r="DP33" s="197"/>
      <c r="DQ33" s="197"/>
      <c r="DR33" s="197"/>
      <c r="DS33" s="197"/>
      <c r="DT33" s="197"/>
      <c r="DU33" s="197"/>
      <c r="DV33" s="197"/>
      <c r="DW33" s="197"/>
      <c r="DX33" s="197"/>
      <c r="DY33" s="197"/>
      <c r="DZ33" s="197"/>
      <c r="EA33" s="197"/>
      <c r="EB33" s="197"/>
      <c r="EC33" s="197"/>
      <c r="ED33" s="197"/>
      <c r="EE33" s="197"/>
      <c r="EF33" s="197"/>
      <c r="EG33" s="197"/>
      <c r="EH33" s="197"/>
      <c r="EI33" s="197"/>
      <c r="EJ33" s="197"/>
      <c r="EK33" s="197"/>
      <c r="EL33" s="197"/>
      <c r="EM33" s="197"/>
      <c r="EN33" s="197"/>
      <c r="EO33" s="197"/>
      <c r="EP33" s="197"/>
      <c r="EQ33" s="197"/>
      <c r="ER33" s="197"/>
      <c r="ES33" s="197"/>
      <c r="ET33" s="197"/>
      <c r="EU33" s="197"/>
      <c r="EV33" s="197"/>
      <c r="EW33" s="197"/>
      <c r="EX33" s="197"/>
      <c r="EY33" s="197"/>
      <c r="EZ33" s="197"/>
      <c r="FA33" s="197"/>
      <c r="FB33" s="197"/>
      <c r="FC33" s="197"/>
      <c r="FD33" s="197"/>
      <c r="FE33" s="197"/>
      <c r="FF33" s="197"/>
      <c r="FG33" s="197"/>
      <c r="FH33" s="197"/>
    </row>
    <row r="34" ht="13.65" customHeight="1">
      <c r="A34" s="197"/>
      <c r="B34" s="338"/>
      <c r="C34" s="338"/>
      <c r="D34" s="338"/>
      <c r="E34" s="338"/>
      <c r="F34" s="339"/>
      <c r="G34" s="197"/>
      <c r="H34" s="197"/>
      <c r="I34" s="197"/>
      <c r="J34" s="197"/>
      <c r="K34" s="197"/>
      <c r="L34" s="197"/>
      <c r="M34" s="197"/>
      <c r="N34" s="197"/>
      <c r="O34" s="197"/>
      <c r="P34" s="197"/>
      <c r="Q34" s="197"/>
      <c r="R34" s="197"/>
      <c r="S34" s="197"/>
      <c r="T34" s="197"/>
      <c r="U34" s="197"/>
      <c r="V34" s="197"/>
      <c r="W34" s="197"/>
      <c r="X34" s="197"/>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7"/>
      <c r="BD34" s="197"/>
      <c r="BE34" s="197"/>
      <c r="BF34" s="197"/>
      <c r="BG34" s="197"/>
      <c r="BH34" s="197"/>
      <c r="BI34" s="197"/>
      <c r="BJ34" s="197"/>
      <c r="BK34" s="197"/>
      <c r="BL34" s="197"/>
      <c r="BM34" s="197"/>
      <c r="BN34" s="197"/>
      <c r="BO34" s="197"/>
      <c r="BP34" s="197"/>
      <c r="BQ34" s="197"/>
      <c r="BR34" s="197"/>
      <c r="BS34" s="197"/>
      <c r="BT34" s="197"/>
      <c r="BU34" s="197"/>
      <c r="BV34" s="197"/>
      <c r="BW34" s="197"/>
      <c r="BX34" s="197"/>
      <c r="BY34" s="197"/>
      <c r="BZ34" s="197"/>
      <c r="CA34" s="197"/>
      <c r="CB34" s="197"/>
      <c r="CC34" s="197"/>
      <c r="CD34" s="197"/>
      <c r="CE34" s="197"/>
      <c r="CF34" s="197"/>
      <c r="CG34" s="197"/>
      <c r="CH34" s="197"/>
      <c r="CI34" s="197"/>
      <c r="CJ34" s="197"/>
      <c r="CK34" s="197"/>
      <c r="CL34" s="197"/>
      <c r="CM34" s="197"/>
      <c r="CN34" s="197"/>
      <c r="CO34" s="197"/>
      <c r="CP34" s="197"/>
      <c r="CQ34" s="197"/>
      <c r="CR34" s="197"/>
      <c r="CS34" s="197"/>
      <c r="CT34" s="197"/>
      <c r="CU34" s="197"/>
      <c r="CV34" s="197"/>
      <c r="CW34" s="197"/>
      <c r="CX34" s="197"/>
      <c r="CY34" s="197"/>
      <c r="CZ34" s="197"/>
      <c r="DA34" s="197"/>
      <c r="DB34" s="197"/>
      <c r="DC34" s="197"/>
      <c r="DD34" s="197"/>
      <c r="DE34" s="197"/>
      <c r="DF34" s="197"/>
      <c r="DG34" s="197"/>
      <c r="DH34" s="197"/>
      <c r="DI34" s="197"/>
      <c r="DJ34" s="197"/>
      <c r="DK34" s="197"/>
      <c r="DL34" s="197"/>
      <c r="DM34" s="197"/>
      <c r="DN34" s="197"/>
      <c r="DO34" s="197"/>
      <c r="DP34" s="197"/>
      <c r="DQ34" s="197"/>
      <c r="DR34" s="197"/>
      <c r="DS34" s="197"/>
      <c r="DT34" s="197"/>
      <c r="DU34" s="197"/>
      <c r="DV34" s="197"/>
      <c r="DW34" s="197"/>
      <c r="DX34" s="197"/>
      <c r="DY34" s="197"/>
      <c r="DZ34" s="197"/>
      <c r="EA34" s="197"/>
      <c r="EB34" s="197"/>
      <c r="EC34" s="197"/>
      <c r="ED34" s="197"/>
      <c r="EE34" s="197"/>
      <c r="EF34" s="197"/>
      <c r="EG34" s="197"/>
      <c r="EH34" s="197"/>
      <c r="EI34" s="197"/>
      <c r="EJ34" s="197"/>
      <c r="EK34" s="197"/>
      <c r="EL34" s="197"/>
      <c r="EM34" s="197"/>
      <c r="EN34" s="197"/>
      <c r="EO34" s="197"/>
      <c r="EP34" s="197"/>
      <c r="EQ34" s="197"/>
      <c r="ER34" s="197"/>
      <c r="ES34" s="197"/>
      <c r="ET34" s="197"/>
      <c r="EU34" s="197"/>
      <c r="EV34" s="197"/>
      <c r="EW34" s="197"/>
      <c r="EX34" s="197"/>
      <c r="EY34" s="197"/>
      <c r="EZ34" s="197"/>
      <c r="FA34" s="197"/>
      <c r="FB34" s="197"/>
      <c r="FC34" s="197"/>
      <c r="FD34" s="197"/>
      <c r="FE34" s="197"/>
      <c r="FF34" s="197"/>
      <c r="FG34" s="197"/>
      <c r="FH34" s="197"/>
    </row>
    <row r="35" ht="13.65" customHeight="1">
      <c r="A35" s="197"/>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7"/>
      <c r="BK35" s="197"/>
      <c r="BL35" s="197"/>
      <c r="BM35" s="197"/>
      <c r="BN35" s="197"/>
      <c r="BO35" s="197"/>
      <c r="BP35" s="197"/>
      <c r="BQ35" s="197"/>
      <c r="BR35" s="197"/>
      <c r="BS35" s="197"/>
      <c r="BT35" s="197"/>
      <c r="BU35" s="197"/>
      <c r="BV35" s="197"/>
      <c r="BW35" s="197"/>
      <c r="BX35" s="197"/>
      <c r="BY35" s="197"/>
      <c r="BZ35" s="197"/>
      <c r="CA35" s="197"/>
      <c r="CB35" s="197"/>
      <c r="CC35" s="197"/>
      <c r="CD35" s="197"/>
      <c r="CE35" s="197"/>
      <c r="CF35" s="197"/>
      <c r="CG35" s="197"/>
      <c r="CH35" s="197"/>
      <c r="CI35" s="197"/>
      <c r="CJ35" s="197"/>
      <c r="CK35" s="197"/>
      <c r="CL35" s="197"/>
      <c r="CM35" s="197"/>
      <c r="CN35" s="197"/>
      <c r="CO35" s="197"/>
      <c r="CP35" s="197"/>
      <c r="CQ35" s="197"/>
      <c r="CR35" s="197"/>
      <c r="CS35" s="197"/>
      <c r="CT35" s="197"/>
      <c r="CU35" s="197"/>
      <c r="CV35" s="197"/>
      <c r="CW35" s="197"/>
      <c r="CX35" s="197"/>
      <c r="CY35" s="197"/>
      <c r="CZ35" s="197"/>
      <c r="DA35" s="197"/>
      <c r="DB35" s="197"/>
      <c r="DC35" s="197"/>
      <c r="DD35" s="197"/>
      <c r="DE35" s="197"/>
      <c r="DF35" s="197"/>
      <c r="DG35" s="197"/>
      <c r="DH35" s="197"/>
      <c r="DI35" s="197"/>
      <c r="DJ35" s="197"/>
      <c r="DK35" s="197"/>
      <c r="DL35" s="197"/>
      <c r="DM35" s="197"/>
      <c r="DN35" s="197"/>
      <c r="DO35" s="197"/>
      <c r="DP35" s="197"/>
      <c r="DQ35" s="197"/>
      <c r="DR35" s="197"/>
      <c r="DS35" s="197"/>
      <c r="DT35" s="197"/>
      <c r="DU35" s="197"/>
      <c r="DV35" s="197"/>
      <c r="DW35" s="197"/>
      <c r="DX35" s="197"/>
      <c r="DY35" s="197"/>
      <c r="DZ35" s="197"/>
      <c r="EA35" s="197"/>
      <c r="EB35" s="197"/>
      <c r="EC35" s="197"/>
      <c r="ED35" s="197"/>
      <c r="EE35" s="197"/>
      <c r="EF35" s="197"/>
      <c r="EG35" s="197"/>
      <c r="EH35" s="197"/>
      <c r="EI35" s="197"/>
      <c r="EJ35" s="197"/>
      <c r="EK35" s="197"/>
      <c r="EL35" s="197"/>
      <c r="EM35" s="197"/>
      <c r="EN35" s="197"/>
      <c r="EO35" s="197"/>
      <c r="EP35" s="197"/>
      <c r="EQ35" s="197"/>
      <c r="ER35" s="197"/>
      <c r="ES35" s="197"/>
      <c r="ET35" s="197"/>
      <c r="EU35" s="197"/>
      <c r="EV35" s="197"/>
      <c r="EW35" s="197"/>
      <c r="EX35" s="197"/>
      <c r="EY35" s="197"/>
      <c r="EZ35" s="197"/>
      <c r="FA35" s="197"/>
      <c r="FB35" s="197"/>
      <c r="FC35" s="197"/>
      <c r="FD35" s="197"/>
      <c r="FE35" s="197"/>
      <c r="FF35" s="197"/>
      <c r="FG35" s="197"/>
      <c r="FH35" s="197"/>
    </row>
    <row r="36" ht="23.25" customHeight="1">
      <c r="A36" s="197"/>
      <c r="B36" t="s" s="340">
        <v>109</v>
      </c>
      <c r="C36" s="341"/>
      <c r="D36" s="341"/>
      <c r="E36" s="341"/>
      <c r="F36" s="197"/>
      <c r="G36" s="197"/>
      <c r="H36" s="197"/>
      <c r="I36" s="197"/>
      <c r="J36" s="197"/>
      <c r="K36" s="197"/>
      <c r="L36" s="197"/>
      <c r="M36" s="197"/>
      <c r="N36" s="197"/>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c r="BD36" s="197"/>
      <c r="BE36" s="197"/>
      <c r="BF36" s="197"/>
      <c r="BG36" s="197"/>
      <c r="BH36" s="197"/>
      <c r="BI36" s="197"/>
      <c r="BJ36" s="197"/>
      <c r="BK36" s="197"/>
      <c r="BL36" s="197"/>
      <c r="BM36" s="197"/>
      <c r="BN36" s="197"/>
      <c r="BO36" s="197"/>
      <c r="BP36" s="197"/>
      <c r="BQ36" s="197"/>
      <c r="BR36" s="197"/>
      <c r="BS36" s="197"/>
      <c r="BT36" s="197"/>
      <c r="BU36" s="197"/>
      <c r="BV36" s="197"/>
      <c r="BW36" s="197"/>
      <c r="BX36" s="197"/>
      <c r="BY36" s="197"/>
      <c r="BZ36" s="197"/>
      <c r="CA36" s="197"/>
      <c r="CB36" s="197"/>
      <c r="CC36" s="197"/>
      <c r="CD36" s="197"/>
      <c r="CE36" s="197"/>
      <c r="CF36" s="197"/>
      <c r="CG36" s="197"/>
      <c r="CH36" s="197"/>
      <c r="CI36" s="197"/>
      <c r="CJ36" s="197"/>
      <c r="CK36" s="197"/>
      <c r="CL36" s="197"/>
      <c r="CM36" s="197"/>
      <c r="CN36" s="197"/>
      <c r="CO36" s="197"/>
      <c r="CP36" s="197"/>
      <c r="CQ36" s="197"/>
      <c r="CR36" s="197"/>
      <c r="CS36" s="197"/>
      <c r="CT36" s="197"/>
      <c r="CU36" s="197"/>
      <c r="CV36" s="197"/>
      <c r="CW36" s="197"/>
      <c r="CX36" s="197"/>
      <c r="CY36" s="197"/>
      <c r="CZ36" s="197"/>
      <c r="DA36" s="197"/>
      <c r="DB36" s="197"/>
      <c r="DC36" s="197"/>
      <c r="DD36" s="197"/>
      <c r="DE36" s="197"/>
      <c r="DF36" s="197"/>
      <c r="DG36" s="197"/>
      <c r="DH36" s="197"/>
      <c r="DI36" s="197"/>
      <c r="DJ36" s="197"/>
      <c r="DK36" s="197"/>
      <c r="DL36" s="197"/>
      <c r="DM36" s="197"/>
      <c r="DN36" s="197"/>
      <c r="DO36" s="197"/>
      <c r="DP36" s="197"/>
      <c r="DQ36" s="197"/>
      <c r="DR36" s="197"/>
      <c r="DS36" s="197"/>
      <c r="DT36" s="197"/>
      <c r="DU36" s="197"/>
      <c r="DV36" s="197"/>
      <c r="DW36" s="197"/>
      <c r="DX36" s="197"/>
      <c r="DY36" s="197"/>
      <c r="DZ36" s="197"/>
      <c r="EA36" s="197"/>
      <c r="EB36" s="197"/>
      <c r="EC36" s="197"/>
      <c r="ED36" s="197"/>
      <c r="EE36" s="197"/>
      <c r="EF36" s="197"/>
      <c r="EG36" s="197"/>
      <c r="EH36" s="197"/>
      <c r="EI36" s="197"/>
      <c r="EJ36" s="197"/>
      <c r="EK36" s="197"/>
      <c r="EL36" s="197"/>
      <c r="EM36" s="197"/>
      <c r="EN36" s="197"/>
      <c r="EO36" s="197"/>
      <c r="EP36" s="197"/>
      <c r="EQ36" s="197"/>
      <c r="ER36" s="197"/>
      <c r="ES36" s="197"/>
      <c r="ET36" s="197"/>
      <c r="EU36" s="197"/>
      <c r="EV36" s="197"/>
      <c r="EW36" s="197"/>
      <c r="EX36" s="197"/>
      <c r="EY36" s="197"/>
      <c r="EZ36" s="197"/>
      <c r="FA36" s="197"/>
      <c r="FB36" s="197"/>
      <c r="FC36" s="197"/>
      <c r="FD36" s="197"/>
      <c r="FE36" s="197"/>
      <c r="FF36" s="197"/>
      <c r="FG36" s="197"/>
      <c r="FH36" s="197"/>
    </row>
    <row r="37" ht="13.65" customHeight="1">
      <c r="A37" s="19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c r="BT37" s="197"/>
      <c r="BU37" s="197"/>
      <c r="BV37" s="197"/>
      <c r="BW37" s="197"/>
      <c r="BX37" s="197"/>
      <c r="BY37" s="197"/>
      <c r="BZ37" s="197"/>
      <c r="CA37" s="197"/>
      <c r="CB37" s="197"/>
      <c r="CC37" s="197"/>
      <c r="CD37" s="197"/>
      <c r="CE37" s="197"/>
      <c r="CF37" s="197"/>
      <c r="CG37" s="197"/>
      <c r="CH37" s="197"/>
      <c r="CI37" s="197"/>
      <c r="CJ37" s="197"/>
      <c r="CK37" s="197"/>
      <c r="CL37" s="197"/>
      <c r="CM37" s="197"/>
      <c r="CN37" s="197"/>
      <c r="CO37" s="197"/>
      <c r="CP37" s="197"/>
      <c r="CQ37" s="197"/>
      <c r="CR37" s="197"/>
      <c r="CS37" s="197"/>
      <c r="CT37" s="197"/>
      <c r="CU37" s="197"/>
      <c r="CV37" s="197"/>
      <c r="CW37" s="197"/>
      <c r="CX37" s="197"/>
      <c r="CY37" s="197"/>
      <c r="CZ37" s="197"/>
      <c r="DA37" s="197"/>
      <c r="DB37" s="197"/>
      <c r="DC37" s="197"/>
      <c r="DD37" s="197"/>
      <c r="DE37" s="197"/>
      <c r="DF37" s="197"/>
      <c r="DG37" s="197"/>
      <c r="DH37" s="197"/>
      <c r="DI37" s="197"/>
      <c r="DJ37" s="197"/>
      <c r="DK37" s="197"/>
      <c r="DL37" s="197"/>
      <c r="DM37" s="197"/>
      <c r="DN37" s="197"/>
      <c r="DO37" s="197"/>
      <c r="DP37" s="197"/>
      <c r="DQ37" s="197"/>
      <c r="DR37" s="197"/>
      <c r="DS37" s="197"/>
      <c r="DT37" s="197"/>
      <c r="DU37" s="197"/>
      <c r="DV37" s="197"/>
      <c r="DW37" s="197"/>
      <c r="DX37" s="197"/>
      <c r="DY37" s="197"/>
      <c r="DZ37" s="197"/>
      <c r="EA37" s="197"/>
      <c r="EB37" s="197"/>
      <c r="EC37" s="197"/>
      <c r="ED37" s="197"/>
      <c r="EE37" s="197"/>
      <c r="EF37" s="197"/>
      <c r="EG37" s="197"/>
      <c r="EH37" s="197"/>
      <c r="EI37" s="197"/>
      <c r="EJ37" s="197"/>
      <c r="EK37" s="197"/>
      <c r="EL37" s="197"/>
      <c r="EM37" s="197"/>
      <c r="EN37" s="197"/>
      <c r="EO37" s="197"/>
      <c r="EP37" s="197"/>
      <c r="EQ37" s="197"/>
      <c r="ER37" s="197"/>
      <c r="ES37" s="197"/>
      <c r="ET37" s="197"/>
      <c r="EU37" s="197"/>
      <c r="EV37" s="197"/>
      <c r="EW37" s="197"/>
      <c r="EX37" s="197"/>
      <c r="EY37" s="197"/>
      <c r="EZ37" s="197"/>
      <c r="FA37" s="197"/>
      <c r="FB37" s="197"/>
      <c r="FC37" s="197"/>
      <c r="FD37" s="197"/>
      <c r="FE37" s="197"/>
      <c r="FF37" s="197"/>
      <c r="FG37" s="197"/>
      <c r="FH37" s="197"/>
    </row>
    <row r="38" ht="13.65" customHeight="1">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197"/>
      <c r="CZ38" s="197"/>
      <c r="DA38" s="197"/>
      <c r="DB38" s="197"/>
      <c r="DC38" s="197"/>
      <c r="DD38" s="197"/>
      <c r="DE38" s="197"/>
      <c r="DF38" s="197"/>
      <c r="DG38" s="197"/>
      <c r="DH38" s="197"/>
      <c r="DI38" s="197"/>
      <c r="DJ38" s="197"/>
      <c r="DK38" s="197"/>
      <c r="DL38" s="197"/>
      <c r="DM38" s="197"/>
      <c r="DN38" s="197"/>
      <c r="DO38" s="197"/>
      <c r="DP38" s="197"/>
      <c r="DQ38" s="197"/>
      <c r="DR38" s="197"/>
      <c r="DS38" s="197"/>
      <c r="DT38" s="197"/>
      <c r="DU38" s="197"/>
      <c r="DV38" s="197"/>
      <c r="DW38" s="197"/>
      <c r="DX38" s="197"/>
      <c r="DY38" s="197"/>
      <c r="DZ38" s="197"/>
      <c r="EA38" s="197"/>
      <c r="EB38" s="197"/>
      <c r="EC38" s="197"/>
      <c r="ED38" s="197"/>
      <c r="EE38" s="197"/>
      <c r="EF38" s="197"/>
      <c r="EG38" s="197"/>
      <c r="EH38" s="197"/>
      <c r="EI38" s="197"/>
      <c r="EJ38" s="197"/>
      <c r="EK38" s="197"/>
      <c r="EL38" s="197"/>
      <c r="EM38" s="197"/>
      <c r="EN38" s="197"/>
      <c r="EO38" s="197"/>
      <c r="EP38" s="197"/>
      <c r="EQ38" s="197"/>
      <c r="ER38" s="197"/>
      <c r="ES38" s="197"/>
      <c r="ET38" s="197"/>
      <c r="EU38" s="197"/>
      <c r="EV38" s="197"/>
      <c r="EW38" s="197"/>
      <c r="EX38" s="197"/>
      <c r="EY38" s="197"/>
      <c r="EZ38" s="197"/>
      <c r="FA38" s="197"/>
      <c r="FB38" s="197"/>
      <c r="FC38" s="197"/>
      <c r="FD38" s="197"/>
      <c r="FE38" s="197"/>
      <c r="FF38" s="197"/>
      <c r="FG38" s="197"/>
      <c r="FH38" s="197"/>
    </row>
    <row r="39" ht="13.65" customHeight="1">
      <c r="A39" s="197"/>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c r="BQ39" s="197"/>
      <c r="BR39" s="197"/>
      <c r="BS39" s="197"/>
      <c r="BT39" s="197"/>
      <c r="BU39" s="197"/>
      <c r="BV39" s="197"/>
      <c r="BW39" s="197"/>
      <c r="BX39" s="197"/>
      <c r="BY39" s="197"/>
      <c r="BZ39" s="197"/>
      <c r="CA39" s="197"/>
      <c r="CB39" s="197"/>
      <c r="CC39" s="197"/>
      <c r="CD39" s="197"/>
      <c r="CE39" s="197"/>
      <c r="CF39" s="197"/>
      <c r="CG39" s="197"/>
      <c r="CH39" s="197"/>
      <c r="CI39" s="197"/>
      <c r="CJ39" s="197"/>
      <c r="CK39" s="197"/>
      <c r="CL39" s="197"/>
      <c r="CM39" s="197"/>
      <c r="CN39" s="197"/>
      <c r="CO39" s="197"/>
      <c r="CP39" s="197"/>
      <c r="CQ39" s="197"/>
      <c r="CR39" s="197"/>
      <c r="CS39" s="197"/>
      <c r="CT39" s="197"/>
      <c r="CU39" s="197"/>
      <c r="CV39" s="197"/>
      <c r="CW39" s="197"/>
      <c r="CX39" s="197"/>
      <c r="CY39" s="197"/>
      <c r="CZ39" s="197"/>
      <c r="DA39" s="197"/>
      <c r="DB39" s="197"/>
      <c r="DC39" s="197"/>
      <c r="DD39" s="197"/>
      <c r="DE39" s="197"/>
      <c r="DF39" s="197"/>
      <c r="DG39" s="197"/>
      <c r="DH39" s="197"/>
      <c r="DI39" s="197"/>
      <c r="DJ39" s="197"/>
      <c r="DK39" s="197"/>
      <c r="DL39" s="197"/>
      <c r="DM39" s="197"/>
      <c r="DN39" s="197"/>
      <c r="DO39" s="197"/>
      <c r="DP39" s="197"/>
      <c r="DQ39" s="197"/>
      <c r="DR39" s="197"/>
      <c r="DS39" s="197"/>
      <c r="DT39" s="197"/>
      <c r="DU39" s="197"/>
      <c r="DV39" s="197"/>
      <c r="DW39" s="197"/>
      <c r="DX39" s="197"/>
      <c r="DY39" s="197"/>
      <c r="DZ39" s="197"/>
      <c r="EA39" s="197"/>
      <c r="EB39" s="197"/>
      <c r="EC39" s="197"/>
      <c r="ED39" s="197"/>
      <c r="EE39" s="197"/>
      <c r="EF39" s="197"/>
      <c r="EG39" s="197"/>
      <c r="EH39" s="197"/>
      <c r="EI39" s="197"/>
      <c r="EJ39" s="197"/>
      <c r="EK39" s="197"/>
      <c r="EL39" s="197"/>
      <c r="EM39" s="197"/>
      <c r="EN39" s="197"/>
      <c r="EO39" s="197"/>
      <c r="EP39" s="197"/>
      <c r="EQ39" s="197"/>
      <c r="ER39" s="197"/>
      <c r="ES39" s="197"/>
      <c r="ET39" s="197"/>
      <c r="EU39" s="197"/>
      <c r="EV39" s="197"/>
      <c r="EW39" s="197"/>
      <c r="EX39" s="197"/>
      <c r="EY39" s="197"/>
      <c r="EZ39" s="197"/>
      <c r="FA39" s="197"/>
      <c r="FB39" s="197"/>
      <c r="FC39" s="197"/>
      <c r="FD39" s="197"/>
      <c r="FE39" s="197"/>
      <c r="FF39" s="197"/>
      <c r="FG39" s="197"/>
      <c r="FH39" s="197"/>
    </row>
    <row r="40" ht="13.65" customHeight="1">
      <c r="A40" s="197"/>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c r="BQ40" s="197"/>
      <c r="BR40" s="197"/>
      <c r="BS40" s="197"/>
      <c r="BT40" s="197"/>
      <c r="BU40" s="197"/>
      <c r="BV40" s="197"/>
      <c r="BW40" s="197"/>
      <c r="BX40" s="197"/>
      <c r="BY40" s="197"/>
      <c r="BZ40" s="197"/>
      <c r="CA40" s="197"/>
      <c r="CB40" s="197"/>
      <c r="CC40" s="197"/>
      <c r="CD40" s="197"/>
      <c r="CE40" s="197"/>
      <c r="CF40" s="197"/>
      <c r="CG40" s="197"/>
      <c r="CH40" s="197"/>
      <c r="CI40" s="197"/>
      <c r="CJ40" s="197"/>
      <c r="CK40" s="197"/>
      <c r="CL40" s="197"/>
      <c r="CM40" s="197"/>
      <c r="CN40" s="197"/>
      <c r="CO40" s="197"/>
      <c r="CP40" s="197"/>
      <c r="CQ40" s="197"/>
      <c r="CR40" s="197"/>
      <c r="CS40" s="197"/>
      <c r="CT40" s="197"/>
      <c r="CU40" s="197"/>
      <c r="CV40" s="197"/>
      <c r="CW40" s="197"/>
      <c r="CX40" s="197"/>
      <c r="CY40" s="197"/>
      <c r="CZ40" s="197"/>
      <c r="DA40" s="197"/>
      <c r="DB40" s="197"/>
      <c r="DC40" s="197"/>
      <c r="DD40" s="197"/>
      <c r="DE40" s="197"/>
      <c r="DF40" s="197"/>
      <c r="DG40" s="197"/>
      <c r="DH40" s="197"/>
      <c r="DI40" s="197"/>
      <c r="DJ40" s="197"/>
      <c r="DK40" s="197"/>
      <c r="DL40" s="197"/>
      <c r="DM40" s="197"/>
      <c r="DN40" s="197"/>
      <c r="DO40" s="197"/>
      <c r="DP40" s="197"/>
      <c r="DQ40" s="197"/>
      <c r="DR40" s="197"/>
      <c r="DS40" s="197"/>
      <c r="DT40" s="197"/>
      <c r="DU40" s="197"/>
      <c r="DV40" s="197"/>
      <c r="DW40" s="197"/>
      <c r="DX40" s="197"/>
      <c r="DY40" s="197"/>
      <c r="DZ40" s="197"/>
      <c r="EA40" s="197"/>
      <c r="EB40" s="197"/>
      <c r="EC40" s="197"/>
      <c r="ED40" s="197"/>
      <c r="EE40" s="197"/>
      <c r="EF40" s="197"/>
      <c r="EG40" s="197"/>
      <c r="EH40" s="197"/>
      <c r="EI40" s="197"/>
      <c r="EJ40" s="197"/>
      <c r="EK40" s="197"/>
      <c r="EL40" s="197"/>
      <c r="EM40" s="197"/>
      <c r="EN40" s="197"/>
      <c r="EO40" s="197"/>
      <c r="EP40" s="197"/>
      <c r="EQ40" s="197"/>
      <c r="ER40" s="197"/>
      <c r="ES40" s="197"/>
      <c r="ET40" s="197"/>
      <c r="EU40" s="197"/>
      <c r="EV40" s="197"/>
      <c r="EW40" s="197"/>
      <c r="EX40" s="197"/>
      <c r="EY40" s="197"/>
      <c r="EZ40" s="197"/>
      <c r="FA40" s="197"/>
      <c r="FB40" s="197"/>
      <c r="FC40" s="197"/>
      <c r="FD40" s="197"/>
      <c r="FE40" s="197"/>
      <c r="FF40" s="197"/>
      <c r="FG40" s="197"/>
      <c r="FH40" s="197"/>
    </row>
    <row r="41" ht="13.65" customHeight="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197"/>
      <c r="BG41" s="197"/>
      <c r="BH41" s="197"/>
      <c r="BI41" s="197"/>
      <c r="BJ41" s="197"/>
      <c r="BK41" s="197"/>
      <c r="BL41" s="197"/>
      <c r="BM41" s="197"/>
      <c r="BN41" s="197"/>
      <c r="BO41" s="197"/>
      <c r="BP41" s="197"/>
      <c r="BQ41" s="197"/>
      <c r="BR41" s="197"/>
      <c r="BS41" s="197"/>
      <c r="BT41" s="197"/>
      <c r="BU41" s="197"/>
      <c r="BV41" s="197"/>
      <c r="BW41" s="197"/>
      <c r="BX41" s="197"/>
      <c r="BY41" s="197"/>
      <c r="BZ41" s="197"/>
      <c r="CA41" s="197"/>
      <c r="CB41" s="197"/>
      <c r="CC41" s="197"/>
      <c r="CD41" s="197"/>
      <c r="CE41" s="197"/>
      <c r="CF41" s="197"/>
      <c r="CG41" s="197"/>
      <c r="CH41" s="197"/>
      <c r="CI41" s="197"/>
      <c r="CJ41" s="197"/>
      <c r="CK41" s="197"/>
      <c r="CL41" s="197"/>
      <c r="CM41" s="197"/>
      <c r="CN41" s="197"/>
      <c r="CO41" s="197"/>
      <c r="CP41" s="197"/>
      <c r="CQ41" s="197"/>
      <c r="CR41" s="197"/>
      <c r="CS41" s="197"/>
      <c r="CT41" s="197"/>
      <c r="CU41" s="197"/>
      <c r="CV41" s="197"/>
      <c r="CW41" s="197"/>
      <c r="CX41" s="197"/>
      <c r="CY41" s="197"/>
      <c r="CZ41" s="197"/>
      <c r="DA41" s="197"/>
      <c r="DB41" s="197"/>
      <c r="DC41" s="197"/>
      <c r="DD41" s="197"/>
      <c r="DE41" s="197"/>
      <c r="DF41" s="197"/>
      <c r="DG41" s="197"/>
      <c r="DH41" s="197"/>
      <c r="DI41" s="197"/>
      <c r="DJ41" s="197"/>
      <c r="DK41" s="197"/>
      <c r="DL41" s="197"/>
      <c r="DM41" s="197"/>
      <c r="DN41" s="197"/>
      <c r="DO41" s="197"/>
      <c r="DP41" s="197"/>
      <c r="DQ41" s="197"/>
      <c r="DR41" s="197"/>
      <c r="DS41" s="197"/>
      <c r="DT41" s="197"/>
      <c r="DU41" s="197"/>
      <c r="DV41" s="197"/>
      <c r="DW41" s="197"/>
      <c r="DX41" s="197"/>
      <c r="DY41" s="197"/>
      <c r="DZ41" s="197"/>
      <c r="EA41" s="197"/>
      <c r="EB41" s="197"/>
      <c r="EC41" s="197"/>
      <c r="ED41" s="197"/>
      <c r="EE41" s="197"/>
      <c r="EF41" s="197"/>
      <c r="EG41" s="197"/>
      <c r="EH41" s="197"/>
      <c r="EI41" s="197"/>
      <c r="EJ41" s="197"/>
      <c r="EK41" s="197"/>
      <c r="EL41" s="197"/>
      <c r="EM41" s="197"/>
      <c r="EN41" s="197"/>
      <c r="EO41" s="197"/>
      <c r="EP41" s="197"/>
      <c r="EQ41" s="197"/>
      <c r="ER41" s="197"/>
      <c r="ES41" s="197"/>
      <c r="ET41" s="197"/>
      <c r="EU41" s="197"/>
      <c r="EV41" s="197"/>
      <c r="EW41" s="197"/>
      <c r="EX41" s="197"/>
      <c r="EY41" s="197"/>
      <c r="EZ41" s="197"/>
      <c r="FA41" s="197"/>
      <c r="FB41" s="197"/>
      <c r="FC41" s="197"/>
      <c r="FD41" s="197"/>
      <c r="FE41" s="197"/>
      <c r="FF41" s="197"/>
      <c r="FG41" s="197"/>
      <c r="FH41" s="197"/>
    </row>
    <row r="42" ht="15" customHeight="1">
      <c r="A42" s="197"/>
      <c r="B42" s="197"/>
      <c r="C42" s="342"/>
      <c r="D42" s="197"/>
      <c r="E42" s="342"/>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c r="BQ42" s="197"/>
      <c r="BR42" s="197"/>
      <c r="BS42" s="197"/>
      <c r="BT42" s="197"/>
      <c r="BU42" s="197"/>
      <c r="BV42" s="197"/>
      <c r="BW42" s="197"/>
      <c r="BX42" s="197"/>
      <c r="BY42" s="197"/>
      <c r="BZ42" s="197"/>
      <c r="CA42" s="197"/>
      <c r="CB42" s="197"/>
      <c r="CC42" s="197"/>
      <c r="CD42" s="197"/>
      <c r="CE42" s="197"/>
      <c r="CF42" s="197"/>
      <c r="CG42" s="197"/>
      <c r="CH42" s="197"/>
      <c r="CI42" s="197"/>
      <c r="CJ42" s="197"/>
      <c r="CK42" s="197"/>
      <c r="CL42" s="197"/>
      <c r="CM42" s="197"/>
      <c r="CN42" s="197"/>
      <c r="CO42" s="197"/>
      <c r="CP42" s="197"/>
      <c r="CQ42" s="197"/>
      <c r="CR42" s="197"/>
      <c r="CS42" s="197"/>
      <c r="CT42" s="197"/>
      <c r="CU42" s="197"/>
      <c r="CV42" s="197"/>
      <c r="CW42" s="197"/>
      <c r="CX42" s="197"/>
      <c r="CY42" s="197"/>
      <c r="CZ42" s="197"/>
      <c r="DA42" s="197"/>
      <c r="DB42" s="197"/>
      <c r="DC42" s="197"/>
      <c r="DD42" s="197"/>
      <c r="DE42" s="197"/>
      <c r="DF42" s="197"/>
      <c r="DG42" s="197"/>
      <c r="DH42" s="197"/>
      <c r="DI42" s="197"/>
      <c r="DJ42" s="197"/>
      <c r="DK42" s="197"/>
      <c r="DL42" s="197"/>
      <c r="DM42" s="197"/>
      <c r="DN42" s="197"/>
      <c r="DO42" s="197"/>
      <c r="DP42" s="197"/>
      <c r="DQ42" s="197"/>
      <c r="DR42" s="197"/>
      <c r="DS42" s="197"/>
      <c r="DT42" s="197"/>
      <c r="DU42" s="197"/>
      <c r="DV42" s="197"/>
      <c r="DW42" s="197"/>
      <c r="DX42" s="197"/>
      <c r="DY42" s="197"/>
      <c r="DZ42" s="197"/>
      <c r="EA42" s="197"/>
      <c r="EB42" s="197"/>
      <c r="EC42" s="197"/>
      <c r="ED42" s="197"/>
      <c r="EE42" s="197"/>
      <c r="EF42" s="197"/>
      <c r="EG42" s="197"/>
      <c r="EH42" s="197"/>
      <c r="EI42" s="197"/>
      <c r="EJ42" s="197"/>
      <c r="EK42" s="197"/>
      <c r="EL42" s="197"/>
      <c r="EM42" s="197"/>
      <c r="EN42" s="197"/>
      <c r="EO42" s="197"/>
      <c r="EP42" s="197"/>
      <c r="EQ42" s="197"/>
      <c r="ER42" s="197"/>
      <c r="ES42" s="197"/>
      <c r="ET42" s="197"/>
      <c r="EU42" s="197"/>
      <c r="EV42" s="197"/>
      <c r="EW42" s="197"/>
      <c r="EX42" s="197"/>
      <c r="EY42" s="197"/>
      <c r="EZ42" s="197"/>
      <c r="FA42" s="197"/>
      <c r="FB42" s="197"/>
      <c r="FC42" s="197"/>
      <c r="FD42" s="197"/>
      <c r="FE42" s="197"/>
      <c r="FF42" s="197"/>
      <c r="FG42" s="197"/>
      <c r="FH42" s="197"/>
    </row>
    <row r="43" ht="13.65" customHeight="1">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197"/>
      <c r="BS43" s="197"/>
      <c r="BT43" s="197"/>
      <c r="BU43" s="197"/>
      <c r="BV43" s="197"/>
      <c r="BW43" s="197"/>
      <c r="BX43" s="197"/>
      <c r="BY43" s="197"/>
      <c r="BZ43" s="197"/>
      <c r="CA43" s="197"/>
      <c r="CB43" s="197"/>
      <c r="CC43" s="197"/>
      <c r="CD43" s="197"/>
      <c r="CE43" s="197"/>
      <c r="CF43" s="197"/>
      <c r="CG43" s="197"/>
      <c r="CH43" s="197"/>
      <c r="CI43" s="197"/>
      <c r="CJ43" s="197"/>
      <c r="CK43" s="197"/>
      <c r="CL43" s="197"/>
      <c r="CM43" s="197"/>
      <c r="CN43" s="197"/>
      <c r="CO43" s="197"/>
      <c r="CP43" s="197"/>
      <c r="CQ43" s="197"/>
      <c r="CR43" s="197"/>
      <c r="CS43" s="197"/>
      <c r="CT43" s="197"/>
      <c r="CU43" s="197"/>
      <c r="CV43" s="197"/>
      <c r="CW43" s="197"/>
      <c r="CX43" s="197"/>
      <c r="CY43" s="197"/>
      <c r="CZ43" s="197"/>
      <c r="DA43" s="197"/>
      <c r="DB43" s="197"/>
      <c r="DC43" s="197"/>
      <c r="DD43" s="197"/>
      <c r="DE43" s="197"/>
      <c r="DF43" s="197"/>
      <c r="DG43" s="197"/>
      <c r="DH43" s="197"/>
      <c r="DI43" s="197"/>
      <c r="DJ43" s="197"/>
      <c r="DK43" s="197"/>
      <c r="DL43" s="197"/>
      <c r="DM43" s="197"/>
      <c r="DN43" s="197"/>
      <c r="DO43" s="197"/>
      <c r="DP43" s="197"/>
      <c r="DQ43" s="197"/>
      <c r="DR43" s="197"/>
      <c r="DS43" s="197"/>
      <c r="DT43" s="197"/>
      <c r="DU43" s="197"/>
      <c r="DV43" s="197"/>
      <c r="DW43" s="197"/>
      <c r="DX43" s="197"/>
      <c r="DY43" s="197"/>
      <c r="DZ43" s="197"/>
      <c r="EA43" s="197"/>
      <c r="EB43" s="197"/>
      <c r="EC43" s="197"/>
      <c r="ED43" s="197"/>
      <c r="EE43" s="197"/>
      <c r="EF43" s="197"/>
      <c r="EG43" s="197"/>
      <c r="EH43" s="197"/>
      <c r="EI43" s="197"/>
      <c r="EJ43" s="197"/>
      <c r="EK43" s="197"/>
      <c r="EL43" s="197"/>
      <c r="EM43" s="197"/>
      <c r="EN43" s="197"/>
      <c r="EO43" s="197"/>
      <c r="EP43" s="197"/>
      <c r="EQ43" s="197"/>
      <c r="ER43" s="197"/>
      <c r="ES43" s="197"/>
      <c r="ET43" s="197"/>
      <c r="EU43" s="197"/>
      <c r="EV43" s="197"/>
      <c r="EW43" s="197"/>
      <c r="EX43" s="197"/>
      <c r="EY43" s="197"/>
      <c r="EZ43" s="197"/>
      <c r="FA43" s="197"/>
      <c r="FB43" s="197"/>
      <c r="FC43" s="197"/>
      <c r="FD43" s="197"/>
      <c r="FE43" s="197"/>
      <c r="FF43" s="197"/>
      <c r="FG43" s="197"/>
      <c r="FH43" s="197"/>
    </row>
    <row r="44" ht="20.25" customHeight="1">
      <c r="A44" s="197"/>
      <c r="B44" s="197"/>
      <c r="C44" s="197"/>
      <c r="D44" s="197"/>
      <c r="E44" s="317"/>
      <c r="F44" s="197"/>
      <c r="G44" s="343"/>
      <c r="H44" s="343"/>
      <c r="I44" s="343"/>
      <c r="J44" s="197"/>
      <c r="K44" s="197"/>
      <c r="L44" s="197"/>
      <c r="M44" s="197"/>
      <c r="N44" s="197"/>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197"/>
      <c r="BZ44" s="197"/>
      <c r="CA44" s="197"/>
      <c r="CB44" s="197"/>
      <c r="CC44" s="197"/>
      <c r="CD44" s="197"/>
      <c r="CE44" s="197"/>
      <c r="CF44" s="197"/>
      <c r="CG44" s="197"/>
      <c r="CH44" s="197"/>
      <c r="CI44" s="197"/>
      <c r="CJ44" s="197"/>
      <c r="CK44" s="197"/>
      <c r="CL44" s="197"/>
      <c r="CM44" s="197"/>
      <c r="CN44" s="197"/>
      <c r="CO44" s="197"/>
      <c r="CP44" s="197"/>
      <c r="CQ44" s="197"/>
      <c r="CR44" s="197"/>
      <c r="CS44" s="197"/>
      <c r="CT44" s="197"/>
      <c r="CU44" s="197"/>
      <c r="CV44" s="197"/>
      <c r="CW44" s="197"/>
      <c r="CX44" s="197"/>
      <c r="CY44" s="197"/>
      <c r="CZ44" s="197"/>
      <c r="DA44" s="197"/>
      <c r="DB44" s="197"/>
      <c r="DC44" s="197"/>
      <c r="DD44" s="197"/>
      <c r="DE44" s="197"/>
      <c r="DF44" s="197"/>
      <c r="DG44" s="197"/>
      <c r="DH44" s="197"/>
      <c r="DI44" s="197"/>
      <c r="DJ44" s="197"/>
      <c r="DK44" s="197"/>
      <c r="DL44" s="197"/>
      <c r="DM44" s="197"/>
      <c r="DN44" s="197"/>
      <c r="DO44" s="197"/>
      <c r="DP44" s="197"/>
      <c r="DQ44" s="197"/>
      <c r="DR44" s="197"/>
      <c r="DS44" s="197"/>
      <c r="DT44" s="197"/>
      <c r="DU44" s="197"/>
      <c r="DV44" s="197"/>
      <c r="DW44" s="197"/>
      <c r="DX44" s="197"/>
      <c r="DY44" s="197"/>
      <c r="DZ44" s="197"/>
      <c r="EA44" s="197"/>
      <c r="EB44" s="197"/>
      <c r="EC44" s="197"/>
      <c r="ED44" s="197"/>
      <c r="EE44" s="197"/>
      <c r="EF44" s="197"/>
      <c r="EG44" s="197"/>
      <c r="EH44" s="197"/>
      <c r="EI44" s="197"/>
      <c r="EJ44" s="197"/>
      <c r="EK44" s="197"/>
      <c r="EL44" s="197"/>
      <c r="EM44" s="197"/>
      <c r="EN44" s="197"/>
      <c r="EO44" s="197"/>
      <c r="EP44" s="197"/>
      <c r="EQ44" s="197"/>
      <c r="ER44" s="197"/>
      <c r="ES44" s="197"/>
      <c r="ET44" s="197"/>
      <c r="EU44" s="197"/>
      <c r="EV44" s="197"/>
      <c r="EW44" s="197"/>
      <c r="EX44" s="197"/>
      <c r="EY44" s="197"/>
      <c r="EZ44" s="197"/>
      <c r="FA44" s="197"/>
      <c r="FB44" s="197"/>
      <c r="FC44" s="197"/>
      <c r="FD44" s="197"/>
      <c r="FE44" s="197"/>
      <c r="FF44" s="197"/>
      <c r="FG44" s="197"/>
      <c r="FH44" s="197"/>
    </row>
    <row r="45" ht="13.5" customHeight="1">
      <c r="A45" s="197"/>
      <c r="B45" s="344"/>
      <c r="C45" s="344"/>
      <c r="D45" s="197"/>
      <c r="E45" s="196"/>
      <c r="F45" s="197"/>
      <c r="G45" s="197"/>
      <c r="H45" s="197"/>
      <c r="I45" s="344"/>
      <c r="J45" s="344"/>
      <c r="K45" s="344"/>
      <c r="L45" s="197"/>
      <c r="M45" s="197"/>
      <c r="N45" s="197"/>
      <c r="O45" s="197"/>
      <c r="P45" s="197"/>
      <c r="Q45" s="197"/>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c r="BQ45" s="197"/>
      <c r="BR45" s="197"/>
      <c r="BS45" s="197"/>
      <c r="BT45" s="197"/>
      <c r="BU45" s="197"/>
      <c r="BV45" s="197"/>
      <c r="BW45" s="197"/>
      <c r="BX45" s="197"/>
      <c r="BY45" s="197"/>
      <c r="BZ45" s="197"/>
      <c r="CA45" s="197"/>
      <c r="CB45" s="197"/>
      <c r="CC45" s="197"/>
      <c r="CD45" s="197"/>
      <c r="CE45" s="197"/>
      <c r="CF45" s="197"/>
      <c r="CG45" s="197"/>
      <c r="CH45" s="197"/>
      <c r="CI45" s="197"/>
      <c r="CJ45" s="197"/>
      <c r="CK45" s="197"/>
      <c r="CL45" s="197"/>
      <c r="CM45" s="197"/>
      <c r="CN45" s="197"/>
      <c r="CO45" s="197"/>
      <c r="CP45" s="197"/>
      <c r="CQ45" s="197"/>
      <c r="CR45" s="197"/>
      <c r="CS45" s="197"/>
      <c r="CT45" s="197"/>
      <c r="CU45" s="197"/>
      <c r="CV45" s="197"/>
      <c r="CW45" s="197"/>
      <c r="CX45" s="197"/>
      <c r="CY45" s="197"/>
      <c r="CZ45" s="197"/>
      <c r="DA45" s="197"/>
      <c r="DB45" s="197"/>
      <c r="DC45" s="197"/>
      <c r="DD45" s="197"/>
      <c r="DE45" s="197"/>
      <c r="DF45" s="197"/>
      <c r="DG45" s="197"/>
      <c r="DH45" s="197"/>
      <c r="DI45" s="197"/>
      <c r="DJ45" s="197"/>
      <c r="DK45" s="197"/>
      <c r="DL45" s="197"/>
      <c r="DM45" s="197"/>
      <c r="DN45" s="197"/>
      <c r="DO45" s="197"/>
      <c r="DP45" s="197"/>
      <c r="DQ45" s="197"/>
      <c r="DR45" s="197"/>
      <c r="DS45" s="197"/>
      <c r="DT45" s="197"/>
      <c r="DU45" s="197"/>
      <c r="DV45" s="197"/>
      <c r="DW45" s="197"/>
      <c r="DX45" s="197"/>
      <c r="DY45" s="197"/>
      <c r="DZ45" s="197"/>
      <c r="EA45" s="197"/>
      <c r="EB45" s="197"/>
      <c r="EC45" s="197"/>
      <c r="ED45" s="197"/>
      <c r="EE45" s="197"/>
      <c r="EF45" s="197"/>
      <c r="EG45" s="197"/>
      <c r="EH45" s="197"/>
      <c r="EI45" s="197"/>
      <c r="EJ45" s="197"/>
      <c r="EK45" s="197"/>
      <c r="EL45" s="197"/>
      <c r="EM45" s="197"/>
      <c r="EN45" s="197"/>
      <c r="EO45" s="197"/>
      <c r="EP45" s="197"/>
      <c r="EQ45" s="197"/>
      <c r="ER45" s="197"/>
      <c r="ES45" s="197"/>
      <c r="ET45" s="197"/>
      <c r="EU45" s="197"/>
      <c r="EV45" s="197"/>
      <c r="EW45" s="197"/>
      <c r="EX45" s="197"/>
      <c r="EY45" s="197"/>
      <c r="EZ45" s="197"/>
      <c r="FA45" s="197"/>
      <c r="FB45" s="197"/>
      <c r="FC45" s="197"/>
      <c r="FD45" s="197"/>
      <c r="FE45" s="197"/>
      <c r="FF45" s="197"/>
      <c r="FG45" s="197"/>
      <c r="FH45" s="197"/>
    </row>
    <row r="46" ht="19.5" customHeight="1">
      <c r="A46" s="241"/>
      <c r="B46" t="s" s="345">
        <v>110</v>
      </c>
      <c r="C46" s="346"/>
      <c r="D46" s="347"/>
      <c r="E46" t="s" s="348">
        <v>111</v>
      </c>
      <c r="F46" s="216"/>
      <c r="G46" s="197"/>
      <c r="H46" s="205"/>
      <c r="I46" t="s" s="349">
        <v>112</v>
      </c>
      <c r="J46" s="350"/>
      <c r="K46" s="351"/>
      <c r="L46" s="257"/>
      <c r="M46" s="197"/>
      <c r="N46" s="197"/>
      <c r="O46" s="197"/>
      <c r="P46" s="197"/>
      <c r="Q46" s="197"/>
      <c r="R46" s="197"/>
      <c r="S46" s="197"/>
      <c r="T46" s="197"/>
      <c r="U46" s="197"/>
      <c r="V46" s="197"/>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197"/>
      <c r="BG46" s="197"/>
      <c r="BH46" s="197"/>
      <c r="BI46" s="197"/>
      <c r="BJ46" s="197"/>
      <c r="BK46" s="197"/>
      <c r="BL46" s="197"/>
      <c r="BM46" s="197"/>
      <c r="BN46" s="197"/>
      <c r="BO46" s="197"/>
      <c r="BP46" s="197"/>
      <c r="BQ46" s="197"/>
      <c r="BR46" s="197"/>
      <c r="BS46" s="197"/>
      <c r="BT46" s="197"/>
      <c r="BU46" s="197"/>
      <c r="BV46" s="197"/>
      <c r="BW46" s="197"/>
      <c r="BX46" s="197"/>
      <c r="BY46" s="197"/>
      <c r="BZ46" s="197"/>
      <c r="CA46" s="197"/>
      <c r="CB46" s="197"/>
      <c r="CC46" s="197"/>
      <c r="CD46" s="197"/>
      <c r="CE46" s="197"/>
      <c r="CF46" s="197"/>
      <c r="CG46" s="197"/>
      <c r="CH46" s="197"/>
      <c r="CI46" s="197"/>
      <c r="CJ46" s="197"/>
      <c r="CK46" s="197"/>
      <c r="CL46" s="197"/>
      <c r="CM46" s="197"/>
      <c r="CN46" s="197"/>
      <c r="CO46" s="197"/>
      <c r="CP46" s="197"/>
      <c r="CQ46" s="197"/>
      <c r="CR46" s="197"/>
      <c r="CS46" s="197"/>
      <c r="CT46" s="197"/>
      <c r="CU46" s="197"/>
      <c r="CV46" s="197"/>
      <c r="CW46" s="197"/>
      <c r="CX46" s="197"/>
      <c r="CY46" s="197"/>
      <c r="CZ46" s="197"/>
      <c r="DA46" s="197"/>
      <c r="DB46" s="197"/>
      <c r="DC46" s="197"/>
      <c r="DD46" s="197"/>
      <c r="DE46" s="197"/>
      <c r="DF46" s="197"/>
      <c r="DG46" s="197"/>
      <c r="DH46" s="197"/>
      <c r="DI46" s="197"/>
      <c r="DJ46" s="197"/>
      <c r="DK46" s="197"/>
      <c r="DL46" s="197"/>
      <c r="DM46" s="197"/>
      <c r="DN46" s="197"/>
      <c r="DO46" s="197"/>
      <c r="DP46" s="197"/>
      <c r="DQ46" s="197"/>
      <c r="DR46" s="197"/>
      <c r="DS46" s="197"/>
      <c r="DT46" s="197"/>
      <c r="DU46" s="197"/>
      <c r="DV46" s="197"/>
      <c r="DW46" s="197"/>
      <c r="DX46" s="197"/>
      <c r="DY46" s="197"/>
      <c r="DZ46" s="197"/>
      <c r="EA46" s="197"/>
      <c r="EB46" s="197"/>
      <c r="EC46" s="197"/>
      <c r="ED46" s="197"/>
      <c r="EE46" s="197"/>
      <c r="EF46" s="197"/>
      <c r="EG46" s="197"/>
      <c r="EH46" s="197"/>
      <c r="EI46" s="197"/>
      <c r="EJ46" s="197"/>
      <c r="EK46" s="197"/>
      <c r="EL46" s="197"/>
      <c r="EM46" s="197"/>
      <c r="EN46" s="197"/>
      <c r="EO46" s="197"/>
      <c r="EP46" s="197"/>
      <c r="EQ46" s="197"/>
      <c r="ER46" s="197"/>
      <c r="ES46" s="197"/>
      <c r="ET46" s="197"/>
      <c r="EU46" s="197"/>
      <c r="EV46" s="197"/>
      <c r="EW46" s="197"/>
      <c r="EX46" s="197"/>
      <c r="EY46" s="197"/>
      <c r="EZ46" s="197"/>
      <c r="FA46" s="197"/>
      <c r="FB46" s="197"/>
      <c r="FC46" s="197"/>
      <c r="FD46" s="197"/>
      <c r="FE46" s="197"/>
      <c r="FF46" s="197"/>
      <c r="FG46" s="197"/>
      <c r="FH46" s="197"/>
    </row>
    <row r="47" ht="14.15" customHeight="1">
      <c r="A47" s="197"/>
      <c r="B47" s="306"/>
      <c r="C47" s="306"/>
      <c r="D47" s="197"/>
      <c r="E47" s="227"/>
      <c r="F47" s="197"/>
      <c r="G47" s="197"/>
      <c r="H47" s="197"/>
      <c r="I47" s="306"/>
      <c r="J47" s="306"/>
      <c r="K47" s="306"/>
      <c r="L47" s="197"/>
      <c r="M47" s="197"/>
      <c r="N47" s="197"/>
      <c r="O47" s="197"/>
      <c r="P47" s="197"/>
      <c r="Q47" s="197"/>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197"/>
      <c r="BY47" s="197"/>
      <c r="BZ47" s="197"/>
      <c r="CA47" s="197"/>
      <c r="CB47" s="197"/>
      <c r="CC47" s="197"/>
      <c r="CD47" s="197"/>
      <c r="CE47" s="197"/>
      <c r="CF47" s="197"/>
      <c r="CG47" s="197"/>
      <c r="CH47" s="197"/>
      <c r="CI47" s="197"/>
      <c r="CJ47" s="197"/>
      <c r="CK47" s="197"/>
      <c r="CL47" s="197"/>
      <c r="CM47" s="197"/>
      <c r="CN47" s="197"/>
      <c r="CO47" s="197"/>
      <c r="CP47" s="197"/>
      <c r="CQ47" s="197"/>
      <c r="CR47" s="197"/>
      <c r="CS47" s="197"/>
      <c r="CT47" s="197"/>
      <c r="CU47" s="197"/>
      <c r="CV47" s="197"/>
      <c r="CW47" s="197"/>
      <c r="CX47" s="197"/>
      <c r="CY47" s="197"/>
      <c r="CZ47" s="197"/>
      <c r="DA47" s="197"/>
      <c r="DB47" s="197"/>
      <c r="DC47" s="197"/>
      <c r="DD47" s="197"/>
      <c r="DE47" s="197"/>
      <c r="DF47" s="197"/>
      <c r="DG47" s="197"/>
      <c r="DH47" s="197"/>
      <c r="DI47" s="197"/>
      <c r="DJ47" s="197"/>
      <c r="DK47" s="197"/>
      <c r="DL47" s="197"/>
      <c r="DM47" s="197"/>
      <c r="DN47" s="197"/>
      <c r="DO47" s="197"/>
      <c r="DP47" s="197"/>
      <c r="DQ47" s="197"/>
      <c r="DR47" s="197"/>
      <c r="DS47" s="197"/>
      <c r="DT47" s="197"/>
      <c r="DU47" s="197"/>
      <c r="DV47" s="197"/>
      <c r="DW47" s="197"/>
      <c r="DX47" s="197"/>
      <c r="DY47" s="197"/>
      <c r="DZ47" s="197"/>
      <c r="EA47" s="197"/>
      <c r="EB47" s="197"/>
      <c r="EC47" s="197"/>
      <c r="ED47" s="197"/>
      <c r="EE47" s="197"/>
      <c r="EF47" s="197"/>
      <c r="EG47" s="197"/>
      <c r="EH47" s="197"/>
      <c r="EI47" s="197"/>
      <c r="EJ47" s="197"/>
      <c r="EK47" s="197"/>
      <c r="EL47" s="197"/>
      <c r="EM47" s="197"/>
      <c r="EN47" s="197"/>
      <c r="EO47" s="197"/>
      <c r="EP47" s="197"/>
      <c r="EQ47" s="197"/>
      <c r="ER47" s="197"/>
      <c r="ES47" s="197"/>
      <c r="ET47" s="197"/>
      <c r="EU47" s="197"/>
      <c r="EV47" s="197"/>
      <c r="EW47" s="197"/>
      <c r="EX47" s="197"/>
      <c r="EY47" s="197"/>
      <c r="EZ47" s="197"/>
      <c r="FA47" s="197"/>
      <c r="FB47" s="197"/>
      <c r="FC47" s="197"/>
      <c r="FD47" s="197"/>
      <c r="FE47" s="197"/>
      <c r="FF47" s="197"/>
      <c r="FG47" s="197"/>
      <c r="FH47" s="197"/>
    </row>
    <row r="48" ht="13.65" customHeight="1">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197"/>
      <c r="BG48" s="197"/>
      <c r="BH48" s="197"/>
      <c r="BI48" s="197"/>
      <c r="BJ48" s="197"/>
      <c r="BK48" s="197"/>
      <c r="BL48" s="197"/>
      <c r="BM48" s="197"/>
      <c r="BN48" s="197"/>
      <c r="BO48" s="197"/>
      <c r="BP48" s="197"/>
      <c r="BQ48" s="197"/>
      <c r="BR48" s="197"/>
      <c r="BS48" s="197"/>
      <c r="BT48" s="197"/>
      <c r="BU48" s="197"/>
      <c r="BV48" s="197"/>
      <c r="BW48" s="197"/>
      <c r="BX48" s="197"/>
      <c r="BY48" s="197"/>
      <c r="BZ48" s="197"/>
      <c r="CA48" s="197"/>
      <c r="CB48" s="197"/>
      <c r="CC48" s="197"/>
      <c r="CD48" s="197"/>
      <c r="CE48" s="197"/>
      <c r="CF48" s="197"/>
      <c r="CG48" s="197"/>
      <c r="CH48" s="197"/>
      <c r="CI48" s="197"/>
      <c r="CJ48" s="197"/>
      <c r="CK48" s="197"/>
      <c r="CL48" s="197"/>
      <c r="CM48" s="197"/>
      <c r="CN48" s="197"/>
      <c r="CO48" s="197"/>
      <c r="CP48" s="197"/>
      <c r="CQ48" s="197"/>
      <c r="CR48" s="197"/>
      <c r="CS48" s="197"/>
      <c r="CT48" s="197"/>
      <c r="CU48" s="197"/>
      <c r="CV48" s="197"/>
      <c r="CW48" s="197"/>
      <c r="CX48" s="197"/>
      <c r="CY48" s="197"/>
      <c r="CZ48" s="197"/>
      <c r="DA48" s="197"/>
      <c r="DB48" s="197"/>
      <c r="DC48" s="197"/>
      <c r="DD48" s="197"/>
      <c r="DE48" s="197"/>
      <c r="DF48" s="197"/>
      <c r="DG48" s="197"/>
      <c r="DH48" s="197"/>
      <c r="DI48" s="197"/>
      <c r="DJ48" s="197"/>
      <c r="DK48" s="197"/>
      <c r="DL48" s="197"/>
      <c r="DM48" s="197"/>
      <c r="DN48" s="197"/>
      <c r="DO48" s="197"/>
      <c r="DP48" s="197"/>
      <c r="DQ48" s="197"/>
      <c r="DR48" s="197"/>
      <c r="DS48" s="197"/>
      <c r="DT48" s="197"/>
      <c r="DU48" s="197"/>
      <c r="DV48" s="197"/>
      <c r="DW48" s="197"/>
      <c r="DX48" s="197"/>
      <c r="DY48" s="197"/>
      <c r="DZ48" s="197"/>
      <c r="EA48" s="197"/>
      <c r="EB48" s="197"/>
      <c r="EC48" s="197"/>
      <c r="ED48" s="197"/>
      <c r="EE48" s="197"/>
      <c r="EF48" s="197"/>
      <c r="EG48" s="197"/>
      <c r="EH48" s="197"/>
      <c r="EI48" s="197"/>
      <c r="EJ48" s="197"/>
      <c r="EK48" s="197"/>
      <c r="EL48" s="197"/>
      <c r="EM48" s="197"/>
      <c r="EN48" s="197"/>
      <c r="EO48" s="197"/>
      <c r="EP48" s="197"/>
      <c r="EQ48" s="197"/>
      <c r="ER48" s="197"/>
      <c r="ES48" s="197"/>
      <c r="ET48" s="197"/>
      <c r="EU48" s="197"/>
      <c r="EV48" s="197"/>
      <c r="EW48" s="197"/>
      <c r="EX48" s="197"/>
      <c r="EY48" s="197"/>
      <c r="EZ48" s="197"/>
      <c r="FA48" s="197"/>
      <c r="FB48" s="197"/>
      <c r="FC48" s="197"/>
      <c r="FD48" s="197"/>
      <c r="FE48" s="197"/>
      <c r="FF48" s="197"/>
      <c r="FG48" s="197"/>
      <c r="FH48" s="197"/>
    </row>
    <row r="49" ht="13.65" customHeight="1">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c r="CC49" s="197"/>
      <c r="CD49" s="197"/>
      <c r="CE49" s="197"/>
      <c r="CF49" s="197"/>
      <c r="CG49" s="197"/>
      <c r="CH49" s="197"/>
      <c r="CI49" s="197"/>
      <c r="CJ49" s="197"/>
      <c r="CK49" s="197"/>
      <c r="CL49" s="197"/>
      <c r="CM49" s="197"/>
      <c r="CN49" s="197"/>
      <c r="CO49" s="197"/>
      <c r="CP49" s="197"/>
      <c r="CQ49" s="197"/>
      <c r="CR49" s="197"/>
      <c r="CS49" s="197"/>
      <c r="CT49" s="197"/>
      <c r="CU49" s="197"/>
      <c r="CV49" s="197"/>
      <c r="CW49" s="197"/>
      <c r="CX49" s="197"/>
      <c r="CY49" s="197"/>
      <c r="CZ49" s="197"/>
      <c r="DA49" s="197"/>
      <c r="DB49" s="197"/>
      <c r="DC49" s="197"/>
      <c r="DD49" s="197"/>
      <c r="DE49" s="197"/>
      <c r="DF49" s="197"/>
      <c r="DG49" s="197"/>
      <c r="DH49" s="197"/>
      <c r="DI49" s="197"/>
      <c r="DJ49" s="197"/>
      <c r="DK49" s="197"/>
      <c r="DL49" s="197"/>
      <c r="DM49" s="197"/>
      <c r="DN49" s="197"/>
      <c r="DO49" s="197"/>
      <c r="DP49" s="197"/>
      <c r="DQ49" s="197"/>
      <c r="DR49" s="197"/>
      <c r="DS49" s="197"/>
      <c r="DT49" s="197"/>
      <c r="DU49" s="197"/>
      <c r="DV49" s="197"/>
      <c r="DW49" s="197"/>
      <c r="DX49" s="197"/>
      <c r="DY49" s="197"/>
      <c r="DZ49" s="197"/>
      <c r="EA49" s="197"/>
      <c r="EB49" s="197"/>
      <c r="EC49" s="197"/>
      <c r="ED49" s="197"/>
      <c r="EE49" s="197"/>
      <c r="EF49" s="197"/>
      <c r="EG49" s="197"/>
      <c r="EH49" s="197"/>
      <c r="EI49" s="197"/>
      <c r="EJ49" s="197"/>
      <c r="EK49" s="197"/>
      <c r="EL49" s="197"/>
      <c r="EM49" s="197"/>
      <c r="EN49" s="197"/>
      <c r="EO49" s="197"/>
      <c r="EP49" s="197"/>
      <c r="EQ49" s="197"/>
      <c r="ER49" s="197"/>
      <c r="ES49" s="197"/>
      <c r="ET49" s="197"/>
      <c r="EU49" s="197"/>
      <c r="EV49" s="197"/>
      <c r="EW49" s="197"/>
      <c r="EX49" s="197"/>
      <c r="EY49" s="197"/>
      <c r="EZ49" s="197"/>
      <c r="FA49" s="197"/>
      <c r="FB49" s="197"/>
      <c r="FC49" s="197"/>
      <c r="FD49" s="197"/>
      <c r="FE49" s="197"/>
      <c r="FF49" s="197"/>
      <c r="FG49" s="197"/>
      <c r="FH49" s="197"/>
    </row>
    <row r="50" ht="13.65" customHeight="1">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197"/>
      <c r="BV50" s="197"/>
      <c r="BW50" s="197"/>
      <c r="BX50" s="197"/>
      <c r="BY50" s="197"/>
      <c r="BZ50" s="197"/>
      <c r="CA50" s="197"/>
      <c r="CB50" s="197"/>
      <c r="CC50" s="197"/>
      <c r="CD50" s="197"/>
      <c r="CE50" s="197"/>
      <c r="CF50" s="197"/>
      <c r="CG50" s="197"/>
      <c r="CH50" s="197"/>
      <c r="CI50" s="197"/>
      <c r="CJ50" s="197"/>
      <c r="CK50" s="197"/>
      <c r="CL50" s="197"/>
      <c r="CM50" s="197"/>
      <c r="CN50" s="197"/>
      <c r="CO50" s="197"/>
      <c r="CP50" s="197"/>
      <c r="CQ50" s="197"/>
      <c r="CR50" s="197"/>
      <c r="CS50" s="197"/>
      <c r="CT50" s="197"/>
      <c r="CU50" s="197"/>
      <c r="CV50" s="197"/>
      <c r="CW50" s="197"/>
      <c r="CX50" s="197"/>
      <c r="CY50" s="197"/>
      <c r="CZ50" s="197"/>
      <c r="DA50" s="197"/>
      <c r="DB50" s="197"/>
      <c r="DC50" s="197"/>
      <c r="DD50" s="197"/>
      <c r="DE50" s="197"/>
      <c r="DF50" s="197"/>
      <c r="DG50" s="197"/>
      <c r="DH50" s="197"/>
      <c r="DI50" s="197"/>
      <c r="DJ50" s="197"/>
      <c r="DK50" s="197"/>
      <c r="DL50" s="197"/>
      <c r="DM50" s="197"/>
      <c r="DN50" s="197"/>
      <c r="DO50" s="197"/>
      <c r="DP50" s="197"/>
      <c r="DQ50" s="197"/>
      <c r="DR50" s="197"/>
      <c r="DS50" s="197"/>
      <c r="DT50" s="197"/>
      <c r="DU50" s="197"/>
      <c r="DV50" s="197"/>
      <c r="DW50" s="197"/>
      <c r="DX50" s="197"/>
      <c r="DY50" s="197"/>
      <c r="DZ50" s="197"/>
      <c r="EA50" s="197"/>
      <c r="EB50" s="197"/>
      <c r="EC50" s="197"/>
      <c r="ED50" s="197"/>
      <c r="EE50" s="197"/>
      <c r="EF50" s="197"/>
      <c r="EG50" s="197"/>
      <c r="EH50" s="197"/>
      <c r="EI50" s="197"/>
      <c r="EJ50" s="197"/>
      <c r="EK50" s="197"/>
      <c r="EL50" s="197"/>
      <c r="EM50" s="197"/>
      <c r="EN50" s="197"/>
      <c r="EO50" s="197"/>
      <c r="EP50" s="197"/>
      <c r="EQ50" s="197"/>
      <c r="ER50" s="197"/>
      <c r="ES50" s="197"/>
      <c r="ET50" s="197"/>
      <c r="EU50" s="197"/>
      <c r="EV50" s="197"/>
      <c r="EW50" s="197"/>
      <c r="EX50" s="197"/>
      <c r="EY50" s="197"/>
      <c r="EZ50" s="197"/>
      <c r="FA50" s="197"/>
      <c r="FB50" s="197"/>
      <c r="FC50" s="197"/>
      <c r="FD50" s="197"/>
      <c r="FE50" s="197"/>
      <c r="FF50" s="197"/>
      <c r="FG50" s="197"/>
      <c r="FH50" s="197"/>
    </row>
    <row r="51" ht="13.65" customHeight="1">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197"/>
      <c r="BV51" s="197"/>
      <c r="BW51" s="197"/>
      <c r="BX51" s="197"/>
      <c r="BY51" s="197"/>
      <c r="BZ51" s="197"/>
      <c r="CA51" s="197"/>
      <c r="CB51" s="197"/>
      <c r="CC51" s="197"/>
      <c r="CD51" s="197"/>
      <c r="CE51" s="197"/>
      <c r="CF51" s="197"/>
      <c r="CG51" s="197"/>
      <c r="CH51" s="197"/>
      <c r="CI51" s="197"/>
      <c r="CJ51" s="197"/>
      <c r="CK51" s="197"/>
      <c r="CL51" s="197"/>
      <c r="CM51" s="197"/>
      <c r="CN51" s="197"/>
      <c r="CO51" s="197"/>
      <c r="CP51" s="197"/>
      <c r="CQ51" s="197"/>
      <c r="CR51" s="197"/>
      <c r="CS51" s="197"/>
      <c r="CT51" s="197"/>
      <c r="CU51" s="197"/>
      <c r="CV51" s="197"/>
      <c r="CW51" s="197"/>
      <c r="CX51" s="197"/>
      <c r="CY51" s="197"/>
      <c r="CZ51" s="197"/>
      <c r="DA51" s="197"/>
      <c r="DB51" s="197"/>
      <c r="DC51" s="197"/>
      <c r="DD51" s="197"/>
      <c r="DE51" s="197"/>
      <c r="DF51" s="197"/>
      <c r="DG51" s="197"/>
      <c r="DH51" s="197"/>
      <c r="DI51" s="197"/>
      <c r="DJ51" s="197"/>
      <c r="DK51" s="197"/>
      <c r="DL51" s="197"/>
      <c r="DM51" s="197"/>
      <c r="DN51" s="197"/>
      <c r="DO51" s="197"/>
      <c r="DP51" s="197"/>
      <c r="DQ51" s="197"/>
      <c r="DR51" s="197"/>
      <c r="DS51" s="197"/>
      <c r="DT51" s="197"/>
      <c r="DU51" s="197"/>
      <c r="DV51" s="197"/>
      <c r="DW51" s="197"/>
      <c r="DX51" s="197"/>
      <c r="DY51" s="197"/>
      <c r="DZ51" s="197"/>
      <c r="EA51" s="197"/>
      <c r="EB51" s="197"/>
      <c r="EC51" s="197"/>
      <c r="ED51" s="197"/>
      <c r="EE51" s="197"/>
      <c r="EF51" s="197"/>
      <c r="EG51" s="197"/>
      <c r="EH51" s="197"/>
      <c r="EI51" s="197"/>
      <c r="EJ51" s="197"/>
      <c r="EK51" s="197"/>
      <c r="EL51" s="197"/>
      <c r="EM51" s="197"/>
      <c r="EN51" s="197"/>
      <c r="EO51" s="197"/>
      <c r="EP51" s="197"/>
      <c r="EQ51" s="197"/>
      <c r="ER51" s="197"/>
      <c r="ES51" s="197"/>
      <c r="ET51" s="197"/>
      <c r="EU51" s="197"/>
      <c r="EV51" s="197"/>
      <c r="EW51" s="197"/>
      <c r="EX51" s="197"/>
      <c r="EY51" s="197"/>
      <c r="EZ51" s="197"/>
      <c r="FA51" s="197"/>
      <c r="FB51" s="197"/>
      <c r="FC51" s="197"/>
      <c r="FD51" s="197"/>
      <c r="FE51" s="197"/>
      <c r="FF51" s="197"/>
      <c r="FG51" s="197"/>
      <c r="FH51" s="197"/>
    </row>
    <row r="52" ht="13.65" customHeight="1">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197"/>
      <c r="BV52" s="197"/>
      <c r="BW52" s="197"/>
      <c r="BX52" s="197"/>
      <c r="BY52" s="197"/>
      <c r="BZ52" s="197"/>
      <c r="CA52" s="197"/>
      <c r="CB52" s="197"/>
      <c r="CC52" s="197"/>
      <c r="CD52" s="197"/>
      <c r="CE52" s="197"/>
      <c r="CF52" s="197"/>
      <c r="CG52" s="197"/>
      <c r="CH52" s="197"/>
      <c r="CI52" s="197"/>
      <c r="CJ52" s="197"/>
      <c r="CK52" s="197"/>
      <c r="CL52" s="197"/>
      <c r="CM52" s="197"/>
      <c r="CN52" s="197"/>
      <c r="CO52" s="197"/>
      <c r="CP52" s="197"/>
      <c r="CQ52" s="197"/>
      <c r="CR52" s="197"/>
      <c r="CS52" s="197"/>
      <c r="CT52" s="197"/>
      <c r="CU52" s="197"/>
      <c r="CV52" s="197"/>
      <c r="CW52" s="197"/>
      <c r="CX52" s="197"/>
      <c r="CY52" s="197"/>
      <c r="CZ52" s="197"/>
      <c r="DA52" s="197"/>
      <c r="DB52" s="197"/>
      <c r="DC52" s="197"/>
      <c r="DD52" s="197"/>
      <c r="DE52" s="197"/>
      <c r="DF52" s="197"/>
      <c r="DG52" s="197"/>
      <c r="DH52" s="197"/>
      <c r="DI52" s="197"/>
      <c r="DJ52" s="197"/>
      <c r="DK52" s="197"/>
      <c r="DL52" s="197"/>
      <c r="DM52" s="197"/>
      <c r="DN52" s="197"/>
      <c r="DO52" s="197"/>
      <c r="DP52" s="197"/>
      <c r="DQ52" s="197"/>
      <c r="DR52" s="197"/>
      <c r="DS52" s="197"/>
      <c r="DT52" s="197"/>
      <c r="DU52" s="197"/>
      <c r="DV52" s="197"/>
      <c r="DW52" s="197"/>
      <c r="DX52" s="197"/>
      <c r="DY52" s="197"/>
      <c r="DZ52" s="197"/>
      <c r="EA52" s="197"/>
      <c r="EB52" s="197"/>
      <c r="EC52" s="197"/>
      <c r="ED52" s="197"/>
      <c r="EE52" s="197"/>
      <c r="EF52" s="197"/>
      <c r="EG52" s="197"/>
      <c r="EH52" s="197"/>
      <c r="EI52" s="197"/>
      <c r="EJ52" s="197"/>
      <c r="EK52" s="197"/>
      <c r="EL52" s="197"/>
      <c r="EM52" s="197"/>
      <c r="EN52" s="197"/>
      <c r="EO52" s="197"/>
      <c r="EP52" s="197"/>
      <c r="EQ52" s="197"/>
      <c r="ER52" s="197"/>
      <c r="ES52" s="197"/>
      <c r="ET52" s="197"/>
      <c r="EU52" s="197"/>
      <c r="EV52" s="197"/>
      <c r="EW52" s="197"/>
      <c r="EX52" s="197"/>
      <c r="EY52" s="197"/>
      <c r="EZ52" s="197"/>
      <c r="FA52" s="197"/>
      <c r="FB52" s="197"/>
      <c r="FC52" s="197"/>
      <c r="FD52" s="197"/>
      <c r="FE52" s="197"/>
      <c r="FF52" s="197"/>
      <c r="FG52" s="197"/>
      <c r="FH52" s="197"/>
    </row>
    <row r="53" ht="13.65" customHeight="1">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197"/>
      <c r="BG53" s="197"/>
      <c r="BH53" s="197"/>
      <c r="BI53" s="197"/>
      <c r="BJ53" s="197"/>
      <c r="BK53" s="197"/>
      <c r="BL53" s="197"/>
      <c r="BM53" s="197"/>
      <c r="BN53" s="197"/>
      <c r="BO53" s="197"/>
      <c r="BP53" s="197"/>
      <c r="BQ53" s="197"/>
      <c r="BR53" s="197"/>
      <c r="BS53" s="197"/>
      <c r="BT53" s="197"/>
      <c r="BU53" s="197"/>
      <c r="BV53" s="197"/>
      <c r="BW53" s="197"/>
      <c r="BX53" s="197"/>
      <c r="BY53" s="197"/>
      <c r="BZ53" s="197"/>
      <c r="CA53" s="197"/>
      <c r="CB53" s="197"/>
      <c r="CC53" s="197"/>
      <c r="CD53" s="197"/>
      <c r="CE53" s="197"/>
      <c r="CF53" s="197"/>
      <c r="CG53" s="197"/>
      <c r="CH53" s="197"/>
      <c r="CI53" s="197"/>
      <c r="CJ53" s="197"/>
      <c r="CK53" s="197"/>
      <c r="CL53" s="197"/>
      <c r="CM53" s="197"/>
      <c r="CN53" s="197"/>
      <c r="CO53" s="197"/>
      <c r="CP53" s="197"/>
      <c r="CQ53" s="197"/>
      <c r="CR53" s="197"/>
      <c r="CS53" s="197"/>
      <c r="CT53" s="197"/>
      <c r="CU53" s="197"/>
      <c r="CV53" s="197"/>
      <c r="CW53" s="197"/>
      <c r="CX53" s="197"/>
      <c r="CY53" s="197"/>
      <c r="CZ53" s="197"/>
      <c r="DA53" s="197"/>
      <c r="DB53" s="197"/>
      <c r="DC53" s="197"/>
      <c r="DD53" s="197"/>
      <c r="DE53" s="197"/>
      <c r="DF53" s="197"/>
      <c r="DG53" s="197"/>
      <c r="DH53" s="197"/>
      <c r="DI53" s="197"/>
      <c r="DJ53" s="197"/>
      <c r="DK53" s="197"/>
      <c r="DL53" s="197"/>
      <c r="DM53" s="197"/>
      <c r="DN53" s="197"/>
      <c r="DO53" s="197"/>
      <c r="DP53" s="197"/>
      <c r="DQ53" s="197"/>
      <c r="DR53" s="197"/>
      <c r="DS53" s="197"/>
      <c r="DT53" s="197"/>
      <c r="DU53" s="197"/>
      <c r="DV53" s="197"/>
      <c r="DW53" s="197"/>
      <c r="DX53" s="197"/>
      <c r="DY53" s="197"/>
      <c r="DZ53" s="197"/>
      <c r="EA53" s="197"/>
      <c r="EB53" s="197"/>
      <c r="EC53" s="197"/>
      <c r="ED53" s="197"/>
      <c r="EE53" s="197"/>
      <c r="EF53" s="197"/>
      <c r="EG53" s="197"/>
      <c r="EH53" s="197"/>
      <c r="EI53" s="197"/>
      <c r="EJ53" s="197"/>
      <c r="EK53" s="197"/>
      <c r="EL53" s="197"/>
      <c r="EM53" s="197"/>
      <c r="EN53" s="197"/>
      <c r="EO53" s="197"/>
      <c r="EP53" s="197"/>
      <c r="EQ53" s="197"/>
      <c r="ER53" s="197"/>
      <c r="ES53" s="197"/>
      <c r="ET53" s="197"/>
      <c r="EU53" s="197"/>
      <c r="EV53" s="197"/>
      <c r="EW53" s="197"/>
      <c r="EX53" s="197"/>
      <c r="EY53" s="197"/>
      <c r="EZ53" s="197"/>
      <c r="FA53" s="197"/>
      <c r="FB53" s="197"/>
      <c r="FC53" s="197"/>
      <c r="FD53" s="197"/>
      <c r="FE53" s="197"/>
      <c r="FF53" s="197"/>
      <c r="FG53" s="197"/>
      <c r="FH53" s="197"/>
    </row>
    <row r="54" ht="13.65" customHeight="1">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197"/>
      <c r="BG54" s="197"/>
      <c r="BH54" s="197"/>
      <c r="BI54" s="197"/>
      <c r="BJ54" s="197"/>
      <c r="BK54" s="197"/>
      <c r="BL54" s="197"/>
      <c r="BM54" s="197"/>
      <c r="BN54" s="197"/>
      <c r="BO54" s="197"/>
      <c r="BP54" s="197"/>
      <c r="BQ54" s="197"/>
      <c r="BR54" s="197"/>
      <c r="BS54" s="197"/>
      <c r="BT54" s="197"/>
      <c r="BU54" s="197"/>
      <c r="BV54" s="197"/>
      <c r="BW54" s="197"/>
      <c r="BX54" s="197"/>
      <c r="BY54" s="197"/>
      <c r="BZ54" s="197"/>
      <c r="CA54" s="197"/>
      <c r="CB54" s="197"/>
      <c r="CC54" s="197"/>
      <c r="CD54" s="197"/>
      <c r="CE54" s="197"/>
      <c r="CF54" s="197"/>
      <c r="CG54" s="197"/>
      <c r="CH54" s="197"/>
      <c r="CI54" s="197"/>
      <c r="CJ54" s="197"/>
      <c r="CK54" s="197"/>
      <c r="CL54" s="197"/>
      <c r="CM54" s="197"/>
      <c r="CN54" s="197"/>
      <c r="CO54" s="197"/>
      <c r="CP54" s="197"/>
      <c r="CQ54" s="197"/>
      <c r="CR54" s="197"/>
      <c r="CS54" s="197"/>
      <c r="CT54" s="197"/>
      <c r="CU54" s="197"/>
      <c r="CV54" s="197"/>
      <c r="CW54" s="197"/>
      <c r="CX54" s="197"/>
      <c r="CY54" s="197"/>
      <c r="CZ54" s="197"/>
      <c r="DA54" s="197"/>
      <c r="DB54" s="197"/>
      <c r="DC54" s="197"/>
      <c r="DD54" s="197"/>
      <c r="DE54" s="197"/>
      <c r="DF54" s="197"/>
      <c r="DG54" s="197"/>
      <c r="DH54" s="197"/>
      <c r="DI54" s="197"/>
      <c r="DJ54" s="197"/>
      <c r="DK54" s="197"/>
      <c r="DL54" s="197"/>
      <c r="DM54" s="197"/>
      <c r="DN54" s="197"/>
      <c r="DO54" s="197"/>
      <c r="DP54" s="197"/>
      <c r="DQ54" s="197"/>
      <c r="DR54" s="197"/>
      <c r="DS54" s="197"/>
      <c r="DT54" s="197"/>
      <c r="DU54" s="197"/>
      <c r="DV54" s="197"/>
      <c r="DW54" s="197"/>
      <c r="DX54" s="197"/>
      <c r="DY54" s="197"/>
      <c r="DZ54" s="197"/>
      <c r="EA54" s="197"/>
      <c r="EB54" s="197"/>
      <c r="EC54" s="197"/>
      <c r="ED54" s="197"/>
      <c r="EE54" s="197"/>
      <c r="EF54" s="197"/>
      <c r="EG54" s="197"/>
      <c r="EH54" s="197"/>
      <c r="EI54" s="197"/>
      <c r="EJ54" s="197"/>
      <c r="EK54" s="197"/>
      <c r="EL54" s="197"/>
      <c r="EM54" s="197"/>
      <c r="EN54" s="197"/>
      <c r="EO54" s="197"/>
      <c r="EP54" s="197"/>
      <c r="EQ54" s="197"/>
      <c r="ER54" s="197"/>
      <c r="ES54" s="197"/>
      <c r="ET54" s="197"/>
      <c r="EU54" s="197"/>
      <c r="EV54" s="197"/>
      <c r="EW54" s="197"/>
      <c r="EX54" s="197"/>
      <c r="EY54" s="197"/>
      <c r="EZ54" s="197"/>
      <c r="FA54" s="197"/>
      <c r="FB54" s="197"/>
      <c r="FC54" s="197"/>
      <c r="FD54" s="197"/>
      <c r="FE54" s="197"/>
      <c r="FF54" s="197"/>
      <c r="FG54" s="197"/>
      <c r="FH54" s="197"/>
    </row>
    <row r="55" ht="13.65" customHeight="1">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197"/>
      <c r="BG55" s="197"/>
      <c r="BH55" s="197"/>
      <c r="BI55" s="197"/>
      <c r="BJ55" s="197"/>
      <c r="BK55" s="197"/>
      <c r="BL55" s="197"/>
      <c r="BM55" s="197"/>
      <c r="BN55" s="197"/>
      <c r="BO55" s="197"/>
      <c r="BP55" s="197"/>
      <c r="BQ55" s="197"/>
      <c r="BR55" s="197"/>
      <c r="BS55" s="197"/>
      <c r="BT55" s="197"/>
      <c r="BU55" s="197"/>
      <c r="BV55" s="197"/>
      <c r="BW55" s="197"/>
      <c r="BX55" s="197"/>
      <c r="BY55" s="197"/>
      <c r="BZ55" s="197"/>
      <c r="CA55" s="197"/>
      <c r="CB55" s="197"/>
      <c r="CC55" s="197"/>
      <c r="CD55" s="197"/>
      <c r="CE55" s="197"/>
      <c r="CF55" s="197"/>
      <c r="CG55" s="197"/>
      <c r="CH55" s="197"/>
      <c r="CI55" s="197"/>
      <c r="CJ55" s="197"/>
      <c r="CK55" s="197"/>
      <c r="CL55" s="197"/>
      <c r="CM55" s="197"/>
      <c r="CN55" s="197"/>
      <c r="CO55" s="197"/>
      <c r="CP55" s="197"/>
      <c r="CQ55" s="197"/>
      <c r="CR55" s="197"/>
      <c r="CS55" s="197"/>
      <c r="CT55" s="197"/>
      <c r="CU55" s="197"/>
      <c r="CV55" s="197"/>
      <c r="CW55" s="197"/>
      <c r="CX55" s="197"/>
      <c r="CY55" s="197"/>
      <c r="CZ55" s="197"/>
      <c r="DA55" s="197"/>
      <c r="DB55" s="197"/>
      <c r="DC55" s="197"/>
      <c r="DD55" s="197"/>
      <c r="DE55" s="197"/>
      <c r="DF55" s="197"/>
      <c r="DG55" s="197"/>
      <c r="DH55" s="197"/>
      <c r="DI55" s="197"/>
      <c r="DJ55" s="197"/>
      <c r="DK55" s="197"/>
      <c r="DL55" s="197"/>
      <c r="DM55" s="197"/>
      <c r="DN55" s="197"/>
      <c r="DO55" s="197"/>
      <c r="DP55" s="197"/>
      <c r="DQ55" s="197"/>
      <c r="DR55" s="197"/>
      <c r="DS55" s="197"/>
      <c r="DT55" s="197"/>
      <c r="DU55" s="197"/>
      <c r="DV55" s="197"/>
      <c r="DW55" s="197"/>
      <c r="DX55" s="197"/>
      <c r="DY55" s="197"/>
      <c r="DZ55" s="197"/>
      <c r="EA55" s="197"/>
      <c r="EB55" s="197"/>
      <c r="EC55" s="197"/>
      <c r="ED55" s="197"/>
      <c r="EE55" s="197"/>
      <c r="EF55" s="197"/>
      <c r="EG55" s="197"/>
      <c r="EH55" s="197"/>
      <c r="EI55" s="197"/>
      <c r="EJ55" s="197"/>
      <c r="EK55" s="197"/>
      <c r="EL55" s="197"/>
      <c r="EM55" s="197"/>
      <c r="EN55" s="197"/>
      <c r="EO55" s="197"/>
      <c r="EP55" s="197"/>
      <c r="EQ55" s="197"/>
      <c r="ER55" s="197"/>
      <c r="ES55" s="197"/>
      <c r="ET55" s="197"/>
      <c r="EU55" s="197"/>
      <c r="EV55" s="197"/>
      <c r="EW55" s="197"/>
      <c r="EX55" s="197"/>
      <c r="EY55" s="197"/>
      <c r="EZ55" s="197"/>
      <c r="FA55" s="197"/>
      <c r="FB55" s="197"/>
      <c r="FC55" s="197"/>
      <c r="FD55" s="197"/>
      <c r="FE55" s="197"/>
      <c r="FF55" s="197"/>
      <c r="FG55" s="197"/>
      <c r="FH55" s="197"/>
    </row>
    <row r="56" ht="13.65" customHeight="1">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197"/>
      <c r="BG56" s="197"/>
      <c r="BH56" s="197"/>
      <c r="BI56" s="197"/>
      <c r="BJ56" s="197"/>
      <c r="BK56" s="197"/>
      <c r="BL56" s="197"/>
      <c r="BM56" s="197"/>
      <c r="BN56" s="197"/>
      <c r="BO56" s="197"/>
      <c r="BP56" s="197"/>
      <c r="BQ56" s="197"/>
      <c r="BR56" s="197"/>
      <c r="BS56" s="197"/>
      <c r="BT56" s="197"/>
      <c r="BU56" s="197"/>
      <c r="BV56" s="197"/>
      <c r="BW56" s="197"/>
      <c r="BX56" s="197"/>
      <c r="BY56" s="197"/>
      <c r="BZ56" s="197"/>
      <c r="CA56" s="197"/>
      <c r="CB56" s="197"/>
      <c r="CC56" s="197"/>
      <c r="CD56" s="197"/>
      <c r="CE56" s="197"/>
      <c r="CF56" s="197"/>
      <c r="CG56" s="197"/>
      <c r="CH56" s="197"/>
      <c r="CI56" s="197"/>
      <c r="CJ56" s="197"/>
      <c r="CK56" s="197"/>
      <c r="CL56" s="197"/>
      <c r="CM56" s="197"/>
      <c r="CN56" s="197"/>
      <c r="CO56" s="197"/>
      <c r="CP56" s="197"/>
      <c r="CQ56" s="197"/>
      <c r="CR56" s="197"/>
      <c r="CS56" s="197"/>
      <c r="CT56" s="197"/>
      <c r="CU56" s="197"/>
      <c r="CV56" s="197"/>
      <c r="CW56" s="197"/>
      <c r="CX56" s="197"/>
      <c r="CY56" s="197"/>
      <c r="CZ56" s="197"/>
      <c r="DA56" s="197"/>
      <c r="DB56" s="197"/>
      <c r="DC56" s="197"/>
      <c r="DD56" s="197"/>
      <c r="DE56" s="197"/>
      <c r="DF56" s="197"/>
      <c r="DG56" s="197"/>
      <c r="DH56" s="197"/>
      <c r="DI56" s="197"/>
      <c r="DJ56" s="197"/>
      <c r="DK56" s="197"/>
      <c r="DL56" s="197"/>
      <c r="DM56" s="197"/>
      <c r="DN56" s="197"/>
      <c r="DO56" s="197"/>
      <c r="DP56" s="197"/>
      <c r="DQ56" s="197"/>
      <c r="DR56" s="197"/>
      <c r="DS56" s="197"/>
      <c r="DT56" s="197"/>
      <c r="DU56" s="197"/>
      <c r="DV56" s="197"/>
      <c r="DW56" s="197"/>
      <c r="DX56" s="197"/>
      <c r="DY56" s="197"/>
      <c r="DZ56" s="197"/>
      <c r="EA56" s="197"/>
      <c r="EB56" s="197"/>
      <c r="EC56" s="197"/>
      <c r="ED56" s="197"/>
      <c r="EE56" s="197"/>
      <c r="EF56" s="197"/>
      <c r="EG56" s="197"/>
      <c r="EH56" s="197"/>
      <c r="EI56" s="197"/>
      <c r="EJ56" s="197"/>
      <c r="EK56" s="197"/>
      <c r="EL56" s="197"/>
      <c r="EM56" s="197"/>
      <c r="EN56" s="197"/>
      <c r="EO56" s="197"/>
      <c r="EP56" s="197"/>
      <c r="EQ56" s="197"/>
      <c r="ER56" s="197"/>
      <c r="ES56" s="197"/>
      <c r="ET56" s="197"/>
      <c r="EU56" s="197"/>
      <c r="EV56" s="197"/>
      <c r="EW56" s="197"/>
      <c r="EX56" s="197"/>
      <c r="EY56" s="197"/>
      <c r="EZ56" s="197"/>
      <c r="FA56" s="197"/>
      <c r="FB56" s="197"/>
      <c r="FC56" s="197"/>
      <c r="FD56" s="197"/>
      <c r="FE56" s="197"/>
      <c r="FF56" s="197"/>
      <c r="FG56" s="197"/>
      <c r="FH56" s="197"/>
    </row>
    <row r="57" ht="13.65" customHeight="1">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197"/>
      <c r="BG57" s="197"/>
      <c r="BH57" s="197"/>
      <c r="BI57" s="197"/>
      <c r="BJ57" s="197"/>
      <c r="BK57" s="197"/>
      <c r="BL57" s="197"/>
      <c r="BM57" s="197"/>
      <c r="BN57" s="197"/>
      <c r="BO57" s="197"/>
      <c r="BP57" s="197"/>
      <c r="BQ57" s="197"/>
      <c r="BR57" s="197"/>
      <c r="BS57" s="197"/>
      <c r="BT57" s="197"/>
      <c r="BU57" s="197"/>
      <c r="BV57" s="197"/>
      <c r="BW57" s="197"/>
      <c r="BX57" s="197"/>
      <c r="BY57" s="197"/>
      <c r="BZ57" s="197"/>
      <c r="CA57" s="197"/>
      <c r="CB57" s="197"/>
      <c r="CC57" s="197"/>
      <c r="CD57" s="197"/>
      <c r="CE57" s="197"/>
      <c r="CF57" s="197"/>
      <c r="CG57" s="197"/>
      <c r="CH57" s="197"/>
      <c r="CI57" s="197"/>
      <c r="CJ57" s="197"/>
      <c r="CK57" s="197"/>
      <c r="CL57" s="197"/>
      <c r="CM57" s="197"/>
      <c r="CN57" s="197"/>
      <c r="CO57" s="197"/>
      <c r="CP57" s="197"/>
      <c r="CQ57" s="197"/>
      <c r="CR57" s="197"/>
      <c r="CS57" s="197"/>
      <c r="CT57" s="197"/>
      <c r="CU57" s="197"/>
      <c r="CV57" s="197"/>
      <c r="CW57" s="197"/>
      <c r="CX57" s="197"/>
      <c r="CY57" s="197"/>
      <c r="CZ57" s="197"/>
      <c r="DA57" s="197"/>
      <c r="DB57" s="197"/>
      <c r="DC57" s="197"/>
      <c r="DD57" s="197"/>
      <c r="DE57" s="197"/>
      <c r="DF57" s="197"/>
      <c r="DG57" s="197"/>
      <c r="DH57" s="197"/>
      <c r="DI57" s="197"/>
      <c r="DJ57" s="197"/>
      <c r="DK57" s="197"/>
      <c r="DL57" s="197"/>
      <c r="DM57" s="197"/>
      <c r="DN57" s="197"/>
      <c r="DO57" s="197"/>
      <c r="DP57" s="197"/>
      <c r="DQ57" s="197"/>
      <c r="DR57" s="197"/>
      <c r="DS57" s="197"/>
      <c r="DT57" s="197"/>
      <c r="DU57" s="197"/>
      <c r="DV57" s="197"/>
      <c r="DW57" s="197"/>
      <c r="DX57" s="197"/>
      <c r="DY57" s="197"/>
      <c r="DZ57" s="197"/>
      <c r="EA57" s="197"/>
      <c r="EB57" s="197"/>
      <c r="EC57" s="197"/>
      <c r="ED57" s="197"/>
      <c r="EE57" s="197"/>
      <c r="EF57" s="197"/>
      <c r="EG57" s="197"/>
      <c r="EH57" s="197"/>
      <c r="EI57" s="197"/>
      <c r="EJ57" s="197"/>
      <c r="EK57" s="197"/>
      <c r="EL57" s="197"/>
      <c r="EM57" s="197"/>
      <c r="EN57" s="197"/>
      <c r="EO57" s="197"/>
      <c r="EP57" s="197"/>
      <c r="EQ57" s="197"/>
      <c r="ER57" s="197"/>
      <c r="ES57" s="197"/>
      <c r="ET57" s="197"/>
      <c r="EU57" s="197"/>
      <c r="EV57" s="197"/>
      <c r="EW57" s="197"/>
      <c r="EX57" s="197"/>
      <c r="EY57" s="197"/>
      <c r="EZ57" s="197"/>
      <c r="FA57" s="197"/>
      <c r="FB57" s="197"/>
      <c r="FC57" s="197"/>
      <c r="FD57" s="197"/>
      <c r="FE57" s="197"/>
      <c r="FF57" s="197"/>
      <c r="FG57" s="197"/>
      <c r="FH57" s="197"/>
    </row>
    <row r="58" ht="13.65" customHeight="1">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c r="CD58" s="197"/>
      <c r="CE58" s="197"/>
      <c r="CF58" s="197"/>
      <c r="CG58" s="197"/>
      <c r="CH58" s="197"/>
      <c r="CI58" s="197"/>
      <c r="CJ58" s="197"/>
      <c r="CK58" s="197"/>
      <c r="CL58" s="197"/>
      <c r="CM58" s="197"/>
      <c r="CN58" s="197"/>
      <c r="CO58" s="197"/>
      <c r="CP58" s="197"/>
      <c r="CQ58" s="197"/>
      <c r="CR58" s="197"/>
      <c r="CS58" s="197"/>
      <c r="CT58" s="197"/>
      <c r="CU58" s="197"/>
      <c r="CV58" s="197"/>
      <c r="CW58" s="197"/>
      <c r="CX58" s="197"/>
      <c r="CY58" s="197"/>
      <c r="CZ58" s="197"/>
      <c r="DA58" s="197"/>
      <c r="DB58" s="197"/>
      <c r="DC58" s="197"/>
      <c r="DD58" s="197"/>
      <c r="DE58" s="197"/>
      <c r="DF58" s="197"/>
      <c r="DG58" s="197"/>
      <c r="DH58" s="197"/>
      <c r="DI58" s="197"/>
      <c r="DJ58" s="197"/>
      <c r="DK58" s="197"/>
      <c r="DL58" s="197"/>
      <c r="DM58" s="197"/>
      <c r="DN58" s="197"/>
      <c r="DO58" s="197"/>
      <c r="DP58" s="197"/>
      <c r="DQ58" s="197"/>
      <c r="DR58" s="197"/>
      <c r="DS58" s="197"/>
      <c r="DT58" s="197"/>
      <c r="DU58" s="197"/>
      <c r="DV58" s="197"/>
      <c r="DW58" s="197"/>
      <c r="DX58" s="197"/>
      <c r="DY58" s="197"/>
      <c r="DZ58" s="197"/>
      <c r="EA58" s="197"/>
      <c r="EB58" s="197"/>
      <c r="EC58" s="197"/>
      <c r="ED58" s="197"/>
      <c r="EE58" s="197"/>
      <c r="EF58" s="197"/>
      <c r="EG58" s="197"/>
      <c r="EH58" s="197"/>
      <c r="EI58" s="197"/>
      <c r="EJ58" s="197"/>
      <c r="EK58" s="197"/>
      <c r="EL58" s="197"/>
      <c r="EM58" s="197"/>
      <c r="EN58" s="197"/>
      <c r="EO58" s="197"/>
      <c r="EP58" s="197"/>
      <c r="EQ58" s="197"/>
      <c r="ER58" s="197"/>
      <c r="ES58" s="197"/>
      <c r="ET58" s="197"/>
      <c r="EU58" s="197"/>
      <c r="EV58" s="197"/>
      <c r="EW58" s="197"/>
      <c r="EX58" s="197"/>
      <c r="EY58" s="197"/>
      <c r="EZ58" s="197"/>
      <c r="FA58" s="197"/>
      <c r="FB58" s="197"/>
      <c r="FC58" s="197"/>
      <c r="FD58" s="197"/>
      <c r="FE58" s="197"/>
      <c r="FF58" s="197"/>
      <c r="FG58" s="197"/>
      <c r="FH58" s="197"/>
    </row>
    <row r="59" ht="13.65" customHeight="1">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197"/>
      <c r="EJ59" s="197"/>
      <c r="EK59" s="197"/>
      <c r="EL59" s="197"/>
      <c r="EM59" s="197"/>
      <c r="EN59" s="197"/>
      <c r="EO59" s="197"/>
      <c r="EP59" s="197"/>
      <c r="EQ59" s="197"/>
      <c r="ER59" s="197"/>
      <c r="ES59" s="197"/>
      <c r="ET59" s="197"/>
      <c r="EU59" s="197"/>
      <c r="EV59" s="197"/>
      <c r="EW59" s="197"/>
      <c r="EX59" s="197"/>
      <c r="EY59" s="197"/>
      <c r="EZ59" s="197"/>
      <c r="FA59" s="197"/>
      <c r="FB59" s="197"/>
      <c r="FC59" s="197"/>
      <c r="FD59" s="197"/>
      <c r="FE59" s="197"/>
      <c r="FF59" s="197"/>
      <c r="FG59" s="197"/>
      <c r="FH59" s="197"/>
    </row>
    <row r="60" ht="13.65" customHeight="1">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197"/>
      <c r="EJ60" s="197"/>
      <c r="EK60" s="197"/>
      <c r="EL60" s="197"/>
      <c r="EM60" s="197"/>
      <c r="EN60" s="197"/>
      <c r="EO60" s="197"/>
      <c r="EP60" s="197"/>
      <c r="EQ60" s="197"/>
      <c r="ER60" s="197"/>
      <c r="ES60" s="197"/>
      <c r="ET60" s="197"/>
      <c r="EU60" s="197"/>
      <c r="EV60" s="197"/>
      <c r="EW60" s="197"/>
      <c r="EX60" s="197"/>
      <c r="EY60" s="197"/>
      <c r="EZ60" s="197"/>
      <c r="FA60" s="197"/>
      <c r="FB60" s="197"/>
      <c r="FC60" s="197"/>
      <c r="FD60" s="197"/>
      <c r="FE60" s="197"/>
      <c r="FF60" s="197"/>
      <c r="FG60" s="197"/>
      <c r="FH60" s="197"/>
    </row>
    <row r="61" ht="13.65" customHeight="1">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197"/>
      <c r="EJ61" s="197"/>
      <c r="EK61" s="197"/>
      <c r="EL61" s="197"/>
      <c r="EM61" s="197"/>
      <c r="EN61" s="197"/>
      <c r="EO61" s="197"/>
      <c r="EP61" s="197"/>
      <c r="EQ61" s="197"/>
      <c r="ER61" s="197"/>
      <c r="ES61" s="197"/>
      <c r="ET61" s="197"/>
      <c r="EU61" s="197"/>
      <c r="EV61" s="197"/>
      <c r="EW61" s="197"/>
      <c r="EX61" s="197"/>
      <c r="EY61" s="197"/>
      <c r="EZ61" s="197"/>
      <c r="FA61" s="197"/>
      <c r="FB61" s="197"/>
      <c r="FC61" s="197"/>
      <c r="FD61" s="197"/>
      <c r="FE61" s="197"/>
      <c r="FF61" s="197"/>
      <c r="FG61" s="197"/>
      <c r="FH61" s="197"/>
    </row>
    <row r="62" ht="13.65" customHeight="1">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197"/>
      <c r="EJ62" s="197"/>
      <c r="EK62" s="197"/>
      <c r="EL62" s="197"/>
      <c r="EM62" s="197"/>
      <c r="EN62" s="197"/>
      <c r="EO62" s="197"/>
      <c r="EP62" s="197"/>
      <c r="EQ62" s="197"/>
      <c r="ER62" s="197"/>
      <c r="ES62" s="197"/>
      <c r="ET62" s="197"/>
      <c r="EU62" s="197"/>
      <c r="EV62" s="197"/>
      <c r="EW62" s="197"/>
      <c r="EX62" s="197"/>
      <c r="EY62" s="197"/>
      <c r="EZ62" s="197"/>
      <c r="FA62" s="197"/>
      <c r="FB62" s="197"/>
      <c r="FC62" s="197"/>
      <c r="FD62" s="197"/>
      <c r="FE62" s="197"/>
      <c r="FF62" s="197"/>
      <c r="FG62" s="197"/>
      <c r="FH62" s="197"/>
    </row>
    <row r="63" ht="13.65" customHeight="1">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197"/>
      <c r="EJ63" s="197"/>
      <c r="EK63" s="197"/>
      <c r="EL63" s="197"/>
      <c r="EM63" s="197"/>
      <c r="EN63" s="197"/>
      <c r="EO63" s="197"/>
      <c r="EP63" s="197"/>
      <c r="EQ63" s="197"/>
      <c r="ER63" s="197"/>
      <c r="ES63" s="197"/>
      <c r="ET63" s="197"/>
      <c r="EU63" s="197"/>
      <c r="EV63" s="197"/>
      <c r="EW63" s="197"/>
      <c r="EX63" s="197"/>
      <c r="EY63" s="197"/>
      <c r="EZ63" s="197"/>
      <c r="FA63" s="197"/>
      <c r="FB63" s="197"/>
      <c r="FC63" s="197"/>
      <c r="FD63" s="197"/>
      <c r="FE63" s="197"/>
      <c r="FF63" s="197"/>
      <c r="FG63" s="197"/>
      <c r="FH63" s="197"/>
    </row>
    <row r="64" ht="13.65" customHeight="1">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197"/>
      <c r="EJ64" s="197"/>
      <c r="EK64" s="197"/>
      <c r="EL64" s="197"/>
      <c r="EM64" s="197"/>
      <c r="EN64" s="197"/>
      <c r="EO64" s="197"/>
      <c r="EP64" s="197"/>
      <c r="EQ64" s="197"/>
      <c r="ER64" s="197"/>
      <c r="ES64" s="197"/>
      <c r="ET64" s="197"/>
      <c r="EU64" s="197"/>
      <c r="EV64" s="197"/>
      <c r="EW64" s="197"/>
      <c r="EX64" s="197"/>
      <c r="EY64" s="197"/>
      <c r="EZ64" s="197"/>
      <c r="FA64" s="197"/>
      <c r="FB64" s="197"/>
      <c r="FC64" s="197"/>
      <c r="FD64" s="197"/>
      <c r="FE64" s="197"/>
      <c r="FF64" s="197"/>
      <c r="FG64" s="197"/>
      <c r="FH64" s="197"/>
    </row>
    <row r="65" ht="13.65" customHeight="1">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c r="CD65" s="197"/>
      <c r="CE65" s="197"/>
      <c r="CF65" s="197"/>
      <c r="CG65" s="197"/>
      <c r="CH65" s="197"/>
      <c r="CI65" s="197"/>
      <c r="CJ65" s="197"/>
      <c r="CK65" s="197"/>
      <c r="CL65" s="197"/>
      <c r="CM65" s="197"/>
      <c r="CN65" s="197"/>
      <c r="CO65" s="197"/>
      <c r="CP65" s="197"/>
      <c r="CQ65" s="197"/>
      <c r="CR65" s="197"/>
      <c r="CS65" s="197"/>
      <c r="CT65" s="197"/>
      <c r="CU65" s="197"/>
      <c r="CV65" s="197"/>
      <c r="CW65" s="197"/>
      <c r="CX65" s="197"/>
      <c r="CY65" s="197"/>
      <c r="CZ65" s="197"/>
      <c r="DA65" s="197"/>
      <c r="DB65" s="197"/>
      <c r="DC65" s="197"/>
      <c r="DD65" s="197"/>
      <c r="DE65" s="197"/>
      <c r="DF65" s="197"/>
      <c r="DG65" s="197"/>
      <c r="DH65" s="197"/>
      <c r="DI65" s="197"/>
      <c r="DJ65" s="197"/>
      <c r="DK65" s="197"/>
      <c r="DL65" s="197"/>
      <c r="DM65" s="197"/>
      <c r="DN65" s="197"/>
      <c r="DO65" s="197"/>
      <c r="DP65" s="197"/>
      <c r="DQ65" s="197"/>
      <c r="DR65" s="197"/>
      <c r="DS65" s="197"/>
      <c r="DT65" s="197"/>
      <c r="DU65" s="197"/>
      <c r="DV65" s="197"/>
      <c r="DW65" s="197"/>
      <c r="DX65" s="197"/>
      <c r="DY65" s="197"/>
      <c r="DZ65" s="197"/>
      <c r="EA65" s="197"/>
      <c r="EB65" s="197"/>
      <c r="EC65" s="197"/>
      <c r="ED65" s="197"/>
      <c r="EE65" s="197"/>
      <c r="EF65" s="197"/>
      <c r="EG65" s="197"/>
      <c r="EH65" s="197"/>
      <c r="EI65" s="197"/>
      <c r="EJ65" s="197"/>
      <c r="EK65" s="197"/>
      <c r="EL65" s="197"/>
      <c r="EM65" s="197"/>
      <c r="EN65" s="197"/>
      <c r="EO65" s="197"/>
      <c r="EP65" s="197"/>
      <c r="EQ65" s="197"/>
      <c r="ER65" s="197"/>
      <c r="ES65" s="197"/>
      <c r="ET65" s="197"/>
      <c r="EU65" s="197"/>
      <c r="EV65" s="197"/>
      <c r="EW65" s="197"/>
      <c r="EX65" s="197"/>
      <c r="EY65" s="197"/>
      <c r="EZ65" s="197"/>
      <c r="FA65" s="197"/>
      <c r="FB65" s="197"/>
      <c r="FC65" s="197"/>
      <c r="FD65" s="197"/>
      <c r="FE65" s="197"/>
      <c r="FF65" s="197"/>
      <c r="FG65" s="197"/>
      <c r="FH65" s="197"/>
    </row>
    <row r="66" ht="13.65" customHeight="1">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c r="BD66" s="197"/>
      <c r="BE66" s="197"/>
      <c r="BF66" s="197"/>
      <c r="BG66" s="197"/>
      <c r="BH66" s="197"/>
      <c r="BI66" s="197"/>
      <c r="BJ66" s="197"/>
      <c r="BK66" s="197"/>
      <c r="BL66" s="197"/>
      <c r="BM66" s="197"/>
      <c r="BN66" s="197"/>
      <c r="BO66" s="197"/>
      <c r="BP66" s="197"/>
      <c r="BQ66" s="197"/>
      <c r="BR66" s="197"/>
      <c r="BS66" s="197"/>
      <c r="BT66" s="197"/>
      <c r="BU66" s="197"/>
      <c r="BV66" s="197"/>
      <c r="BW66" s="197"/>
      <c r="BX66" s="197"/>
      <c r="BY66" s="197"/>
      <c r="BZ66" s="197"/>
      <c r="CA66" s="197"/>
      <c r="CB66" s="197"/>
      <c r="CC66" s="197"/>
      <c r="CD66" s="197"/>
      <c r="CE66" s="197"/>
      <c r="CF66" s="197"/>
      <c r="CG66" s="197"/>
      <c r="CH66" s="197"/>
      <c r="CI66" s="197"/>
      <c r="CJ66" s="197"/>
      <c r="CK66" s="197"/>
      <c r="CL66" s="197"/>
      <c r="CM66" s="197"/>
      <c r="CN66" s="197"/>
      <c r="CO66" s="197"/>
      <c r="CP66" s="197"/>
      <c r="CQ66" s="197"/>
      <c r="CR66" s="197"/>
      <c r="CS66" s="197"/>
      <c r="CT66" s="197"/>
      <c r="CU66" s="197"/>
      <c r="CV66" s="197"/>
      <c r="CW66" s="197"/>
      <c r="CX66" s="197"/>
      <c r="CY66" s="197"/>
      <c r="CZ66" s="197"/>
      <c r="DA66" s="197"/>
      <c r="DB66" s="197"/>
      <c r="DC66" s="197"/>
      <c r="DD66" s="197"/>
      <c r="DE66" s="197"/>
      <c r="DF66" s="197"/>
      <c r="DG66" s="197"/>
      <c r="DH66" s="197"/>
      <c r="DI66" s="197"/>
      <c r="DJ66" s="197"/>
      <c r="DK66" s="197"/>
      <c r="DL66" s="197"/>
      <c r="DM66" s="197"/>
      <c r="DN66" s="197"/>
      <c r="DO66" s="197"/>
      <c r="DP66" s="197"/>
      <c r="DQ66" s="197"/>
      <c r="DR66" s="197"/>
      <c r="DS66" s="197"/>
      <c r="DT66" s="197"/>
      <c r="DU66" s="197"/>
      <c r="DV66" s="197"/>
      <c r="DW66" s="197"/>
      <c r="DX66" s="197"/>
      <c r="DY66" s="197"/>
      <c r="DZ66" s="197"/>
      <c r="EA66" s="197"/>
      <c r="EB66" s="197"/>
      <c r="EC66" s="197"/>
      <c r="ED66" s="197"/>
      <c r="EE66" s="197"/>
      <c r="EF66" s="197"/>
      <c r="EG66" s="197"/>
      <c r="EH66" s="197"/>
      <c r="EI66" s="197"/>
      <c r="EJ66" s="197"/>
      <c r="EK66" s="197"/>
      <c r="EL66" s="197"/>
      <c r="EM66" s="197"/>
      <c r="EN66" s="197"/>
      <c r="EO66" s="197"/>
      <c r="EP66" s="197"/>
      <c r="EQ66" s="197"/>
      <c r="ER66" s="197"/>
      <c r="ES66" s="197"/>
      <c r="ET66" s="197"/>
      <c r="EU66" s="197"/>
      <c r="EV66" s="197"/>
      <c r="EW66" s="197"/>
      <c r="EX66" s="197"/>
      <c r="EY66" s="197"/>
      <c r="EZ66" s="197"/>
      <c r="FA66" s="197"/>
      <c r="FB66" s="197"/>
      <c r="FC66" s="197"/>
      <c r="FD66" s="197"/>
      <c r="FE66" s="197"/>
      <c r="FF66" s="197"/>
      <c r="FG66" s="197"/>
      <c r="FH66" s="197"/>
    </row>
    <row r="67" ht="13.65" customHeight="1">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c r="BD67" s="197"/>
      <c r="BE67" s="197"/>
      <c r="BF67" s="197"/>
      <c r="BG67" s="197"/>
      <c r="BH67" s="197"/>
      <c r="BI67" s="197"/>
      <c r="BJ67" s="197"/>
      <c r="BK67" s="197"/>
      <c r="BL67" s="197"/>
      <c r="BM67" s="197"/>
      <c r="BN67" s="197"/>
      <c r="BO67" s="197"/>
      <c r="BP67" s="197"/>
      <c r="BQ67" s="197"/>
      <c r="BR67" s="197"/>
      <c r="BS67" s="197"/>
      <c r="BT67" s="197"/>
      <c r="BU67" s="197"/>
      <c r="BV67" s="197"/>
      <c r="BW67" s="197"/>
      <c r="BX67" s="197"/>
      <c r="BY67" s="197"/>
      <c r="BZ67" s="197"/>
      <c r="CA67" s="197"/>
      <c r="CB67" s="197"/>
      <c r="CC67" s="197"/>
      <c r="CD67" s="197"/>
      <c r="CE67" s="197"/>
      <c r="CF67" s="197"/>
      <c r="CG67" s="197"/>
      <c r="CH67" s="197"/>
      <c r="CI67" s="197"/>
      <c r="CJ67" s="197"/>
      <c r="CK67" s="197"/>
      <c r="CL67" s="197"/>
      <c r="CM67" s="197"/>
      <c r="CN67" s="197"/>
      <c r="CO67" s="197"/>
      <c r="CP67" s="197"/>
      <c r="CQ67" s="197"/>
      <c r="CR67" s="197"/>
      <c r="CS67" s="197"/>
      <c r="CT67" s="197"/>
      <c r="CU67" s="197"/>
      <c r="CV67" s="197"/>
      <c r="CW67" s="197"/>
      <c r="CX67" s="197"/>
      <c r="CY67" s="197"/>
      <c r="CZ67" s="197"/>
      <c r="DA67" s="197"/>
      <c r="DB67" s="197"/>
      <c r="DC67" s="197"/>
      <c r="DD67" s="197"/>
      <c r="DE67" s="197"/>
      <c r="DF67" s="197"/>
      <c r="DG67" s="197"/>
      <c r="DH67" s="197"/>
      <c r="DI67" s="197"/>
      <c r="DJ67" s="197"/>
      <c r="DK67" s="197"/>
      <c r="DL67" s="197"/>
      <c r="DM67" s="197"/>
      <c r="DN67" s="197"/>
      <c r="DO67" s="197"/>
      <c r="DP67" s="197"/>
      <c r="DQ67" s="197"/>
      <c r="DR67" s="197"/>
      <c r="DS67" s="197"/>
      <c r="DT67" s="197"/>
      <c r="DU67" s="197"/>
      <c r="DV67" s="197"/>
      <c r="DW67" s="197"/>
      <c r="DX67" s="197"/>
      <c r="DY67" s="197"/>
      <c r="DZ67" s="197"/>
      <c r="EA67" s="197"/>
      <c r="EB67" s="197"/>
      <c r="EC67" s="197"/>
      <c r="ED67" s="197"/>
      <c r="EE67" s="197"/>
      <c r="EF67" s="197"/>
      <c r="EG67" s="197"/>
      <c r="EH67" s="197"/>
      <c r="EI67" s="197"/>
      <c r="EJ67" s="197"/>
      <c r="EK67" s="197"/>
      <c r="EL67" s="197"/>
      <c r="EM67" s="197"/>
      <c r="EN67" s="197"/>
      <c r="EO67" s="197"/>
      <c r="EP67" s="197"/>
      <c r="EQ67" s="197"/>
      <c r="ER67" s="197"/>
      <c r="ES67" s="197"/>
      <c r="ET67" s="197"/>
      <c r="EU67" s="197"/>
      <c r="EV67" s="197"/>
      <c r="EW67" s="197"/>
      <c r="EX67" s="197"/>
      <c r="EY67" s="197"/>
      <c r="EZ67" s="197"/>
      <c r="FA67" s="197"/>
      <c r="FB67" s="197"/>
      <c r="FC67" s="197"/>
      <c r="FD67" s="197"/>
      <c r="FE67" s="197"/>
      <c r="FF67" s="197"/>
      <c r="FG67" s="197"/>
      <c r="FH67" s="197"/>
    </row>
    <row r="68" ht="13.65" customHeight="1">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197"/>
      <c r="BG68" s="197"/>
      <c r="BH68" s="197"/>
      <c r="BI68" s="197"/>
      <c r="BJ68" s="197"/>
      <c r="BK68" s="197"/>
      <c r="BL68" s="197"/>
      <c r="BM68" s="197"/>
      <c r="BN68" s="197"/>
      <c r="BO68" s="197"/>
      <c r="BP68" s="197"/>
      <c r="BQ68" s="197"/>
      <c r="BR68" s="197"/>
      <c r="BS68" s="197"/>
      <c r="BT68" s="197"/>
      <c r="BU68" s="197"/>
      <c r="BV68" s="197"/>
      <c r="BW68" s="197"/>
      <c r="BX68" s="197"/>
      <c r="BY68" s="197"/>
      <c r="BZ68" s="197"/>
      <c r="CA68" s="197"/>
      <c r="CB68" s="197"/>
      <c r="CC68" s="197"/>
      <c r="CD68" s="197"/>
      <c r="CE68" s="197"/>
      <c r="CF68" s="197"/>
      <c r="CG68" s="197"/>
      <c r="CH68" s="197"/>
      <c r="CI68" s="197"/>
      <c r="CJ68" s="197"/>
      <c r="CK68" s="197"/>
      <c r="CL68" s="197"/>
      <c r="CM68" s="197"/>
      <c r="CN68" s="197"/>
      <c r="CO68" s="197"/>
      <c r="CP68" s="197"/>
      <c r="CQ68" s="197"/>
      <c r="CR68" s="197"/>
      <c r="CS68" s="197"/>
      <c r="CT68" s="197"/>
      <c r="CU68" s="197"/>
      <c r="CV68" s="197"/>
      <c r="CW68" s="197"/>
      <c r="CX68" s="197"/>
      <c r="CY68" s="197"/>
      <c r="CZ68" s="197"/>
      <c r="DA68" s="197"/>
      <c r="DB68" s="197"/>
      <c r="DC68" s="197"/>
      <c r="DD68" s="197"/>
      <c r="DE68" s="197"/>
      <c r="DF68" s="197"/>
      <c r="DG68" s="197"/>
      <c r="DH68" s="197"/>
      <c r="DI68" s="197"/>
      <c r="DJ68" s="197"/>
      <c r="DK68" s="197"/>
      <c r="DL68" s="197"/>
      <c r="DM68" s="197"/>
      <c r="DN68" s="197"/>
      <c r="DO68" s="197"/>
      <c r="DP68" s="197"/>
      <c r="DQ68" s="197"/>
      <c r="DR68" s="197"/>
      <c r="DS68" s="197"/>
      <c r="DT68" s="197"/>
      <c r="DU68" s="197"/>
      <c r="DV68" s="197"/>
      <c r="DW68" s="197"/>
      <c r="DX68" s="197"/>
      <c r="DY68" s="197"/>
      <c r="DZ68" s="197"/>
      <c r="EA68" s="197"/>
      <c r="EB68" s="197"/>
      <c r="EC68" s="197"/>
      <c r="ED68" s="197"/>
      <c r="EE68" s="197"/>
      <c r="EF68" s="197"/>
      <c r="EG68" s="197"/>
      <c r="EH68" s="197"/>
      <c r="EI68" s="197"/>
      <c r="EJ68" s="197"/>
      <c r="EK68" s="197"/>
      <c r="EL68" s="197"/>
      <c r="EM68" s="197"/>
      <c r="EN68" s="197"/>
      <c r="EO68" s="197"/>
      <c r="EP68" s="197"/>
      <c r="EQ68" s="197"/>
      <c r="ER68" s="197"/>
      <c r="ES68" s="197"/>
      <c r="ET68" s="197"/>
      <c r="EU68" s="197"/>
      <c r="EV68" s="197"/>
      <c r="EW68" s="197"/>
      <c r="EX68" s="197"/>
      <c r="EY68" s="197"/>
      <c r="EZ68" s="197"/>
      <c r="FA68" s="197"/>
      <c r="FB68" s="197"/>
      <c r="FC68" s="197"/>
      <c r="FD68" s="197"/>
      <c r="FE68" s="197"/>
      <c r="FF68" s="197"/>
      <c r="FG68" s="197"/>
      <c r="FH68" s="197"/>
    </row>
    <row r="69" ht="13.65" customHeight="1">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197"/>
      <c r="BG69" s="197"/>
      <c r="BH69" s="197"/>
      <c r="BI69" s="197"/>
      <c r="BJ69" s="197"/>
      <c r="BK69" s="197"/>
      <c r="BL69" s="197"/>
      <c r="BM69" s="197"/>
      <c r="BN69" s="197"/>
      <c r="BO69" s="197"/>
      <c r="BP69" s="197"/>
      <c r="BQ69" s="197"/>
      <c r="BR69" s="197"/>
      <c r="BS69" s="197"/>
      <c r="BT69" s="197"/>
      <c r="BU69" s="197"/>
      <c r="BV69" s="197"/>
      <c r="BW69" s="197"/>
      <c r="BX69" s="197"/>
      <c r="BY69" s="197"/>
      <c r="BZ69" s="197"/>
      <c r="CA69" s="197"/>
      <c r="CB69" s="197"/>
      <c r="CC69" s="197"/>
      <c r="CD69" s="197"/>
      <c r="CE69" s="197"/>
      <c r="CF69" s="197"/>
      <c r="CG69" s="197"/>
      <c r="CH69" s="197"/>
      <c r="CI69" s="197"/>
      <c r="CJ69" s="197"/>
      <c r="CK69" s="197"/>
      <c r="CL69" s="197"/>
      <c r="CM69" s="197"/>
      <c r="CN69" s="197"/>
      <c r="CO69" s="197"/>
      <c r="CP69" s="197"/>
      <c r="CQ69" s="197"/>
      <c r="CR69" s="197"/>
      <c r="CS69" s="197"/>
      <c r="CT69" s="197"/>
      <c r="CU69" s="197"/>
      <c r="CV69" s="197"/>
      <c r="CW69" s="197"/>
      <c r="CX69" s="197"/>
      <c r="CY69" s="197"/>
      <c r="CZ69" s="197"/>
      <c r="DA69" s="197"/>
      <c r="DB69" s="197"/>
      <c r="DC69" s="197"/>
      <c r="DD69" s="197"/>
      <c r="DE69" s="197"/>
      <c r="DF69" s="197"/>
      <c r="DG69" s="197"/>
      <c r="DH69" s="197"/>
      <c r="DI69" s="197"/>
      <c r="DJ69" s="197"/>
      <c r="DK69" s="197"/>
      <c r="DL69" s="197"/>
      <c r="DM69" s="197"/>
      <c r="DN69" s="197"/>
      <c r="DO69" s="197"/>
      <c r="DP69" s="197"/>
      <c r="DQ69" s="197"/>
      <c r="DR69" s="197"/>
      <c r="DS69" s="197"/>
      <c r="DT69" s="197"/>
      <c r="DU69" s="197"/>
      <c r="DV69" s="197"/>
      <c r="DW69" s="197"/>
      <c r="DX69" s="197"/>
      <c r="DY69" s="197"/>
      <c r="DZ69" s="197"/>
      <c r="EA69" s="197"/>
      <c r="EB69" s="197"/>
      <c r="EC69" s="197"/>
      <c r="ED69" s="197"/>
      <c r="EE69" s="197"/>
      <c r="EF69" s="197"/>
      <c r="EG69" s="197"/>
      <c r="EH69" s="197"/>
      <c r="EI69" s="197"/>
      <c r="EJ69" s="197"/>
      <c r="EK69" s="197"/>
      <c r="EL69" s="197"/>
      <c r="EM69" s="197"/>
      <c r="EN69" s="197"/>
      <c r="EO69" s="197"/>
      <c r="EP69" s="197"/>
      <c r="EQ69" s="197"/>
      <c r="ER69" s="197"/>
      <c r="ES69" s="197"/>
      <c r="ET69" s="197"/>
      <c r="EU69" s="197"/>
      <c r="EV69" s="197"/>
      <c r="EW69" s="197"/>
      <c r="EX69" s="197"/>
      <c r="EY69" s="197"/>
      <c r="EZ69" s="197"/>
      <c r="FA69" s="197"/>
      <c r="FB69" s="197"/>
      <c r="FC69" s="197"/>
      <c r="FD69" s="197"/>
      <c r="FE69" s="197"/>
      <c r="FF69" s="197"/>
      <c r="FG69" s="197"/>
      <c r="FH69" s="197"/>
    </row>
    <row r="70" ht="13.65" customHeight="1">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197"/>
      <c r="BV70" s="197"/>
      <c r="BW70" s="197"/>
      <c r="BX70" s="197"/>
      <c r="BY70" s="197"/>
      <c r="BZ70" s="197"/>
      <c r="CA70" s="197"/>
      <c r="CB70" s="197"/>
      <c r="CC70" s="197"/>
      <c r="CD70" s="197"/>
      <c r="CE70" s="197"/>
      <c r="CF70" s="197"/>
      <c r="CG70" s="197"/>
      <c r="CH70" s="197"/>
      <c r="CI70" s="197"/>
      <c r="CJ70" s="197"/>
      <c r="CK70" s="197"/>
      <c r="CL70" s="197"/>
      <c r="CM70" s="197"/>
      <c r="CN70" s="197"/>
      <c r="CO70" s="197"/>
      <c r="CP70" s="197"/>
      <c r="CQ70" s="197"/>
      <c r="CR70" s="197"/>
      <c r="CS70" s="197"/>
      <c r="CT70" s="197"/>
      <c r="CU70" s="197"/>
      <c r="CV70" s="197"/>
      <c r="CW70" s="197"/>
      <c r="CX70" s="197"/>
      <c r="CY70" s="197"/>
      <c r="CZ70" s="197"/>
      <c r="DA70" s="197"/>
      <c r="DB70" s="197"/>
      <c r="DC70" s="197"/>
      <c r="DD70" s="197"/>
      <c r="DE70" s="197"/>
      <c r="DF70" s="197"/>
      <c r="DG70" s="197"/>
      <c r="DH70" s="197"/>
      <c r="DI70" s="197"/>
      <c r="DJ70" s="197"/>
      <c r="DK70" s="197"/>
      <c r="DL70" s="197"/>
      <c r="DM70" s="197"/>
      <c r="DN70" s="197"/>
      <c r="DO70" s="197"/>
      <c r="DP70" s="197"/>
      <c r="DQ70" s="197"/>
      <c r="DR70" s="197"/>
      <c r="DS70" s="197"/>
      <c r="DT70" s="197"/>
      <c r="DU70" s="197"/>
      <c r="DV70" s="197"/>
      <c r="DW70" s="197"/>
      <c r="DX70" s="197"/>
      <c r="DY70" s="197"/>
      <c r="DZ70" s="197"/>
      <c r="EA70" s="197"/>
      <c r="EB70" s="197"/>
      <c r="EC70" s="197"/>
      <c r="ED70" s="197"/>
      <c r="EE70" s="197"/>
      <c r="EF70" s="197"/>
      <c r="EG70" s="197"/>
      <c r="EH70" s="197"/>
      <c r="EI70" s="197"/>
      <c r="EJ70" s="197"/>
      <c r="EK70" s="197"/>
      <c r="EL70" s="197"/>
      <c r="EM70" s="197"/>
      <c r="EN70" s="197"/>
      <c r="EO70" s="197"/>
      <c r="EP70" s="197"/>
      <c r="EQ70" s="197"/>
      <c r="ER70" s="197"/>
      <c r="ES70" s="197"/>
      <c r="ET70" s="197"/>
      <c r="EU70" s="197"/>
      <c r="EV70" s="197"/>
      <c r="EW70" s="197"/>
      <c r="EX70" s="197"/>
      <c r="EY70" s="197"/>
      <c r="EZ70" s="197"/>
      <c r="FA70" s="197"/>
      <c r="FB70" s="197"/>
      <c r="FC70" s="197"/>
      <c r="FD70" s="197"/>
      <c r="FE70" s="197"/>
      <c r="FF70" s="197"/>
      <c r="FG70" s="197"/>
      <c r="FH70" s="197"/>
    </row>
    <row r="71" ht="13.65" customHeight="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197"/>
      <c r="BG71" s="197"/>
      <c r="BH71" s="197"/>
      <c r="BI71" s="197"/>
      <c r="BJ71" s="197"/>
      <c r="BK71" s="197"/>
      <c r="BL71" s="197"/>
      <c r="BM71" s="197"/>
      <c r="BN71" s="197"/>
      <c r="BO71" s="197"/>
      <c r="BP71" s="197"/>
      <c r="BQ71" s="197"/>
      <c r="BR71" s="197"/>
      <c r="BS71" s="197"/>
      <c r="BT71" s="197"/>
      <c r="BU71" s="197"/>
      <c r="BV71" s="197"/>
      <c r="BW71" s="197"/>
      <c r="BX71" s="197"/>
      <c r="BY71" s="197"/>
      <c r="BZ71" s="197"/>
      <c r="CA71" s="197"/>
      <c r="CB71" s="197"/>
      <c r="CC71" s="197"/>
      <c r="CD71" s="197"/>
      <c r="CE71" s="197"/>
      <c r="CF71" s="197"/>
      <c r="CG71" s="197"/>
      <c r="CH71" s="197"/>
      <c r="CI71" s="197"/>
      <c r="CJ71" s="197"/>
      <c r="CK71" s="197"/>
      <c r="CL71" s="197"/>
      <c r="CM71" s="197"/>
      <c r="CN71" s="197"/>
      <c r="CO71" s="197"/>
      <c r="CP71" s="197"/>
      <c r="CQ71" s="197"/>
      <c r="CR71" s="197"/>
      <c r="CS71" s="197"/>
      <c r="CT71" s="197"/>
      <c r="CU71" s="197"/>
      <c r="CV71" s="197"/>
      <c r="CW71" s="197"/>
      <c r="CX71" s="197"/>
      <c r="CY71" s="197"/>
      <c r="CZ71" s="197"/>
      <c r="DA71" s="197"/>
      <c r="DB71" s="197"/>
      <c r="DC71" s="197"/>
      <c r="DD71" s="197"/>
      <c r="DE71" s="197"/>
      <c r="DF71" s="197"/>
      <c r="DG71" s="197"/>
      <c r="DH71" s="197"/>
      <c r="DI71" s="197"/>
      <c r="DJ71" s="197"/>
      <c r="DK71" s="197"/>
      <c r="DL71" s="197"/>
      <c r="DM71" s="197"/>
      <c r="DN71" s="197"/>
      <c r="DO71" s="197"/>
      <c r="DP71" s="197"/>
      <c r="DQ71" s="197"/>
      <c r="DR71" s="197"/>
      <c r="DS71" s="197"/>
      <c r="DT71" s="197"/>
      <c r="DU71" s="197"/>
      <c r="DV71" s="197"/>
      <c r="DW71" s="197"/>
      <c r="DX71" s="197"/>
      <c r="DY71" s="197"/>
      <c r="DZ71" s="197"/>
      <c r="EA71" s="197"/>
      <c r="EB71" s="197"/>
      <c r="EC71" s="197"/>
      <c r="ED71" s="197"/>
      <c r="EE71" s="197"/>
      <c r="EF71" s="197"/>
      <c r="EG71" s="197"/>
      <c r="EH71" s="197"/>
      <c r="EI71" s="197"/>
      <c r="EJ71" s="197"/>
      <c r="EK71" s="197"/>
      <c r="EL71" s="197"/>
      <c r="EM71" s="197"/>
      <c r="EN71" s="197"/>
      <c r="EO71" s="197"/>
      <c r="EP71" s="197"/>
      <c r="EQ71" s="197"/>
      <c r="ER71" s="197"/>
      <c r="ES71" s="197"/>
      <c r="ET71" s="197"/>
      <c r="EU71" s="197"/>
      <c r="EV71" s="197"/>
      <c r="EW71" s="197"/>
      <c r="EX71" s="197"/>
      <c r="EY71" s="197"/>
      <c r="EZ71" s="197"/>
      <c r="FA71" s="197"/>
      <c r="FB71" s="197"/>
      <c r="FC71" s="197"/>
      <c r="FD71" s="197"/>
      <c r="FE71" s="197"/>
      <c r="FF71" s="197"/>
      <c r="FG71" s="197"/>
      <c r="FH71" s="197"/>
    </row>
    <row r="72" ht="13.65" customHeight="1">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197"/>
      <c r="BG72" s="197"/>
      <c r="BH72" s="197"/>
      <c r="BI72" s="197"/>
      <c r="BJ72" s="197"/>
      <c r="BK72" s="197"/>
      <c r="BL72" s="197"/>
      <c r="BM72" s="197"/>
      <c r="BN72" s="197"/>
      <c r="BO72" s="197"/>
      <c r="BP72" s="197"/>
      <c r="BQ72" s="197"/>
      <c r="BR72" s="197"/>
      <c r="BS72" s="197"/>
      <c r="BT72" s="197"/>
      <c r="BU72" s="197"/>
      <c r="BV72" s="197"/>
      <c r="BW72" s="197"/>
      <c r="BX72" s="197"/>
      <c r="BY72" s="197"/>
      <c r="BZ72" s="197"/>
      <c r="CA72" s="197"/>
      <c r="CB72" s="197"/>
      <c r="CC72" s="197"/>
      <c r="CD72" s="197"/>
      <c r="CE72" s="197"/>
      <c r="CF72" s="197"/>
      <c r="CG72" s="197"/>
      <c r="CH72" s="197"/>
      <c r="CI72" s="197"/>
      <c r="CJ72" s="197"/>
      <c r="CK72" s="197"/>
      <c r="CL72" s="197"/>
      <c r="CM72" s="197"/>
      <c r="CN72" s="197"/>
      <c r="CO72" s="197"/>
      <c r="CP72" s="197"/>
      <c r="CQ72" s="197"/>
      <c r="CR72" s="197"/>
      <c r="CS72" s="197"/>
      <c r="CT72" s="197"/>
      <c r="CU72" s="197"/>
      <c r="CV72" s="197"/>
      <c r="CW72" s="197"/>
      <c r="CX72" s="197"/>
      <c r="CY72" s="197"/>
      <c r="CZ72" s="197"/>
      <c r="DA72" s="197"/>
      <c r="DB72" s="197"/>
      <c r="DC72" s="197"/>
      <c r="DD72" s="197"/>
      <c r="DE72" s="197"/>
      <c r="DF72" s="197"/>
      <c r="DG72" s="197"/>
      <c r="DH72" s="197"/>
      <c r="DI72" s="197"/>
      <c r="DJ72" s="197"/>
      <c r="DK72" s="197"/>
      <c r="DL72" s="197"/>
      <c r="DM72" s="197"/>
      <c r="DN72" s="197"/>
      <c r="DO72" s="197"/>
      <c r="DP72" s="197"/>
      <c r="DQ72" s="197"/>
      <c r="DR72" s="197"/>
      <c r="DS72" s="197"/>
      <c r="DT72" s="197"/>
      <c r="DU72" s="197"/>
      <c r="DV72" s="197"/>
      <c r="DW72" s="197"/>
      <c r="DX72" s="197"/>
      <c r="DY72" s="197"/>
      <c r="DZ72" s="197"/>
      <c r="EA72" s="197"/>
      <c r="EB72" s="197"/>
      <c r="EC72" s="197"/>
      <c r="ED72" s="197"/>
      <c r="EE72" s="197"/>
      <c r="EF72" s="197"/>
      <c r="EG72" s="197"/>
      <c r="EH72" s="197"/>
      <c r="EI72" s="197"/>
      <c r="EJ72" s="197"/>
      <c r="EK72" s="197"/>
      <c r="EL72" s="197"/>
      <c r="EM72" s="197"/>
      <c r="EN72" s="197"/>
      <c r="EO72" s="197"/>
      <c r="EP72" s="197"/>
      <c r="EQ72" s="197"/>
      <c r="ER72" s="197"/>
      <c r="ES72" s="197"/>
      <c r="ET72" s="197"/>
      <c r="EU72" s="197"/>
      <c r="EV72" s="197"/>
      <c r="EW72" s="197"/>
      <c r="EX72" s="197"/>
      <c r="EY72" s="197"/>
      <c r="EZ72" s="197"/>
      <c r="FA72" s="197"/>
      <c r="FB72" s="197"/>
      <c r="FC72" s="197"/>
      <c r="FD72" s="197"/>
      <c r="FE72" s="197"/>
      <c r="FF72" s="197"/>
      <c r="FG72" s="197"/>
      <c r="FH72" s="197"/>
    </row>
    <row r="73" ht="13.65" customHeight="1">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7"/>
      <c r="BK73" s="197"/>
      <c r="BL73" s="197"/>
      <c r="BM73" s="197"/>
      <c r="BN73" s="197"/>
      <c r="BO73" s="197"/>
      <c r="BP73" s="197"/>
      <c r="BQ73" s="197"/>
      <c r="BR73" s="197"/>
      <c r="BS73" s="197"/>
      <c r="BT73" s="197"/>
      <c r="BU73" s="197"/>
      <c r="BV73" s="197"/>
      <c r="BW73" s="197"/>
      <c r="BX73" s="197"/>
      <c r="BY73" s="197"/>
      <c r="BZ73" s="197"/>
      <c r="CA73" s="197"/>
      <c r="CB73" s="197"/>
      <c r="CC73" s="197"/>
      <c r="CD73" s="197"/>
      <c r="CE73" s="197"/>
      <c r="CF73" s="197"/>
      <c r="CG73" s="197"/>
      <c r="CH73" s="197"/>
      <c r="CI73" s="197"/>
      <c r="CJ73" s="197"/>
      <c r="CK73" s="197"/>
      <c r="CL73" s="197"/>
      <c r="CM73" s="197"/>
      <c r="CN73" s="197"/>
      <c r="CO73" s="197"/>
      <c r="CP73" s="197"/>
      <c r="CQ73" s="197"/>
      <c r="CR73" s="197"/>
      <c r="CS73" s="197"/>
      <c r="CT73" s="197"/>
      <c r="CU73" s="197"/>
      <c r="CV73" s="197"/>
      <c r="CW73" s="197"/>
      <c r="CX73" s="197"/>
      <c r="CY73" s="197"/>
      <c r="CZ73" s="197"/>
      <c r="DA73" s="197"/>
      <c r="DB73" s="197"/>
      <c r="DC73" s="197"/>
      <c r="DD73" s="197"/>
      <c r="DE73" s="197"/>
      <c r="DF73" s="197"/>
      <c r="DG73" s="197"/>
      <c r="DH73" s="197"/>
      <c r="DI73" s="197"/>
      <c r="DJ73" s="197"/>
      <c r="DK73" s="197"/>
      <c r="DL73" s="197"/>
      <c r="DM73" s="197"/>
      <c r="DN73" s="197"/>
      <c r="DO73" s="197"/>
      <c r="DP73" s="197"/>
      <c r="DQ73" s="197"/>
      <c r="DR73" s="197"/>
      <c r="DS73" s="197"/>
      <c r="DT73" s="197"/>
      <c r="DU73" s="197"/>
      <c r="DV73" s="197"/>
      <c r="DW73" s="197"/>
      <c r="DX73" s="197"/>
      <c r="DY73" s="197"/>
      <c r="DZ73" s="197"/>
      <c r="EA73" s="197"/>
      <c r="EB73" s="197"/>
      <c r="EC73" s="197"/>
      <c r="ED73" s="197"/>
      <c r="EE73" s="197"/>
      <c r="EF73" s="197"/>
      <c r="EG73" s="197"/>
      <c r="EH73" s="197"/>
      <c r="EI73" s="197"/>
      <c r="EJ73" s="197"/>
      <c r="EK73" s="197"/>
      <c r="EL73" s="197"/>
      <c r="EM73" s="197"/>
      <c r="EN73" s="197"/>
      <c r="EO73" s="197"/>
      <c r="EP73" s="197"/>
      <c r="EQ73" s="197"/>
      <c r="ER73" s="197"/>
      <c r="ES73" s="197"/>
      <c r="ET73" s="197"/>
      <c r="EU73" s="197"/>
      <c r="EV73" s="197"/>
      <c r="EW73" s="197"/>
      <c r="EX73" s="197"/>
      <c r="EY73" s="197"/>
      <c r="EZ73" s="197"/>
      <c r="FA73" s="197"/>
      <c r="FB73" s="197"/>
      <c r="FC73" s="197"/>
      <c r="FD73" s="197"/>
      <c r="FE73" s="197"/>
      <c r="FF73" s="197"/>
      <c r="FG73" s="197"/>
      <c r="FH73" s="197"/>
    </row>
    <row r="74" ht="13.65" customHeight="1">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197"/>
      <c r="BG74" s="197"/>
      <c r="BH74" s="197"/>
      <c r="BI74" s="197"/>
      <c r="BJ74" s="197"/>
      <c r="BK74" s="197"/>
      <c r="BL74" s="197"/>
      <c r="BM74" s="197"/>
      <c r="BN74" s="197"/>
      <c r="BO74" s="197"/>
      <c r="BP74" s="197"/>
      <c r="BQ74" s="197"/>
      <c r="BR74" s="197"/>
      <c r="BS74" s="197"/>
      <c r="BT74" s="197"/>
      <c r="BU74" s="197"/>
      <c r="BV74" s="197"/>
      <c r="BW74" s="197"/>
      <c r="BX74" s="197"/>
      <c r="BY74" s="197"/>
      <c r="BZ74" s="197"/>
      <c r="CA74" s="197"/>
      <c r="CB74" s="197"/>
      <c r="CC74" s="197"/>
      <c r="CD74" s="197"/>
      <c r="CE74" s="197"/>
      <c r="CF74" s="197"/>
      <c r="CG74" s="197"/>
      <c r="CH74" s="197"/>
      <c r="CI74" s="197"/>
      <c r="CJ74" s="197"/>
      <c r="CK74" s="197"/>
      <c r="CL74" s="197"/>
      <c r="CM74" s="197"/>
      <c r="CN74" s="197"/>
      <c r="CO74" s="197"/>
      <c r="CP74" s="197"/>
      <c r="CQ74" s="197"/>
      <c r="CR74" s="197"/>
      <c r="CS74" s="197"/>
      <c r="CT74" s="197"/>
      <c r="CU74" s="197"/>
      <c r="CV74" s="197"/>
      <c r="CW74" s="197"/>
      <c r="CX74" s="197"/>
      <c r="CY74" s="197"/>
      <c r="CZ74" s="197"/>
      <c r="DA74" s="197"/>
      <c r="DB74" s="197"/>
      <c r="DC74" s="197"/>
      <c r="DD74" s="197"/>
      <c r="DE74" s="197"/>
      <c r="DF74" s="197"/>
      <c r="DG74" s="197"/>
      <c r="DH74" s="197"/>
      <c r="DI74" s="197"/>
      <c r="DJ74" s="197"/>
      <c r="DK74" s="197"/>
      <c r="DL74" s="197"/>
      <c r="DM74" s="197"/>
      <c r="DN74" s="197"/>
      <c r="DO74" s="197"/>
      <c r="DP74" s="197"/>
      <c r="DQ74" s="197"/>
      <c r="DR74" s="197"/>
      <c r="DS74" s="197"/>
      <c r="DT74" s="197"/>
      <c r="DU74" s="197"/>
      <c r="DV74" s="197"/>
      <c r="DW74" s="197"/>
      <c r="DX74" s="197"/>
      <c r="DY74" s="197"/>
      <c r="DZ74" s="197"/>
      <c r="EA74" s="197"/>
      <c r="EB74" s="197"/>
      <c r="EC74" s="197"/>
      <c r="ED74" s="197"/>
      <c r="EE74" s="197"/>
      <c r="EF74" s="197"/>
      <c r="EG74" s="197"/>
      <c r="EH74" s="197"/>
      <c r="EI74" s="197"/>
      <c r="EJ74" s="197"/>
      <c r="EK74" s="197"/>
      <c r="EL74" s="197"/>
      <c r="EM74" s="197"/>
      <c r="EN74" s="197"/>
      <c r="EO74" s="197"/>
      <c r="EP74" s="197"/>
      <c r="EQ74" s="197"/>
      <c r="ER74" s="197"/>
      <c r="ES74" s="197"/>
      <c r="ET74" s="197"/>
      <c r="EU74" s="197"/>
      <c r="EV74" s="197"/>
      <c r="EW74" s="197"/>
      <c r="EX74" s="197"/>
      <c r="EY74" s="197"/>
      <c r="EZ74" s="197"/>
      <c r="FA74" s="197"/>
      <c r="FB74" s="197"/>
      <c r="FC74" s="197"/>
      <c r="FD74" s="197"/>
      <c r="FE74" s="197"/>
      <c r="FF74" s="197"/>
      <c r="FG74" s="197"/>
      <c r="FH74" s="197"/>
    </row>
    <row r="75" ht="13.65" customHeight="1">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197"/>
      <c r="BG75" s="197"/>
      <c r="BH75" s="197"/>
      <c r="BI75" s="197"/>
      <c r="BJ75" s="197"/>
      <c r="BK75" s="197"/>
      <c r="BL75" s="197"/>
      <c r="BM75" s="197"/>
      <c r="BN75" s="197"/>
      <c r="BO75" s="197"/>
      <c r="BP75" s="197"/>
      <c r="BQ75" s="197"/>
      <c r="BR75" s="197"/>
      <c r="BS75" s="197"/>
      <c r="BT75" s="197"/>
      <c r="BU75" s="197"/>
      <c r="BV75" s="197"/>
      <c r="BW75" s="197"/>
      <c r="BX75" s="197"/>
      <c r="BY75" s="197"/>
      <c r="BZ75" s="197"/>
      <c r="CA75" s="197"/>
      <c r="CB75" s="197"/>
      <c r="CC75" s="197"/>
      <c r="CD75" s="197"/>
      <c r="CE75" s="197"/>
      <c r="CF75" s="197"/>
      <c r="CG75" s="197"/>
      <c r="CH75" s="197"/>
      <c r="CI75" s="197"/>
      <c r="CJ75" s="197"/>
      <c r="CK75" s="197"/>
      <c r="CL75" s="197"/>
      <c r="CM75" s="197"/>
      <c r="CN75" s="197"/>
      <c r="CO75" s="197"/>
      <c r="CP75" s="197"/>
      <c r="CQ75" s="197"/>
      <c r="CR75" s="197"/>
      <c r="CS75" s="197"/>
      <c r="CT75" s="197"/>
      <c r="CU75" s="197"/>
      <c r="CV75" s="197"/>
      <c r="CW75" s="197"/>
      <c r="CX75" s="197"/>
      <c r="CY75" s="197"/>
      <c r="CZ75" s="197"/>
      <c r="DA75" s="197"/>
      <c r="DB75" s="197"/>
      <c r="DC75" s="197"/>
      <c r="DD75" s="197"/>
      <c r="DE75" s="197"/>
      <c r="DF75" s="197"/>
      <c r="DG75" s="197"/>
      <c r="DH75" s="197"/>
      <c r="DI75" s="197"/>
      <c r="DJ75" s="197"/>
      <c r="DK75" s="197"/>
      <c r="DL75" s="197"/>
      <c r="DM75" s="197"/>
      <c r="DN75" s="197"/>
      <c r="DO75" s="197"/>
      <c r="DP75" s="197"/>
      <c r="DQ75" s="197"/>
      <c r="DR75" s="197"/>
      <c r="DS75" s="197"/>
      <c r="DT75" s="197"/>
      <c r="DU75" s="197"/>
      <c r="DV75" s="197"/>
      <c r="DW75" s="197"/>
      <c r="DX75" s="197"/>
      <c r="DY75" s="197"/>
      <c r="DZ75" s="197"/>
      <c r="EA75" s="197"/>
      <c r="EB75" s="197"/>
      <c r="EC75" s="197"/>
      <c r="ED75" s="197"/>
      <c r="EE75" s="197"/>
      <c r="EF75" s="197"/>
      <c r="EG75" s="197"/>
      <c r="EH75" s="197"/>
      <c r="EI75" s="197"/>
      <c r="EJ75" s="197"/>
      <c r="EK75" s="197"/>
      <c r="EL75" s="197"/>
      <c r="EM75" s="197"/>
      <c r="EN75" s="197"/>
      <c r="EO75" s="197"/>
      <c r="EP75" s="197"/>
      <c r="EQ75" s="197"/>
      <c r="ER75" s="197"/>
      <c r="ES75" s="197"/>
      <c r="ET75" s="197"/>
      <c r="EU75" s="197"/>
      <c r="EV75" s="197"/>
      <c r="EW75" s="197"/>
      <c r="EX75" s="197"/>
      <c r="EY75" s="197"/>
      <c r="EZ75" s="197"/>
      <c r="FA75" s="197"/>
      <c r="FB75" s="197"/>
      <c r="FC75" s="197"/>
      <c r="FD75" s="197"/>
      <c r="FE75" s="197"/>
      <c r="FF75" s="197"/>
      <c r="FG75" s="197"/>
      <c r="FH75" s="197"/>
    </row>
    <row r="76" ht="13.65" customHeight="1">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197"/>
      <c r="BG76" s="197"/>
      <c r="BH76" s="197"/>
      <c r="BI76" s="197"/>
      <c r="BJ76" s="197"/>
      <c r="BK76" s="197"/>
      <c r="BL76" s="197"/>
      <c r="BM76" s="197"/>
      <c r="BN76" s="197"/>
      <c r="BO76" s="197"/>
      <c r="BP76" s="197"/>
      <c r="BQ76" s="197"/>
      <c r="BR76" s="197"/>
      <c r="BS76" s="197"/>
      <c r="BT76" s="197"/>
      <c r="BU76" s="197"/>
      <c r="BV76" s="197"/>
      <c r="BW76" s="197"/>
      <c r="BX76" s="197"/>
      <c r="BY76" s="197"/>
      <c r="BZ76" s="197"/>
      <c r="CA76" s="197"/>
      <c r="CB76" s="197"/>
      <c r="CC76" s="197"/>
      <c r="CD76" s="197"/>
      <c r="CE76" s="197"/>
      <c r="CF76" s="197"/>
      <c r="CG76" s="197"/>
      <c r="CH76" s="197"/>
      <c r="CI76" s="197"/>
      <c r="CJ76" s="197"/>
      <c r="CK76" s="197"/>
      <c r="CL76" s="197"/>
      <c r="CM76" s="197"/>
      <c r="CN76" s="197"/>
      <c r="CO76" s="197"/>
      <c r="CP76" s="197"/>
      <c r="CQ76" s="197"/>
      <c r="CR76" s="197"/>
      <c r="CS76" s="197"/>
      <c r="CT76" s="197"/>
      <c r="CU76" s="197"/>
      <c r="CV76" s="197"/>
      <c r="CW76" s="197"/>
      <c r="CX76" s="197"/>
      <c r="CY76" s="197"/>
      <c r="CZ76" s="197"/>
      <c r="DA76" s="197"/>
      <c r="DB76" s="197"/>
      <c r="DC76" s="197"/>
      <c r="DD76" s="197"/>
      <c r="DE76" s="197"/>
      <c r="DF76" s="197"/>
      <c r="DG76" s="197"/>
      <c r="DH76" s="197"/>
      <c r="DI76" s="197"/>
      <c r="DJ76" s="197"/>
      <c r="DK76" s="197"/>
      <c r="DL76" s="197"/>
      <c r="DM76" s="197"/>
      <c r="DN76" s="197"/>
      <c r="DO76" s="197"/>
      <c r="DP76" s="197"/>
      <c r="DQ76" s="197"/>
      <c r="DR76" s="197"/>
      <c r="DS76" s="197"/>
      <c r="DT76" s="197"/>
      <c r="DU76" s="197"/>
      <c r="DV76" s="197"/>
      <c r="DW76" s="197"/>
      <c r="DX76" s="197"/>
      <c r="DY76" s="197"/>
      <c r="DZ76" s="197"/>
      <c r="EA76" s="197"/>
      <c r="EB76" s="197"/>
      <c r="EC76" s="197"/>
      <c r="ED76" s="197"/>
      <c r="EE76" s="197"/>
      <c r="EF76" s="197"/>
      <c r="EG76" s="197"/>
      <c r="EH76" s="197"/>
      <c r="EI76" s="197"/>
      <c r="EJ76" s="197"/>
      <c r="EK76" s="197"/>
      <c r="EL76" s="197"/>
      <c r="EM76" s="197"/>
      <c r="EN76" s="197"/>
      <c r="EO76" s="197"/>
      <c r="EP76" s="197"/>
      <c r="EQ76" s="197"/>
      <c r="ER76" s="197"/>
      <c r="ES76" s="197"/>
      <c r="ET76" s="197"/>
      <c r="EU76" s="197"/>
      <c r="EV76" s="197"/>
      <c r="EW76" s="197"/>
      <c r="EX76" s="197"/>
      <c r="EY76" s="197"/>
      <c r="EZ76" s="197"/>
      <c r="FA76" s="197"/>
      <c r="FB76" s="197"/>
      <c r="FC76" s="197"/>
      <c r="FD76" s="197"/>
      <c r="FE76" s="197"/>
      <c r="FF76" s="197"/>
      <c r="FG76" s="197"/>
      <c r="FH76" s="197"/>
    </row>
    <row r="77" ht="13.65" customHeight="1">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197"/>
      <c r="BG77" s="197"/>
      <c r="BH77" s="197"/>
      <c r="BI77" s="197"/>
      <c r="BJ77" s="197"/>
      <c r="BK77" s="197"/>
      <c r="BL77" s="197"/>
      <c r="BM77" s="197"/>
      <c r="BN77" s="197"/>
      <c r="BO77" s="197"/>
      <c r="BP77" s="197"/>
      <c r="BQ77" s="197"/>
      <c r="BR77" s="197"/>
      <c r="BS77" s="197"/>
      <c r="BT77" s="197"/>
      <c r="BU77" s="197"/>
      <c r="BV77" s="197"/>
      <c r="BW77" s="197"/>
      <c r="BX77" s="197"/>
      <c r="BY77" s="197"/>
      <c r="BZ77" s="197"/>
      <c r="CA77" s="197"/>
      <c r="CB77" s="197"/>
      <c r="CC77" s="197"/>
      <c r="CD77" s="197"/>
      <c r="CE77" s="197"/>
      <c r="CF77" s="197"/>
      <c r="CG77" s="197"/>
      <c r="CH77" s="197"/>
      <c r="CI77" s="197"/>
      <c r="CJ77" s="197"/>
      <c r="CK77" s="197"/>
      <c r="CL77" s="197"/>
      <c r="CM77" s="197"/>
      <c r="CN77" s="197"/>
      <c r="CO77" s="197"/>
      <c r="CP77" s="197"/>
      <c r="CQ77" s="197"/>
      <c r="CR77" s="197"/>
      <c r="CS77" s="197"/>
      <c r="CT77" s="197"/>
      <c r="CU77" s="197"/>
      <c r="CV77" s="197"/>
      <c r="CW77" s="197"/>
      <c r="CX77" s="197"/>
      <c r="CY77" s="197"/>
      <c r="CZ77" s="197"/>
      <c r="DA77" s="197"/>
      <c r="DB77" s="197"/>
      <c r="DC77" s="197"/>
      <c r="DD77" s="197"/>
      <c r="DE77" s="197"/>
      <c r="DF77" s="197"/>
      <c r="DG77" s="197"/>
      <c r="DH77" s="197"/>
      <c r="DI77" s="197"/>
      <c r="DJ77" s="197"/>
      <c r="DK77" s="197"/>
      <c r="DL77" s="197"/>
      <c r="DM77" s="197"/>
      <c r="DN77" s="197"/>
      <c r="DO77" s="197"/>
      <c r="DP77" s="197"/>
      <c r="DQ77" s="197"/>
      <c r="DR77" s="197"/>
      <c r="DS77" s="197"/>
      <c r="DT77" s="197"/>
      <c r="DU77" s="197"/>
      <c r="DV77" s="197"/>
      <c r="DW77" s="197"/>
      <c r="DX77" s="197"/>
      <c r="DY77" s="197"/>
      <c r="DZ77" s="197"/>
      <c r="EA77" s="197"/>
      <c r="EB77" s="197"/>
      <c r="EC77" s="197"/>
      <c r="ED77" s="197"/>
      <c r="EE77" s="197"/>
      <c r="EF77" s="197"/>
      <c r="EG77" s="197"/>
      <c r="EH77" s="197"/>
      <c r="EI77" s="197"/>
      <c r="EJ77" s="197"/>
      <c r="EK77" s="197"/>
      <c r="EL77" s="197"/>
      <c r="EM77" s="197"/>
      <c r="EN77" s="197"/>
      <c r="EO77" s="197"/>
      <c r="EP77" s="197"/>
      <c r="EQ77" s="197"/>
      <c r="ER77" s="197"/>
      <c r="ES77" s="197"/>
      <c r="ET77" s="197"/>
      <c r="EU77" s="197"/>
      <c r="EV77" s="197"/>
      <c r="EW77" s="197"/>
      <c r="EX77" s="197"/>
      <c r="EY77" s="197"/>
      <c r="EZ77" s="197"/>
      <c r="FA77" s="197"/>
      <c r="FB77" s="197"/>
      <c r="FC77" s="197"/>
      <c r="FD77" s="197"/>
      <c r="FE77" s="197"/>
      <c r="FF77" s="197"/>
      <c r="FG77" s="197"/>
      <c r="FH77" s="197"/>
    </row>
    <row r="78" ht="13.65" customHeight="1">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197"/>
      <c r="BG78" s="197"/>
      <c r="BH78" s="197"/>
      <c r="BI78" s="197"/>
      <c r="BJ78" s="197"/>
      <c r="BK78" s="197"/>
      <c r="BL78" s="197"/>
      <c r="BM78" s="197"/>
      <c r="BN78" s="197"/>
      <c r="BO78" s="197"/>
      <c r="BP78" s="197"/>
      <c r="BQ78" s="197"/>
      <c r="BR78" s="197"/>
      <c r="BS78" s="197"/>
      <c r="BT78" s="197"/>
      <c r="BU78" s="197"/>
      <c r="BV78" s="197"/>
      <c r="BW78" s="197"/>
      <c r="BX78" s="197"/>
      <c r="BY78" s="197"/>
      <c r="BZ78" s="197"/>
      <c r="CA78" s="197"/>
      <c r="CB78" s="197"/>
      <c r="CC78" s="197"/>
      <c r="CD78" s="197"/>
      <c r="CE78" s="197"/>
      <c r="CF78" s="197"/>
      <c r="CG78" s="197"/>
      <c r="CH78" s="197"/>
      <c r="CI78" s="197"/>
      <c r="CJ78" s="197"/>
      <c r="CK78" s="197"/>
      <c r="CL78" s="197"/>
      <c r="CM78" s="197"/>
      <c r="CN78" s="197"/>
      <c r="CO78" s="197"/>
      <c r="CP78" s="197"/>
      <c r="CQ78" s="197"/>
      <c r="CR78" s="197"/>
      <c r="CS78" s="197"/>
      <c r="CT78" s="197"/>
      <c r="CU78" s="197"/>
      <c r="CV78" s="197"/>
      <c r="CW78" s="197"/>
      <c r="CX78" s="197"/>
      <c r="CY78" s="197"/>
      <c r="CZ78" s="197"/>
      <c r="DA78" s="197"/>
      <c r="DB78" s="197"/>
      <c r="DC78" s="197"/>
      <c r="DD78" s="197"/>
      <c r="DE78" s="197"/>
      <c r="DF78" s="197"/>
      <c r="DG78" s="197"/>
      <c r="DH78" s="197"/>
      <c r="DI78" s="197"/>
      <c r="DJ78" s="197"/>
      <c r="DK78" s="197"/>
      <c r="DL78" s="197"/>
      <c r="DM78" s="197"/>
      <c r="DN78" s="197"/>
      <c r="DO78" s="197"/>
      <c r="DP78" s="197"/>
      <c r="DQ78" s="197"/>
      <c r="DR78" s="197"/>
      <c r="DS78" s="197"/>
      <c r="DT78" s="197"/>
      <c r="DU78" s="197"/>
      <c r="DV78" s="197"/>
      <c r="DW78" s="197"/>
      <c r="DX78" s="197"/>
      <c r="DY78" s="197"/>
      <c r="DZ78" s="197"/>
      <c r="EA78" s="197"/>
      <c r="EB78" s="197"/>
      <c r="EC78" s="197"/>
      <c r="ED78" s="197"/>
      <c r="EE78" s="197"/>
      <c r="EF78" s="197"/>
      <c r="EG78" s="197"/>
      <c r="EH78" s="197"/>
      <c r="EI78" s="197"/>
      <c r="EJ78" s="197"/>
      <c r="EK78" s="197"/>
      <c r="EL78" s="197"/>
      <c r="EM78" s="197"/>
      <c r="EN78" s="197"/>
      <c r="EO78" s="197"/>
      <c r="EP78" s="197"/>
      <c r="EQ78" s="197"/>
      <c r="ER78" s="197"/>
      <c r="ES78" s="197"/>
      <c r="ET78" s="197"/>
      <c r="EU78" s="197"/>
      <c r="EV78" s="197"/>
      <c r="EW78" s="197"/>
      <c r="EX78" s="197"/>
      <c r="EY78" s="197"/>
      <c r="EZ78" s="197"/>
      <c r="FA78" s="197"/>
      <c r="FB78" s="197"/>
      <c r="FC78" s="197"/>
      <c r="FD78" s="197"/>
      <c r="FE78" s="197"/>
      <c r="FF78" s="197"/>
      <c r="FG78" s="197"/>
      <c r="FH78" s="197"/>
    </row>
    <row r="79" ht="13.65" customHeight="1">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c r="BU79" s="197"/>
      <c r="BV79" s="197"/>
      <c r="BW79" s="197"/>
      <c r="BX79" s="197"/>
      <c r="BY79" s="197"/>
      <c r="BZ79" s="197"/>
      <c r="CA79" s="197"/>
      <c r="CB79" s="197"/>
      <c r="CC79" s="197"/>
      <c r="CD79" s="197"/>
      <c r="CE79" s="197"/>
      <c r="CF79" s="197"/>
      <c r="CG79" s="197"/>
      <c r="CH79" s="197"/>
      <c r="CI79" s="197"/>
      <c r="CJ79" s="197"/>
      <c r="CK79" s="197"/>
      <c r="CL79" s="197"/>
      <c r="CM79" s="197"/>
      <c r="CN79" s="197"/>
      <c r="CO79" s="197"/>
      <c r="CP79" s="197"/>
      <c r="CQ79" s="197"/>
      <c r="CR79" s="197"/>
      <c r="CS79" s="197"/>
      <c r="CT79" s="197"/>
      <c r="CU79" s="197"/>
      <c r="CV79" s="197"/>
      <c r="CW79" s="197"/>
      <c r="CX79" s="197"/>
      <c r="CY79" s="197"/>
      <c r="CZ79" s="197"/>
      <c r="DA79" s="197"/>
      <c r="DB79" s="197"/>
      <c r="DC79" s="197"/>
      <c r="DD79" s="197"/>
      <c r="DE79" s="197"/>
      <c r="DF79" s="197"/>
      <c r="DG79" s="197"/>
      <c r="DH79" s="197"/>
      <c r="DI79" s="197"/>
      <c r="DJ79" s="197"/>
      <c r="DK79" s="197"/>
      <c r="DL79" s="197"/>
      <c r="DM79" s="197"/>
      <c r="DN79" s="197"/>
      <c r="DO79" s="197"/>
      <c r="DP79" s="197"/>
      <c r="DQ79" s="197"/>
      <c r="DR79" s="197"/>
      <c r="DS79" s="197"/>
      <c r="DT79" s="197"/>
      <c r="DU79" s="197"/>
      <c r="DV79" s="197"/>
      <c r="DW79" s="197"/>
      <c r="DX79" s="197"/>
      <c r="DY79" s="197"/>
      <c r="DZ79" s="197"/>
      <c r="EA79" s="197"/>
      <c r="EB79" s="197"/>
      <c r="EC79" s="197"/>
      <c r="ED79" s="197"/>
      <c r="EE79" s="197"/>
      <c r="EF79" s="197"/>
      <c r="EG79" s="197"/>
      <c r="EH79" s="197"/>
      <c r="EI79" s="197"/>
      <c r="EJ79" s="197"/>
      <c r="EK79" s="197"/>
      <c r="EL79" s="197"/>
      <c r="EM79" s="197"/>
      <c r="EN79" s="197"/>
      <c r="EO79" s="197"/>
      <c r="EP79" s="197"/>
      <c r="EQ79" s="197"/>
      <c r="ER79" s="197"/>
      <c r="ES79" s="197"/>
      <c r="ET79" s="197"/>
      <c r="EU79" s="197"/>
      <c r="EV79" s="197"/>
      <c r="EW79" s="197"/>
      <c r="EX79" s="197"/>
      <c r="EY79" s="197"/>
      <c r="EZ79" s="197"/>
      <c r="FA79" s="197"/>
      <c r="FB79" s="197"/>
      <c r="FC79" s="197"/>
      <c r="FD79" s="197"/>
      <c r="FE79" s="197"/>
      <c r="FF79" s="197"/>
      <c r="FG79" s="197"/>
      <c r="FH79" s="197"/>
    </row>
    <row r="80" ht="13.65" customHeight="1">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197"/>
      <c r="BG80" s="197"/>
      <c r="BH80" s="197"/>
      <c r="BI80" s="197"/>
      <c r="BJ80" s="197"/>
      <c r="BK80" s="197"/>
      <c r="BL80" s="197"/>
      <c r="BM80" s="197"/>
      <c r="BN80" s="197"/>
      <c r="BO80" s="197"/>
      <c r="BP80" s="197"/>
      <c r="BQ80" s="197"/>
      <c r="BR80" s="197"/>
      <c r="BS80" s="197"/>
      <c r="BT80" s="197"/>
      <c r="BU80" s="197"/>
      <c r="BV80" s="197"/>
      <c r="BW80" s="197"/>
      <c r="BX80" s="197"/>
      <c r="BY80" s="197"/>
      <c r="BZ80" s="197"/>
      <c r="CA80" s="197"/>
      <c r="CB80" s="197"/>
      <c r="CC80" s="197"/>
      <c r="CD80" s="197"/>
      <c r="CE80" s="197"/>
      <c r="CF80" s="197"/>
      <c r="CG80" s="197"/>
      <c r="CH80" s="197"/>
      <c r="CI80" s="197"/>
      <c r="CJ80" s="197"/>
      <c r="CK80" s="197"/>
      <c r="CL80" s="197"/>
      <c r="CM80" s="197"/>
      <c r="CN80" s="197"/>
      <c r="CO80" s="197"/>
      <c r="CP80" s="197"/>
      <c r="CQ80" s="197"/>
      <c r="CR80" s="197"/>
      <c r="CS80" s="197"/>
      <c r="CT80" s="197"/>
      <c r="CU80" s="197"/>
      <c r="CV80" s="197"/>
      <c r="CW80" s="197"/>
      <c r="CX80" s="197"/>
      <c r="CY80" s="197"/>
      <c r="CZ80" s="197"/>
      <c r="DA80" s="197"/>
      <c r="DB80" s="197"/>
      <c r="DC80" s="197"/>
      <c r="DD80" s="197"/>
      <c r="DE80" s="197"/>
      <c r="DF80" s="197"/>
      <c r="DG80" s="197"/>
      <c r="DH80" s="197"/>
      <c r="DI80" s="197"/>
      <c r="DJ80" s="197"/>
      <c r="DK80" s="197"/>
      <c r="DL80" s="197"/>
      <c r="DM80" s="197"/>
      <c r="DN80" s="197"/>
      <c r="DO80" s="197"/>
      <c r="DP80" s="197"/>
      <c r="DQ80" s="197"/>
      <c r="DR80" s="197"/>
      <c r="DS80" s="197"/>
      <c r="DT80" s="197"/>
      <c r="DU80" s="197"/>
      <c r="DV80" s="197"/>
      <c r="DW80" s="197"/>
      <c r="DX80" s="197"/>
      <c r="DY80" s="197"/>
      <c r="DZ80" s="197"/>
      <c r="EA80" s="197"/>
      <c r="EB80" s="197"/>
      <c r="EC80" s="197"/>
      <c r="ED80" s="197"/>
      <c r="EE80" s="197"/>
      <c r="EF80" s="197"/>
      <c r="EG80" s="197"/>
      <c r="EH80" s="197"/>
      <c r="EI80" s="197"/>
      <c r="EJ80" s="197"/>
      <c r="EK80" s="197"/>
      <c r="EL80" s="197"/>
      <c r="EM80" s="197"/>
      <c r="EN80" s="197"/>
      <c r="EO80" s="197"/>
      <c r="EP80" s="197"/>
      <c r="EQ80" s="197"/>
      <c r="ER80" s="197"/>
      <c r="ES80" s="197"/>
      <c r="ET80" s="197"/>
      <c r="EU80" s="197"/>
      <c r="EV80" s="197"/>
      <c r="EW80" s="197"/>
      <c r="EX80" s="197"/>
      <c r="EY80" s="197"/>
      <c r="EZ80" s="197"/>
      <c r="FA80" s="197"/>
      <c r="FB80" s="197"/>
      <c r="FC80" s="197"/>
      <c r="FD80" s="197"/>
      <c r="FE80" s="197"/>
      <c r="FF80" s="197"/>
      <c r="FG80" s="197"/>
      <c r="FH80" s="197"/>
    </row>
    <row r="81" ht="13.65" customHeight="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7"/>
      <c r="BN81" s="197"/>
      <c r="BO81" s="197"/>
      <c r="BP81" s="197"/>
      <c r="BQ81" s="197"/>
      <c r="BR81" s="197"/>
      <c r="BS81" s="197"/>
      <c r="BT81" s="197"/>
      <c r="BU81" s="197"/>
      <c r="BV81" s="197"/>
      <c r="BW81" s="197"/>
      <c r="BX81" s="197"/>
      <c r="BY81" s="197"/>
      <c r="BZ81" s="197"/>
      <c r="CA81" s="197"/>
      <c r="CB81" s="197"/>
      <c r="CC81" s="197"/>
      <c r="CD81" s="197"/>
      <c r="CE81" s="197"/>
      <c r="CF81" s="197"/>
      <c r="CG81" s="197"/>
      <c r="CH81" s="197"/>
      <c r="CI81" s="197"/>
      <c r="CJ81" s="197"/>
      <c r="CK81" s="197"/>
      <c r="CL81" s="197"/>
      <c r="CM81" s="197"/>
      <c r="CN81" s="197"/>
      <c r="CO81" s="197"/>
      <c r="CP81" s="197"/>
      <c r="CQ81" s="197"/>
      <c r="CR81" s="197"/>
      <c r="CS81" s="197"/>
      <c r="CT81" s="197"/>
      <c r="CU81" s="197"/>
      <c r="CV81" s="197"/>
      <c r="CW81" s="197"/>
      <c r="CX81" s="197"/>
      <c r="CY81" s="197"/>
      <c r="CZ81" s="197"/>
      <c r="DA81" s="197"/>
      <c r="DB81" s="197"/>
      <c r="DC81" s="197"/>
      <c r="DD81" s="197"/>
      <c r="DE81" s="197"/>
      <c r="DF81" s="197"/>
      <c r="DG81" s="197"/>
      <c r="DH81" s="197"/>
      <c r="DI81" s="197"/>
      <c r="DJ81" s="197"/>
      <c r="DK81" s="197"/>
      <c r="DL81" s="197"/>
      <c r="DM81" s="197"/>
      <c r="DN81" s="197"/>
      <c r="DO81" s="197"/>
      <c r="DP81" s="197"/>
      <c r="DQ81" s="197"/>
      <c r="DR81" s="197"/>
      <c r="DS81" s="197"/>
      <c r="DT81" s="197"/>
      <c r="DU81" s="197"/>
      <c r="DV81" s="197"/>
      <c r="DW81" s="197"/>
      <c r="DX81" s="197"/>
      <c r="DY81" s="197"/>
      <c r="DZ81" s="197"/>
      <c r="EA81" s="197"/>
      <c r="EB81" s="197"/>
      <c r="EC81" s="197"/>
      <c r="ED81" s="197"/>
      <c r="EE81" s="197"/>
      <c r="EF81" s="197"/>
      <c r="EG81" s="197"/>
      <c r="EH81" s="197"/>
      <c r="EI81" s="197"/>
      <c r="EJ81" s="197"/>
      <c r="EK81" s="197"/>
      <c r="EL81" s="197"/>
      <c r="EM81" s="197"/>
      <c r="EN81" s="197"/>
      <c r="EO81" s="197"/>
      <c r="EP81" s="197"/>
      <c r="EQ81" s="197"/>
      <c r="ER81" s="197"/>
      <c r="ES81" s="197"/>
      <c r="ET81" s="197"/>
      <c r="EU81" s="197"/>
      <c r="EV81" s="197"/>
      <c r="EW81" s="197"/>
      <c r="EX81" s="197"/>
      <c r="EY81" s="197"/>
      <c r="EZ81" s="197"/>
      <c r="FA81" s="197"/>
      <c r="FB81" s="197"/>
      <c r="FC81" s="197"/>
      <c r="FD81" s="197"/>
      <c r="FE81" s="197"/>
      <c r="FF81" s="197"/>
      <c r="FG81" s="197"/>
      <c r="FH81" s="197"/>
    </row>
    <row r="82" ht="13.65" customHeight="1">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c r="BU82" s="197"/>
      <c r="BV82" s="197"/>
      <c r="BW82" s="197"/>
      <c r="BX82" s="197"/>
      <c r="BY82" s="197"/>
      <c r="BZ82" s="197"/>
      <c r="CA82" s="197"/>
      <c r="CB82" s="197"/>
      <c r="CC82" s="197"/>
      <c r="CD82" s="197"/>
      <c r="CE82" s="197"/>
      <c r="CF82" s="197"/>
      <c r="CG82" s="197"/>
      <c r="CH82" s="197"/>
      <c r="CI82" s="197"/>
      <c r="CJ82" s="197"/>
      <c r="CK82" s="197"/>
      <c r="CL82" s="197"/>
      <c r="CM82" s="197"/>
      <c r="CN82" s="197"/>
      <c r="CO82" s="197"/>
      <c r="CP82" s="197"/>
      <c r="CQ82" s="197"/>
      <c r="CR82" s="197"/>
      <c r="CS82" s="197"/>
      <c r="CT82" s="197"/>
      <c r="CU82" s="197"/>
      <c r="CV82" s="197"/>
      <c r="CW82" s="197"/>
      <c r="CX82" s="197"/>
      <c r="CY82" s="197"/>
      <c r="CZ82" s="197"/>
      <c r="DA82" s="197"/>
      <c r="DB82" s="197"/>
      <c r="DC82" s="197"/>
      <c r="DD82" s="197"/>
      <c r="DE82" s="197"/>
      <c r="DF82" s="197"/>
      <c r="DG82" s="197"/>
      <c r="DH82" s="197"/>
      <c r="DI82" s="197"/>
      <c r="DJ82" s="197"/>
      <c r="DK82" s="197"/>
      <c r="DL82" s="197"/>
      <c r="DM82" s="197"/>
      <c r="DN82" s="197"/>
      <c r="DO82" s="197"/>
      <c r="DP82" s="197"/>
      <c r="DQ82" s="197"/>
      <c r="DR82" s="197"/>
      <c r="DS82" s="197"/>
      <c r="DT82" s="197"/>
      <c r="DU82" s="197"/>
      <c r="DV82" s="197"/>
      <c r="DW82" s="197"/>
      <c r="DX82" s="197"/>
      <c r="DY82" s="197"/>
      <c r="DZ82" s="197"/>
      <c r="EA82" s="197"/>
      <c r="EB82" s="197"/>
      <c r="EC82" s="197"/>
      <c r="ED82" s="197"/>
      <c r="EE82" s="197"/>
      <c r="EF82" s="197"/>
      <c r="EG82" s="197"/>
      <c r="EH82" s="197"/>
      <c r="EI82" s="197"/>
      <c r="EJ82" s="197"/>
      <c r="EK82" s="197"/>
      <c r="EL82" s="197"/>
      <c r="EM82" s="197"/>
      <c r="EN82" s="197"/>
      <c r="EO82" s="197"/>
      <c r="EP82" s="197"/>
      <c r="EQ82" s="197"/>
      <c r="ER82" s="197"/>
      <c r="ES82" s="197"/>
      <c r="ET82" s="197"/>
      <c r="EU82" s="197"/>
      <c r="EV82" s="197"/>
      <c r="EW82" s="197"/>
      <c r="EX82" s="197"/>
      <c r="EY82" s="197"/>
      <c r="EZ82" s="197"/>
      <c r="FA82" s="197"/>
      <c r="FB82" s="197"/>
      <c r="FC82" s="197"/>
      <c r="FD82" s="197"/>
      <c r="FE82" s="197"/>
      <c r="FF82" s="197"/>
      <c r="FG82" s="197"/>
      <c r="FH82" s="197"/>
    </row>
    <row r="83" ht="13.65" customHeight="1">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7"/>
      <c r="BN83" s="197"/>
      <c r="BO83" s="197"/>
      <c r="BP83" s="197"/>
      <c r="BQ83" s="197"/>
      <c r="BR83" s="197"/>
      <c r="BS83" s="197"/>
      <c r="BT83" s="197"/>
      <c r="BU83" s="197"/>
      <c r="BV83" s="197"/>
      <c r="BW83" s="197"/>
      <c r="BX83" s="197"/>
      <c r="BY83" s="197"/>
      <c r="BZ83" s="197"/>
      <c r="CA83" s="197"/>
      <c r="CB83" s="197"/>
      <c r="CC83" s="197"/>
      <c r="CD83" s="197"/>
      <c r="CE83" s="197"/>
      <c r="CF83" s="197"/>
      <c r="CG83" s="197"/>
      <c r="CH83" s="197"/>
      <c r="CI83" s="197"/>
      <c r="CJ83" s="197"/>
      <c r="CK83" s="197"/>
      <c r="CL83" s="197"/>
      <c r="CM83" s="197"/>
      <c r="CN83" s="197"/>
      <c r="CO83" s="197"/>
      <c r="CP83" s="197"/>
      <c r="CQ83" s="197"/>
      <c r="CR83" s="197"/>
      <c r="CS83" s="197"/>
      <c r="CT83" s="197"/>
      <c r="CU83" s="197"/>
      <c r="CV83" s="197"/>
      <c r="CW83" s="197"/>
      <c r="CX83" s="197"/>
      <c r="CY83" s="197"/>
      <c r="CZ83" s="197"/>
      <c r="DA83" s="197"/>
      <c r="DB83" s="197"/>
      <c r="DC83" s="197"/>
      <c r="DD83" s="197"/>
      <c r="DE83" s="197"/>
      <c r="DF83" s="197"/>
      <c r="DG83" s="197"/>
      <c r="DH83" s="197"/>
      <c r="DI83" s="197"/>
      <c r="DJ83" s="197"/>
      <c r="DK83" s="197"/>
      <c r="DL83" s="197"/>
      <c r="DM83" s="197"/>
      <c r="DN83" s="197"/>
      <c r="DO83" s="197"/>
      <c r="DP83" s="197"/>
      <c r="DQ83" s="197"/>
      <c r="DR83" s="197"/>
      <c r="DS83" s="197"/>
      <c r="DT83" s="197"/>
      <c r="DU83" s="197"/>
      <c r="DV83" s="197"/>
      <c r="DW83" s="197"/>
      <c r="DX83" s="197"/>
      <c r="DY83" s="197"/>
      <c r="DZ83" s="197"/>
      <c r="EA83" s="197"/>
      <c r="EB83" s="197"/>
      <c r="EC83" s="197"/>
      <c r="ED83" s="197"/>
      <c r="EE83" s="197"/>
      <c r="EF83" s="197"/>
      <c r="EG83" s="197"/>
      <c r="EH83" s="197"/>
      <c r="EI83" s="197"/>
      <c r="EJ83" s="197"/>
      <c r="EK83" s="197"/>
      <c r="EL83" s="197"/>
      <c r="EM83" s="197"/>
      <c r="EN83" s="197"/>
      <c r="EO83" s="197"/>
      <c r="EP83" s="197"/>
      <c r="EQ83" s="197"/>
      <c r="ER83" s="197"/>
      <c r="ES83" s="197"/>
      <c r="ET83" s="197"/>
      <c r="EU83" s="197"/>
      <c r="EV83" s="197"/>
      <c r="EW83" s="197"/>
      <c r="EX83" s="197"/>
      <c r="EY83" s="197"/>
      <c r="EZ83" s="197"/>
      <c r="FA83" s="197"/>
      <c r="FB83" s="197"/>
      <c r="FC83" s="197"/>
      <c r="FD83" s="197"/>
      <c r="FE83" s="197"/>
      <c r="FF83" s="197"/>
      <c r="FG83" s="197"/>
      <c r="FH83" s="197"/>
    </row>
    <row r="84" ht="13.65" customHeight="1">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c r="BM84" s="197"/>
      <c r="BN84" s="197"/>
      <c r="BO84" s="197"/>
      <c r="BP84" s="197"/>
      <c r="BQ84" s="197"/>
      <c r="BR84" s="197"/>
      <c r="BS84" s="197"/>
      <c r="BT84" s="197"/>
      <c r="BU84" s="197"/>
      <c r="BV84" s="197"/>
      <c r="BW84" s="197"/>
      <c r="BX84" s="197"/>
      <c r="BY84" s="197"/>
      <c r="BZ84" s="197"/>
      <c r="CA84" s="197"/>
      <c r="CB84" s="197"/>
      <c r="CC84" s="197"/>
      <c r="CD84" s="197"/>
      <c r="CE84" s="197"/>
      <c r="CF84" s="197"/>
      <c r="CG84" s="197"/>
      <c r="CH84" s="197"/>
      <c r="CI84" s="197"/>
      <c r="CJ84" s="197"/>
      <c r="CK84" s="197"/>
      <c r="CL84" s="197"/>
      <c r="CM84" s="197"/>
      <c r="CN84" s="197"/>
      <c r="CO84" s="197"/>
      <c r="CP84" s="197"/>
      <c r="CQ84" s="197"/>
      <c r="CR84" s="197"/>
      <c r="CS84" s="197"/>
      <c r="CT84" s="197"/>
      <c r="CU84" s="197"/>
      <c r="CV84" s="197"/>
      <c r="CW84" s="197"/>
      <c r="CX84" s="197"/>
      <c r="CY84" s="197"/>
      <c r="CZ84" s="197"/>
      <c r="DA84" s="197"/>
      <c r="DB84" s="197"/>
      <c r="DC84" s="197"/>
      <c r="DD84" s="197"/>
      <c r="DE84" s="197"/>
      <c r="DF84" s="197"/>
      <c r="DG84" s="197"/>
      <c r="DH84" s="197"/>
      <c r="DI84" s="197"/>
      <c r="DJ84" s="197"/>
      <c r="DK84" s="197"/>
      <c r="DL84" s="197"/>
      <c r="DM84" s="197"/>
      <c r="DN84" s="197"/>
      <c r="DO84" s="197"/>
      <c r="DP84" s="197"/>
      <c r="DQ84" s="197"/>
      <c r="DR84" s="197"/>
      <c r="DS84" s="197"/>
      <c r="DT84" s="197"/>
      <c r="DU84" s="197"/>
      <c r="DV84" s="197"/>
      <c r="DW84" s="197"/>
      <c r="DX84" s="197"/>
      <c r="DY84" s="197"/>
      <c r="DZ84" s="197"/>
      <c r="EA84" s="197"/>
      <c r="EB84" s="197"/>
      <c r="EC84" s="197"/>
      <c r="ED84" s="197"/>
      <c r="EE84" s="197"/>
      <c r="EF84" s="197"/>
      <c r="EG84" s="197"/>
      <c r="EH84" s="197"/>
      <c r="EI84" s="197"/>
      <c r="EJ84" s="197"/>
      <c r="EK84" s="197"/>
      <c r="EL84" s="197"/>
      <c r="EM84" s="197"/>
      <c r="EN84" s="197"/>
      <c r="EO84" s="197"/>
      <c r="EP84" s="197"/>
      <c r="EQ84" s="197"/>
      <c r="ER84" s="197"/>
      <c r="ES84" s="197"/>
      <c r="ET84" s="197"/>
      <c r="EU84" s="197"/>
      <c r="EV84" s="197"/>
      <c r="EW84" s="197"/>
      <c r="EX84" s="197"/>
      <c r="EY84" s="197"/>
      <c r="EZ84" s="197"/>
      <c r="FA84" s="197"/>
      <c r="FB84" s="197"/>
      <c r="FC84" s="197"/>
      <c r="FD84" s="197"/>
      <c r="FE84" s="197"/>
      <c r="FF84" s="197"/>
      <c r="FG84" s="197"/>
      <c r="FH84" s="197"/>
    </row>
    <row r="85" ht="13.65" customHeight="1">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7"/>
      <c r="BN85" s="197"/>
      <c r="BO85" s="197"/>
      <c r="BP85" s="197"/>
      <c r="BQ85" s="197"/>
      <c r="BR85" s="197"/>
      <c r="BS85" s="197"/>
      <c r="BT85" s="197"/>
      <c r="BU85" s="197"/>
      <c r="BV85" s="197"/>
      <c r="BW85" s="197"/>
      <c r="BX85" s="197"/>
      <c r="BY85" s="197"/>
      <c r="BZ85" s="197"/>
      <c r="CA85" s="197"/>
      <c r="CB85" s="197"/>
      <c r="CC85" s="197"/>
      <c r="CD85" s="197"/>
      <c r="CE85" s="197"/>
      <c r="CF85" s="197"/>
      <c r="CG85" s="197"/>
      <c r="CH85" s="197"/>
      <c r="CI85" s="197"/>
      <c r="CJ85" s="197"/>
      <c r="CK85" s="197"/>
      <c r="CL85" s="197"/>
      <c r="CM85" s="197"/>
      <c r="CN85" s="197"/>
      <c r="CO85" s="197"/>
      <c r="CP85" s="197"/>
      <c r="CQ85" s="197"/>
      <c r="CR85" s="197"/>
      <c r="CS85" s="197"/>
      <c r="CT85" s="197"/>
      <c r="CU85" s="197"/>
      <c r="CV85" s="197"/>
      <c r="CW85" s="197"/>
      <c r="CX85" s="197"/>
      <c r="CY85" s="197"/>
      <c r="CZ85" s="197"/>
      <c r="DA85" s="197"/>
      <c r="DB85" s="197"/>
      <c r="DC85" s="197"/>
      <c r="DD85" s="197"/>
      <c r="DE85" s="197"/>
      <c r="DF85" s="197"/>
      <c r="DG85" s="197"/>
      <c r="DH85" s="197"/>
      <c r="DI85" s="197"/>
      <c r="DJ85" s="197"/>
      <c r="DK85" s="197"/>
      <c r="DL85" s="197"/>
      <c r="DM85" s="197"/>
      <c r="DN85" s="197"/>
      <c r="DO85" s="197"/>
      <c r="DP85" s="197"/>
      <c r="DQ85" s="197"/>
      <c r="DR85" s="197"/>
      <c r="DS85" s="197"/>
      <c r="DT85" s="197"/>
      <c r="DU85" s="197"/>
      <c r="DV85" s="197"/>
      <c r="DW85" s="197"/>
      <c r="DX85" s="197"/>
      <c r="DY85" s="197"/>
      <c r="DZ85" s="197"/>
      <c r="EA85" s="197"/>
      <c r="EB85" s="197"/>
      <c r="EC85" s="197"/>
      <c r="ED85" s="197"/>
      <c r="EE85" s="197"/>
      <c r="EF85" s="197"/>
      <c r="EG85" s="197"/>
      <c r="EH85" s="197"/>
      <c r="EI85" s="197"/>
      <c r="EJ85" s="197"/>
      <c r="EK85" s="197"/>
      <c r="EL85" s="197"/>
      <c r="EM85" s="197"/>
      <c r="EN85" s="197"/>
      <c r="EO85" s="197"/>
      <c r="EP85" s="197"/>
      <c r="EQ85" s="197"/>
      <c r="ER85" s="197"/>
      <c r="ES85" s="197"/>
      <c r="ET85" s="197"/>
      <c r="EU85" s="197"/>
      <c r="EV85" s="197"/>
      <c r="EW85" s="197"/>
      <c r="EX85" s="197"/>
      <c r="EY85" s="197"/>
      <c r="EZ85" s="197"/>
      <c r="FA85" s="197"/>
      <c r="FB85" s="197"/>
      <c r="FC85" s="197"/>
      <c r="FD85" s="197"/>
      <c r="FE85" s="197"/>
      <c r="FF85" s="197"/>
      <c r="FG85" s="197"/>
      <c r="FH85" s="197"/>
    </row>
    <row r="86" ht="13.65" customHeight="1">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c r="BU86" s="197"/>
      <c r="BV86" s="197"/>
      <c r="BW86" s="197"/>
      <c r="BX86" s="197"/>
      <c r="BY86" s="197"/>
      <c r="BZ86" s="197"/>
      <c r="CA86" s="197"/>
      <c r="CB86" s="197"/>
      <c r="CC86" s="197"/>
      <c r="CD86" s="197"/>
      <c r="CE86" s="197"/>
      <c r="CF86" s="197"/>
      <c r="CG86" s="197"/>
      <c r="CH86" s="197"/>
      <c r="CI86" s="197"/>
      <c r="CJ86" s="197"/>
      <c r="CK86" s="197"/>
      <c r="CL86" s="197"/>
      <c r="CM86" s="197"/>
      <c r="CN86" s="197"/>
      <c r="CO86" s="197"/>
      <c r="CP86" s="197"/>
      <c r="CQ86" s="197"/>
      <c r="CR86" s="197"/>
      <c r="CS86" s="197"/>
      <c r="CT86" s="197"/>
      <c r="CU86" s="197"/>
      <c r="CV86" s="197"/>
      <c r="CW86" s="197"/>
      <c r="CX86" s="197"/>
      <c r="CY86" s="197"/>
      <c r="CZ86" s="197"/>
      <c r="DA86" s="197"/>
      <c r="DB86" s="197"/>
      <c r="DC86" s="197"/>
      <c r="DD86" s="197"/>
      <c r="DE86" s="197"/>
      <c r="DF86" s="197"/>
      <c r="DG86" s="197"/>
      <c r="DH86" s="197"/>
      <c r="DI86" s="197"/>
      <c r="DJ86" s="197"/>
      <c r="DK86" s="197"/>
      <c r="DL86" s="197"/>
      <c r="DM86" s="197"/>
      <c r="DN86" s="197"/>
      <c r="DO86" s="197"/>
      <c r="DP86" s="197"/>
      <c r="DQ86" s="197"/>
      <c r="DR86" s="197"/>
      <c r="DS86" s="197"/>
      <c r="DT86" s="197"/>
      <c r="DU86" s="197"/>
      <c r="DV86" s="197"/>
      <c r="DW86" s="197"/>
      <c r="DX86" s="197"/>
      <c r="DY86" s="197"/>
      <c r="DZ86" s="197"/>
      <c r="EA86" s="197"/>
      <c r="EB86" s="197"/>
      <c r="EC86" s="197"/>
      <c r="ED86" s="197"/>
      <c r="EE86" s="197"/>
      <c r="EF86" s="197"/>
      <c r="EG86" s="197"/>
      <c r="EH86" s="197"/>
      <c r="EI86" s="197"/>
      <c r="EJ86" s="197"/>
      <c r="EK86" s="197"/>
      <c r="EL86" s="197"/>
      <c r="EM86" s="197"/>
      <c r="EN86" s="197"/>
      <c r="EO86" s="197"/>
      <c r="EP86" s="197"/>
      <c r="EQ86" s="197"/>
      <c r="ER86" s="197"/>
      <c r="ES86" s="197"/>
      <c r="ET86" s="197"/>
      <c r="EU86" s="197"/>
      <c r="EV86" s="197"/>
      <c r="EW86" s="197"/>
      <c r="EX86" s="197"/>
      <c r="EY86" s="197"/>
      <c r="EZ86" s="197"/>
      <c r="FA86" s="197"/>
      <c r="FB86" s="197"/>
      <c r="FC86" s="197"/>
      <c r="FD86" s="197"/>
      <c r="FE86" s="197"/>
      <c r="FF86" s="197"/>
      <c r="FG86" s="197"/>
      <c r="FH86" s="197"/>
    </row>
    <row r="87" ht="13.65" customHeight="1">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197"/>
      <c r="BL87" s="197"/>
      <c r="BM87" s="197"/>
      <c r="BN87" s="197"/>
      <c r="BO87" s="197"/>
      <c r="BP87" s="197"/>
      <c r="BQ87" s="197"/>
      <c r="BR87" s="197"/>
      <c r="BS87" s="197"/>
      <c r="BT87" s="197"/>
      <c r="BU87" s="197"/>
      <c r="BV87" s="197"/>
      <c r="BW87" s="197"/>
      <c r="BX87" s="197"/>
      <c r="BY87" s="197"/>
      <c r="BZ87" s="197"/>
      <c r="CA87" s="197"/>
      <c r="CB87" s="197"/>
      <c r="CC87" s="197"/>
      <c r="CD87" s="197"/>
      <c r="CE87" s="197"/>
      <c r="CF87" s="197"/>
      <c r="CG87" s="197"/>
      <c r="CH87" s="197"/>
      <c r="CI87" s="197"/>
      <c r="CJ87" s="197"/>
      <c r="CK87" s="197"/>
      <c r="CL87" s="197"/>
      <c r="CM87" s="197"/>
      <c r="CN87" s="197"/>
      <c r="CO87" s="197"/>
      <c r="CP87" s="197"/>
      <c r="CQ87" s="197"/>
      <c r="CR87" s="197"/>
      <c r="CS87" s="197"/>
      <c r="CT87" s="197"/>
      <c r="CU87" s="197"/>
      <c r="CV87" s="197"/>
      <c r="CW87" s="197"/>
      <c r="CX87" s="197"/>
      <c r="CY87" s="197"/>
      <c r="CZ87" s="197"/>
      <c r="DA87" s="197"/>
      <c r="DB87" s="197"/>
      <c r="DC87" s="197"/>
      <c r="DD87" s="197"/>
      <c r="DE87" s="197"/>
      <c r="DF87" s="197"/>
      <c r="DG87" s="197"/>
      <c r="DH87" s="197"/>
      <c r="DI87" s="197"/>
      <c r="DJ87" s="197"/>
      <c r="DK87" s="197"/>
      <c r="DL87" s="197"/>
      <c r="DM87" s="197"/>
      <c r="DN87" s="197"/>
      <c r="DO87" s="197"/>
      <c r="DP87" s="197"/>
      <c r="DQ87" s="197"/>
      <c r="DR87" s="197"/>
      <c r="DS87" s="197"/>
      <c r="DT87" s="197"/>
      <c r="DU87" s="197"/>
      <c r="DV87" s="197"/>
      <c r="DW87" s="197"/>
      <c r="DX87" s="197"/>
      <c r="DY87" s="197"/>
      <c r="DZ87" s="197"/>
      <c r="EA87" s="197"/>
      <c r="EB87" s="197"/>
      <c r="EC87" s="197"/>
      <c r="ED87" s="197"/>
      <c r="EE87" s="197"/>
      <c r="EF87" s="197"/>
      <c r="EG87" s="197"/>
      <c r="EH87" s="197"/>
      <c r="EI87" s="197"/>
      <c r="EJ87" s="197"/>
      <c r="EK87" s="197"/>
      <c r="EL87" s="197"/>
      <c r="EM87" s="197"/>
      <c r="EN87" s="197"/>
      <c r="EO87" s="197"/>
      <c r="EP87" s="197"/>
      <c r="EQ87" s="197"/>
      <c r="ER87" s="197"/>
      <c r="ES87" s="197"/>
      <c r="ET87" s="197"/>
      <c r="EU87" s="197"/>
      <c r="EV87" s="197"/>
      <c r="EW87" s="197"/>
      <c r="EX87" s="197"/>
      <c r="EY87" s="197"/>
      <c r="EZ87" s="197"/>
      <c r="FA87" s="197"/>
      <c r="FB87" s="197"/>
      <c r="FC87" s="197"/>
      <c r="FD87" s="197"/>
      <c r="FE87" s="197"/>
      <c r="FF87" s="197"/>
      <c r="FG87" s="197"/>
      <c r="FH87" s="197"/>
    </row>
    <row r="88" ht="13.65" customHeight="1">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197"/>
      <c r="BG88" s="197"/>
      <c r="BH88" s="197"/>
      <c r="BI88" s="197"/>
      <c r="BJ88" s="197"/>
      <c r="BK88" s="197"/>
      <c r="BL88" s="197"/>
      <c r="BM88" s="197"/>
      <c r="BN88" s="197"/>
      <c r="BO88" s="197"/>
      <c r="BP88" s="197"/>
      <c r="BQ88" s="197"/>
      <c r="BR88" s="197"/>
      <c r="BS88" s="197"/>
      <c r="BT88" s="197"/>
      <c r="BU88" s="197"/>
      <c r="BV88" s="197"/>
      <c r="BW88" s="197"/>
      <c r="BX88" s="197"/>
      <c r="BY88" s="197"/>
      <c r="BZ88" s="197"/>
      <c r="CA88" s="197"/>
      <c r="CB88" s="197"/>
      <c r="CC88" s="197"/>
      <c r="CD88" s="197"/>
      <c r="CE88" s="197"/>
      <c r="CF88" s="197"/>
      <c r="CG88" s="197"/>
      <c r="CH88" s="197"/>
      <c r="CI88" s="197"/>
      <c r="CJ88" s="197"/>
      <c r="CK88" s="197"/>
      <c r="CL88" s="197"/>
      <c r="CM88" s="197"/>
      <c r="CN88" s="197"/>
      <c r="CO88" s="197"/>
      <c r="CP88" s="197"/>
      <c r="CQ88" s="197"/>
      <c r="CR88" s="197"/>
      <c r="CS88" s="197"/>
      <c r="CT88" s="197"/>
      <c r="CU88" s="197"/>
      <c r="CV88" s="197"/>
      <c r="CW88" s="197"/>
      <c r="CX88" s="197"/>
      <c r="CY88" s="197"/>
      <c r="CZ88" s="197"/>
      <c r="DA88" s="197"/>
      <c r="DB88" s="197"/>
      <c r="DC88" s="197"/>
      <c r="DD88" s="197"/>
      <c r="DE88" s="197"/>
      <c r="DF88" s="197"/>
      <c r="DG88" s="197"/>
      <c r="DH88" s="197"/>
      <c r="DI88" s="197"/>
      <c r="DJ88" s="197"/>
      <c r="DK88" s="197"/>
      <c r="DL88" s="197"/>
      <c r="DM88" s="197"/>
      <c r="DN88" s="197"/>
      <c r="DO88" s="197"/>
      <c r="DP88" s="197"/>
      <c r="DQ88" s="197"/>
      <c r="DR88" s="197"/>
      <c r="DS88" s="197"/>
      <c r="DT88" s="197"/>
      <c r="DU88" s="197"/>
      <c r="DV88" s="197"/>
      <c r="DW88" s="197"/>
      <c r="DX88" s="197"/>
      <c r="DY88" s="197"/>
      <c r="DZ88" s="197"/>
      <c r="EA88" s="197"/>
      <c r="EB88" s="197"/>
      <c r="EC88" s="197"/>
      <c r="ED88" s="197"/>
      <c r="EE88" s="197"/>
      <c r="EF88" s="197"/>
      <c r="EG88" s="197"/>
      <c r="EH88" s="197"/>
      <c r="EI88" s="197"/>
      <c r="EJ88" s="197"/>
      <c r="EK88" s="197"/>
      <c r="EL88" s="197"/>
      <c r="EM88" s="197"/>
      <c r="EN88" s="197"/>
      <c r="EO88" s="197"/>
      <c r="EP88" s="197"/>
      <c r="EQ88" s="197"/>
      <c r="ER88" s="197"/>
      <c r="ES88" s="197"/>
      <c r="ET88" s="197"/>
      <c r="EU88" s="197"/>
      <c r="EV88" s="197"/>
      <c r="EW88" s="197"/>
      <c r="EX88" s="197"/>
      <c r="EY88" s="197"/>
      <c r="EZ88" s="197"/>
      <c r="FA88" s="197"/>
      <c r="FB88" s="197"/>
      <c r="FC88" s="197"/>
      <c r="FD88" s="197"/>
      <c r="FE88" s="197"/>
      <c r="FF88" s="197"/>
      <c r="FG88" s="197"/>
      <c r="FH88" s="197"/>
    </row>
    <row r="89" ht="13.65" customHeight="1">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197"/>
      <c r="BZ89" s="197"/>
      <c r="CA89" s="197"/>
      <c r="CB89" s="197"/>
      <c r="CC89" s="197"/>
      <c r="CD89" s="197"/>
      <c r="CE89" s="197"/>
      <c r="CF89" s="197"/>
      <c r="CG89" s="197"/>
      <c r="CH89" s="197"/>
      <c r="CI89" s="197"/>
      <c r="CJ89" s="197"/>
      <c r="CK89" s="197"/>
      <c r="CL89" s="197"/>
      <c r="CM89" s="197"/>
      <c r="CN89" s="197"/>
      <c r="CO89" s="197"/>
      <c r="CP89" s="197"/>
      <c r="CQ89" s="197"/>
      <c r="CR89" s="197"/>
      <c r="CS89" s="197"/>
      <c r="CT89" s="197"/>
      <c r="CU89" s="197"/>
      <c r="CV89" s="197"/>
      <c r="CW89" s="197"/>
      <c r="CX89" s="197"/>
      <c r="CY89" s="197"/>
      <c r="CZ89" s="197"/>
      <c r="DA89" s="197"/>
      <c r="DB89" s="197"/>
      <c r="DC89" s="197"/>
      <c r="DD89" s="197"/>
      <c r="DE89" s="197"/>
      <c r="DF89" s="197"/>
      <c r="DG89" s="197"/>
      <c r="DH89" s="197"/>
      <c r="DI89" s="197"/>
      <c r="DJ89" s="197"/>
      <c r="DK89" s="197"/>
      <c r="DL89" s="197"/>
      <c r="DM89" s="197"/>
      <c r="DN89" s="197"/>
      <c r="DO89" s="197"/>
      <c r="DP89" s="197"/>
      <c r="DQ89" s="197"/>
      <c r="DR89" s="197"/>
      <c r="DS89" s="197"/>
      <c r="DT89" s="197"/>
      <c r="DU89" s="197"/>
      <c r="DV89" s="197"/>
      <c r="DW89" s="197"/>
      <c r="DX89" s="197"/>
      <c r="DY89" s="197"/>
      <c r="DZ89" s="197"/>
      <c r="EA89" s="197"/>
      <c r="EB89" s="197"/>
      <c r="EC89" s="197"/>
      <c r="ED89" s="197"/>
      <c r="EE89" s="197"/>
      <c r="EF89" s="197"/>
      <c r="EG89" s="197"/>
      <c r="EH89" s="197"/>
      <c r="EI89" s="197"/>
      <c r="EJ89" s="197"/>
      <c r="EK89" s="197"/>
      <c r="EL89" s="197"/>
      <c r="EM89" s="197"/>
      <c r="EN89" s="197"/>
      <c r="EO89" s="197"/>
      <c r="EP89" s="197"/>
      <c r="EQ89" s="197"/>
      <c r="ER89" s="197"/>
      <c r="ES89" s="197"/>
      <c r="ET89" s="197"/>
      <c r="EU89" s="197"/>
      <c r="EV89" s="197"/>
      <c r="EW89" s="197"/>
      <c r="EX89" s="197"/>
      <c r="EY89" s="197"/>
      <c r="EZ89" s="197"/>
      <c r="FA89" s="197"/>
      <c r="FB89" s="197"/>
      <c r="FC89" s="197"/>
      <c r="FD89" s="197"/>
      <c r="FE89" s="197"/>
      <c r="FF89" s="197"/>
      <c r="FG89" s="197"/>
      <c r="FH89" s="197"/>
    </row>
    <row r="90" ht="13.65" customHeight="1">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197"/>
      <c r="BG90" s="197"/>
      <c r="BH90" s="197"/>
      <c r="BI90" s="197"/>
      <c r="BJ90" s="197"/>
      <c r="BK90" s="197"/>
      <c r="BL90" s="197"/>
      <c r="BM90" s="197"/>
      <c r="BN90" s="197"/>
      <c r="BO90" s="197"/>
      <c r="BP90" s="197"/>
      <c r="BQ90" s="197"/>
      <c r="BR90" s="197"/>
      <c r="BS90" s="197"/>
      <c r="BT90" s="197"/>
      <c r="BU90" s="197"/>
      <c r="BV90" s="197"/>
      <c r="BW90" s="197"/>
      <c r="BX90" s="197"/>
      <c r="BY90" s="197"/>
      <c r="BZ90" s="197"/>
      <c r="CA90" s="197"/>
      <c r="CB90" s="197"/>
      <c r="CC90" s="197"/>
      <c r="CD90" s="197"/>
      <c r="CE90" s="197"/>
      <c r="CF90" s="197"/>
      <c r="CG90" s="197"/>
      <c r="CH90" s="197"/>
      <c r="CI90" s="197"/>
      <c r="CJ90" s="197"/>
      <c r="CK90" s="197"/>
      <c r="CL90" s="197"/>
      <c r="CM90" s="197"/>
      <c r="CN90" s="197"/>
      <c r="CO90" s="197"/>
      <c r="CP90" s="197"/>
      <c r="CQ90" s="197"/>
      <c r="CR90" s="197"/>
      <c r="CS90" s="197"/>
      <c r="CT90" s="197"/>
      <c r="CU90" s="197"/>
      <c r="CV90" s="197"/>
      <c r="CW90" s="197"/>
      <c r="CX90" s="197"/>
      <c r="CY90" s="197"/>
      <c r="CZ90" s="197"/>
      <c r="DA90" s="197"/>
      <c r="DB90" s="197"/>
      <c r="DC90" s="197"/>
      <c r="DD90" s="197"/>
      <c r="DE90" s="197"/>
      <c r="DF90" s="197"/>
      <c r="DG90" s="197"/>
      <c r="DH90" s="197"/>
      <c r="DI90" s="197"/>
      <c r="DJ90" s="197"/>
      <c r="DK90" s="197"/>
      <c r="DL90" s="197"/>
      <c r="DM90" s="197"/>
      <c r="DN90" s="197"/>
      <c r="DO90" s="197"/>
      <c r="DP90" s="197"/>
      <c r="DQ90" s="197"/>
      <c r="DR90" s="197"/>
      <c r="DS90" s="197"/>
      <c r="DT90" s="197"/>
      <c r="DU90" s="197"/>
      <c r="DV90" s="197"/>
      <c r="DW90" s="197"/>
      <c r="DX90" s="197"/>
      <c r="DY90" s="197"/>
      <c r="DZ90" s="197"/>
      <c r="EA90" s="197"/>
      <c r="EB90" s="197"/>
      <c r="EC90" s="197"/>
      <c r="ED90" s="197"/>
      <c r="EE90" s="197"/>
      <c r="EF90" s="197"/>
      <c r="EG90" s="197"/>
      <c r="EH90" s="197"/>
      <c r="EI90" s="197"/>
      <c r="EJ90" s="197"/>
      <c r="EK90" s="197"/>
      <c r="EL90" s="197"/>
      <c r="EM90" s="197"/>
      <c r="EN90" s="197"/>
      <c r="EO90" s="197"/>
      <c r="EP90" s="197"/>
      <c r="EQ90" s="197"/>
      <c r="ER90" s="197"/>
      <c r="ES90" s="197"/>
      <c r="ET90" s="197"/>
      <c r="EU90" s="197"/>
      <c r="EV90" s="197"/>
      <c r="EW90" s="197"/>
      <c r="EX90" s="197"/>
      <c r="EY90" s="197"/>
      <c r="EZ90" s="197"/>
      <c r="FA90" s="197"/>
      <c r="FB90" s="197"/>
      <c r="FC90" s="197"/>
      <c r="FD90" s="197"/>
      <c r="FE90" s="197"/>
      <c r="FF90" s="197"/>
      <c r="FG90" s="197"/>
      <c r="FH90" s="197"/>
    </row>
    <row r="91" ht="13.65" customHeight="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197"/>
      <c r="BG91" s="197"/>
      <c r="BH91" s="197"/>
      <c r="BI91" s="197"/>
      <c r="BJ91" s="197"/>
      <c r="BK91" s="197"/>
      <c r="BL91" s="197"/>
      <c r="BM91" s="197"/>
      <c r="BN91" s="197"/>
      <c r="BO91" s="197"/>
      <c r="BP91" s="197"/>
      <c r="BQ91" s="197"/>
      <c r="BR91" s="197"/>
      <c r="BS91" s="197"/>
      <c r="BT91" s="197"/>
      <c r="BU91" s="197"/>
      <c r="BV91" s="197"/>
      <c r="BW91" s="197"/>
      <c r="BX91" s="197"/>
      <c r="BY91" s="197"/>
      <c r="BZ91" s="197"/>
      <c r="CA91" s="197"/>
      <c r="CB91" s="197"/>
      <c r="CC91" s="197"/>
      <c r="CD91" s="197"/>
      <c r="CE91" s="197"/>
      <c r="CF91" s="197"/>
      <c r="CG91" s="197"/>
      <c r="CH91" s="197"/>
      <c r="CI91" s="197"/>
      <c r="CJ91" s="197"/>
      <c r="CK91" s="197"/>
      <c r="CL91" s="197"/>
      <c r="CM91" s="197"/>
      <c r="CN91" s="197"/>
      <c r="CO91" s="197"/>
      <c r="CP91" s="197"/>
      <c r="CQ91" s="197"/>
      <c r="CR91" s="197"/>
      <c r="CS91" s="197"/>
      <c r="CT91" s="197"/>
      <c r="CU91" s="197"/>
      <c r="CV91" s="197"/>
      <c r="CW91" s="197"/>
      <c r="CX91" s="197"/>
      <c r="CY91" s="197"/>
      <c r="CZ91" s="197"/>
      <c r="DA91" s="197"/>
      <c r="DB91" s="197"/>
      <c r="DC91" s="197"/>
      <c r="DD91" s="197"/>
      <c r="DE91" s="197"/>
      <c r="DF91" s="197"/>
      <c r="DG91" s="197"/>
      <c r="DH91" s="197"/>
      <c r="DI91" s="197"/>
      <c r="DJ91" s="197"/>
      <c r="DK91" s="197"/>
      <c r="DL91" s="197"/>
      <c r="DM91" s="197"/>
      <c r="DN91" s="197"/>
      <c r="DO91" s="197"/>
      <c r="DP91" s="197"/>
      <c r="DQ91" s="197"/>
      <c r="DR91" s="197"/>
      <c r="DS91" s="197"/>
      <c r="DT91" s="197"/>
      <c r="DU91" s="197"/>
      <c r="DV91" s="197"/>
      <c r="DW91" s="197"/>
      <c r="DX91" s="197"/>
      <c r="DY91" s="197"/>
      <c r="DZ91" s="197"/>
      <c r="EA91" s="197"/>
      <c r="EB91" s="197"/>
      <c r="EC91" s="197"/>
      <c r="ED91" s="197"/>
      <c r="EE91" s="197"/>
      <c r="EF91" s="197"/>
      <c r="EG91" s="197"/>
      <c r="EH91" s="197"/>
      <c r="EI91" s="197"/>
      <c r="EJ91" s="197"/>
      <c r="EK91" s="197"/>
      <c r="EL91" s="197"/>
      <c r="EM91" s="197"/>
      <c r="EN91" s="197"/>
      <c r="EO91" s="197"/>
      <c r="EP91" s="197"/>
      <c r="EQ91" s="197"/>
      <c r="ER91" s="197"/>
      <c r="ES91" s="197"/>
      <c r="ET91" s="197"/>
      <c r="EU91" s="197"/>
      <c r="EV91" s="197"/>
      <c r="EW91" s="197"/>
      <c r="EX91" s="197"/>
      <c r="EY91" s="197"/>
      <c r="EZ91" s="197"/>
      <c r="FA91" s="197"/>
      <c r="FB91" s="197"/>
      <c r="FC91" s="197"/>
      <c r="FD91" s="197"/>
      <c r="FE91" s="197"/>
      <c r="FF91" s="197"/>
      <c r="FG91" s="197"/>
      <c r="FH91" s="197"/>
    </row>
    <row r="92" ht="13.65" customHeight="1">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197"/>
      <c r="BG92" s="197"/>
      <c r="BH92" s="197"/>
      <c r="BI92" s="197"/>
      <c r="BJ92" s="197"/>
      <c r="BK92" s="197"/>
      <c r="BL92" s="197"/>
      <c r="BM92" s="197"/>
      <c r="BN92" s="197"/>
      <c r="BO92" s="197"/>
      <c r="BP92" s="197"/>
      <c r="BQ92" s="197"/>
      <c r="BR92" s="197"/>
      <c r="BS92" s="197"/>
      <c r="BT92" s="197"/>
      <c r="BU92" s="197"/>
      <c r="BV92" s="197"/>
      <c r="BW92" s="197"/>
      <c r="BX92" s="197"/>
      <c r="BY92" s="197"/>
      <c r="BZ92" s="197"/>
      <c r="CA92" s="197"/>
      <c r="CB92" s="197"/>
      <c r="CC92" s="197"/>
      <c r="CD92" s="197"/>
      <c r="CE92" s="197"/>
      <c r="CF92" s="197"/>
      <c r="CG92" s="197"/>
      <c r="CH92" s="197"/>
      <c r="CI92" s="197"/>
      <c r="CJ92" s="197"/>
      <c r="CK92" s="197"/>
      <c r="CL92" s="197"/>
      <c r="CM92" s="197"/>
      <c r="CN92" s="197"/>
      <c r="CO92" s="197"/>
      <c r="CP92" s="197"/>
      <c r="CQ92" s="197"/>
      <c r="CR92" s="197"/>
      <c r="CS92" s="197"/>
      <c r="CT92" s="197"/>
      <c r="CU92" s="197"/>
      <c r="CV92" s="197"/>
      <c r="CW92" s="197"/>
      <c r="CX92" s="197"/>
      <c r="CY92" s="197"/>
      <c r="CZ92" s="197"/>
      <c r="DA92" s="197"/>
      <c r="DB92" s="197"/>
      <c r="DC92" s="197"/>
      <c r="DD92" s="197"/>
      <c r="DE92" s="197"/>
      <c r="DF92" s="197"/>
      <c r="DG92" s="197"/>
      <c r="DH92" s="197"/>
      <c r="DI92" s="197"/>
      <c r="DJ92" s="197"/>
      <c r="DK92" s="197"/>
      <c r="DL92" s="197"/>
      <c r="DM92" s="197"/>
      <c r="DN92" s="197"/>
      <c r="DO92" s="197"/>
      <c r="DP92" s="197"/>
      <c r="DQ92" s="197"/>
      <c r="DR92" s="197"/>
      <c r="DS92" s="197"/>
      <c r="DT92" s="197"/>
      <c r="DU92" s="197"/>
      <c r="DV92" s="197"/>
      <c r="DW92" s="197"/>
      <c r="DX92" s="197"/>
      <c r="DY92" s="197"/>
      <c r="DZ92" s="197"/>
      <c r="EA92" s="197"/>
      <c r="EB92" s="197"/>
      <c r="EC92" s="197"/>
      <c r="ED92" s="197"/>
      <c r="EE92" s="197"/>
      <c r="EF92" s="197"/>
      <c r="EG92" s="197"/>
      <c r="EH92" s="197"/>
      <c r="EI92" s="197"/>
      <c r="EJ92" s="197"/>
      <c r="EK92" s="197"/>
      <c r="EL92" s="197"/>
      <c r="EM92" s="197"/>
      <c r="EN92" s="197"/>
      <c r="EO92" s="197"/>
      <c r="EP92" s="197"/>
      <c r="EQ92" s="197"/>
      <c r="ER92" s="197"/>
      <c r="ES92" s="197"/>
      <c r="ET92" s="197"/>
      <c r="EU92" s="197"/>
      <c r="EV92" s="197"/>
      <c r="EW92" s="197"/>
      <c r="EX92" s="197"/>
      <c r="EY92" s="197"/>
      <c r="EZ92" s="197"/>
      <c r="FA92" s="197"/>
      <c r="FB92" s="197"/>
      <c r="FC92" s="197"/>
      <c r="FD92" s="197"/>
      <c r="FE92" s="197"/>
      <c r="FF92" s="197"/>
      <c r="FG92" s="197"/>
      <c r="FH92" s="197"/>
    </row>
    <row r="93" ht="13.65" customHeight="1">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197"/>
      <c r="BG93" s="197"/>
      <c r="BH93" s="197"/>
      <c r="BI93" s="197"/>
      <c r="BJ93" s="197"/>
      <c r="BK93" s="197"/>
      <c r="BL93" s="197"/>
      <c r="BM93" s="197"/>
      <c r="BN93" s="197"/>
      <c r="BO93" s="197"/>
      <c r="BP93" s="197"/>
      <c r="BQ93" s="197"/>
      <c r="BR93" s="197"/>
      <c r="BS93" s="197"/>
      <c r="BT93" s="197"/>
      <c r="BU93" s="197"/>
      <c r="BV93" s="197"/>
      <c r="BW93" s="197"/>
      <c r="BX93" s="197"/>
      <c r="BY93" s="197"/>
      <c r="BZ93" s="197"/>
      <c r="CA93" s="197"/>
      <c r="CB93" s="197"/>
      <c r="CC93" s="197"/>
      <c r="CD93" s="197"/>
      <c r="CE93" s="197"/>
      <c r="CF93" s="197"/>
      <c r="CG93" s="197"/>
      <c r="CH93" s="197"/>
      <c r="CI93" s="197"/>
      <c r="CJ93" s="197"/>
      <c r="CK93" s="197"/>
      <c r="CL93" s="197"/>
      <c r="CM93" s="197"/>
      <c r="CN93" s="197"/>
      <c r="CO93" s="197"/>
      <c r="CP93" s="197"/>
      <c r="CQ93" s="197"/>
      <c r="CR93" s="197"/>
      <c r="CS93" s="197"/>
      <c r="CT93" s="197"/>
      <c r="CU93" s="197"/>
      <c r="CV93" s="197"/>
      <c r="CW93" s="197"/>
      <c r="CX93" s="197"/>
      <c r="CY93" s="197"/>
      <c r="CZ93" s="197"/>
      <c r="DA93" s="197"/>
      <c r="DB93" s="197"/>
      <c r="DC93" s="197"/>
      <c r="DD93" s="197"/>
      <c r="DE93" s="197"/>
      <c r="DF93" s="197"/>
      <c r="DG93" s="197"/>
      <c r="DH93" s="197"/>
      <c r="DI93" s="197"/>
      <c r="DJ93" s="197"/>
      <c r="DK93" s="197"/>
      <c r="DL93" s="197"/>
      <c r="DM93" s="197"/>
      <c r="DN93" s="197"/>
      <c r="DO93" s="197"/>
      <c r="DP93" s="197"/>
      <c r="DQ93" s="197"/>
      <c r="DR93" s="197"/>
      <c r="DS93" s="197"/>
      <c r="DT93" s="197"/>
      <c r="DU93" s="197"/>
      <c r="DV93" s="197"/>
      <c r="DW93" s="197"/>
      <c r="DX93" s="197"/>
      <c r="DY93" s="197"/>
      <c r="DZ93" s="197"/>
      <c r="EA93" s="197"/>
      <c r="EB93" s="197"/>
      <c r="EC93" s="197"/>
      <c r="ED93" s="197"/>
      <c r="EE93" s="197"/>
      <c r="EF93" s="197"/>
      <c r="EG93" s="197"/>
      <c r="EH93" s="197"/>
      <c r="EI93" s="197"/>
      <c r="EJ93" s="197"/>
      <c r="EK93" s="197"/>
      <c r="EL93" s="197"/>
      <c r="EM93" s="197"/>
      <c r="EN93" s="197"/>
      <c r="EO93" s="197"/>
      <c r="EP93" s="197"/>
      <c r="EQ93" s="197"/>
      <c r="ER93" s="197"/>
      <c r="ES93" s="197"/>
      <c r="ET93" s="197"/>
      <c r="EU93" s="197"/>
      <c r="EV93" s="197"/>
      <c r="EW93" s="197"/>
      <c r="EX93" s="197"/>
      <c r="EY93" s="197"/>
      <c r="EZ93" s="197"/>
      <c r="FA93" s="197"/>
      <c r="FB93" s="197"/>
      <c r="FC93" s="197"/>
      <c r="FD93" s="197"/>
      <c r="FE93" s="197"/>
      <c r="FF93" s="197"/>
      <c r="FG93" s="197"/>
      <c r="FH93" s="197"/>
    </row>
    <row r="94" ht="13.65" customHeight="1">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c r="BU94" s="197"/>
      <c r="BV94" s="197"/>
      <c r="BW94" s="197"/>
      <c r="BX94" s="197"/>
      <c r="BY94" s="197"/>
      <c r="BZ94" s="197"/>
      <c r="CA94" s="197"/>
      <c r="CB94" s="197"/>
      <c r="CC94" s="197"/>
      <c r="CD94" s="197"/>
      <c r="CE94" s="197"/>
      <c r="CF94" s="197"/>
      <c r="CG94" s="197"/>
      <c r="CH94" s="197"/>
      <c r="CI94" s="197"/>
      <c r="CJ94" s="197"/>
      <c r="CK94" s="197"/>
      <c r="CL94" s="197"/>
      <c r="CM94" s="197"/>
      <c r="CN94" s="197"/>
      <c r="CO94" s="197"/>
      <c r="CP94" s="197"/>
      <c r="CQ94" s="197"/>
      <c r="CR94" s="197"/>
      <c r="CS94" s="197"/>
      <c r="CT94" s="197"/>
      <c r="CU94" s="197"/>
      <c r="CV94" s="197"/>
      <c r="CW94" s="197"/>
      <c r="CX94" s="197"/>
      <c r="CY94" s="197"/>
      <c r="CZ94" s="197"/>
      <c r="DA94" s="197"/>
      <c r="DB94" s="197"/>
      <c r="DC94" s="197"/>
      <c r="DD94" s="197"/>
      <c r="DE94" s="197"/>
      <c r="DF94" s="197"/>
      <c r="DG94" s="197"/>
      <c r="DH94" s="197"/>
      <c r="DI94" s="197"/>
      <c r="DJ94" s="197"/>
      <c r="DK94" s="197"/>
      <c r="DL94" s="197"/>
      <c r="DM94" s="197"/>
      <c r="DN94" s="197"/>
      <c r="DO94" s="197"/>
      <c r="DP94" s="197"/>
      <c r="DQ94" s="197"/>
      <c r="DR94" s="197"/>
      <c r="DS94" s="197"/>
      <c r="DT94" s="197"/>
      <c r="DU94" s="197"/>
      <c r="DV94" s="197"/>
      <c r="DW94" s="197"/>
      <c r="DX94" s="197"/>
      <c r="DY94" s="197"/>
      <c r="DZ94" s="197"/>
      <c r="EA94" s="197"/>
      <c r="EB94" s="197"/>
      <c r="EC94" s="197"/>
      <c r="ED94" s="197"/>
      <c r="EE94" s="197"/>
      <c r="EF94" s="197"/>
      <c r="EG94" s="197"/>
      <c r="EH94" s="197"/>
      <c r="EI94" s="197"/>
      <c r="EJ94" s="197"/>
      <c r="EK94" s="197"/>
      <c r="EL94" s="197"/>
      <c r="EM94" s="197"/>
      <c r="EN94" s="197"/>
      <c r="EO94" s="197"/>
      <c r="EP94" s="197"/>
      <c r="EQ94" s="197"/>
      <c r="ER94" s="197"/>
      <c r="ES94" s="197"/>
      <c r="ET94" s="197"/>
      <c r="EU94" s="197"/>
      <c r="EV94" s="197"/>
      <c r="EW94" s="197"/>
      <c r="EX94" s="197"/>
      <c r="EY94" s="197"/>
      <c r="EZ94" s="197"/>
      <c r="FA94" s="197"/>
      <c r="FB94" s="197"/>
      <c r="FC94" s="197"/>
      <c r="FD94" s="197"/>
      <c r="FE94" s="197"/>
      <c r="FF94" s="197"/>
      <c r="FG94" s="197"/>
      <c r="FH94" s="197"/>
    </row>
    <row r="95" ht="13.65" customHeight="1">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197"/>
      <c r="BG95" s="197"/>
      <c r="BH95" s="197"/>
      <c r="BI95" s="197"/>
      <c r="BJ95" s="197"/>
      <c r="BK95" s="197"/>
      <c r="BL95" s="197"/>
      <c r="BM95" s="197"/>
      <c r="BN95" s="197"/>
      <c r="BO95" s="197"/>
      <c r="BP95" s="197"/>
      <c r="BQ95" s="197"/>
      <c r="BR95" s="197"/>
      <c r="BS95" s="197"/>
      <c r="BT95" s="197"/>
      <c r="BU95" s="197"/>
      <c r="BV95" s="197"/>
      <c r="BW95" s="197"/>
      <c r="BX95" s="197"/>
      <c r="BY95" s="197"/>
      <c r="BZ95" s="197"/>
      <c r="CA95" s="197"/>
      <c r="CB95" s="197"/>
      <c r="CC95" s="197"/>
      <c r="CD95" s="197"/>
      <c r="CE95" s="197"/>
      <c r="CF95" s="197"/>
      <c r="CG95" s="197"/>
      <c r="CH95" s="197"/>
      <c r="CI95" s="197"/>
      <c r="CJ95" s="197"/>
      <c r="CK95" s="197"/>
      <c r="CL95" s="197"/>
      <c r="CM95" s="197"/>
      <c r="CN95" s="197"/>
      <c r="CO95" s="197"/>
      <c r="CP95" s="197"/>
      <c r="CQ95" s="197"/>
      <c r="CR95" s="197"/>
      <c r="CS95" s="197"/>
      <c r="CT95" s="197"/>
      <c r="CU95" s="197"/>
      <c r="CV95" s="197"/>
      <c r="CW95" s="197"/>
      <c r="CX95" s="197"/>
      <c r="CY95" s="197"/>
      <c r="CZ95" s="197"/>
      <c r="DA95" s="197"/>
      <c r="DB95" s="197"/>
      <c r="DC95" s="197"/>
      <c r="DD95" s="197"/>
      <c r="DE95" s="197"/>
      <c r="DF95" s="197"/>
      <c r="DG95" s="197"/>
      <c r="DH95" s="197"/>
      <c r="DI95" s="197"/>
      <c r="DJ95" s="197"/>
      <c r="DK95" s="197"/>
      <c r="DL95" s="197"/>
      <c r="DM95" s="197"/>
      <c r="DN95" s="197"/>
      <c r="DO95" s="197"/>
      <c r="DP95" s="197"/>
      <c r="DQ95" s="197"/>
      <c r="DR95" s="197"/>
      <c r="DS95" s="197"/>
      <c r="DT95" s="197"/>
      <c r="DU95" s="197"/>
      <c r="DV95" s="197"/>
      <c r="DW95" s="197"/>
      <c r="DX95" s="197"/>
      <c r="DY95" s="197"/>
      <c r="DZ95" s="197"/>
      <c r="EA95" s="197"/>
      <c r="EB95" s="197"/>
      <c r="EC95" s="197"/>
      <c r="ED95" s="197"/>
      <c r="EE95" s="197"/>
      <c r="EF95" s="197"/>
      <c r="EG95" s="197"/>
      <c r="EH95" s="197"/>
      <c r="EI95" s="197"/>
      <c r="EJ95" s="197"/>
      <c r="EK95" s="197"/>
      <c r="EL95" s="197"/>
      <c r="EM95" s="197"/>
      <c r="EN95" s="197"/>
      <c r="EO95" s="197"/>
      <c r="EP95" s="197"/>
      <c r="EQ95" s="197"/>
      <c r="ER95" s="197"/>
      <c r="ES95" s="197"/>
      <c r="ET95" s="197"/>
      <c r="EU95" s="197"/>
      <c r="EV95" s="197"/>
      <c r="EW95" s="197"/>
      <c r="EX95" s="197"/>
      <c r="EY95" s="197"/>
      <c r="EZ95" s="197"/>
      <c r="FA95" s="197"/>
      <c r="FB95" s="197"/>
      <c r="FC95" s="197"/>
      <c r="FD95" s="197"/>
      <c r="FE95" s="197"/>
      <c r="FF95" s="197"/>
      <c r="FG95" s="197"/>
      <c r="FH95" s="197"/>
    </row>
    <row r="96" ht="13.65" customHeight="1">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c r="BU96" s="197"/>
      <c r="BV96" s="197"/>
      <c r="BW96" s="197"/>
      <c r="BX96" s="197"/>
      <c r="BY96" s="197"/>
      <c r="BZ96" s="197"/>
      <c r="CA96" s="197"/>
      <c r="CB96" s="197"/>
      <c r="CC96" s="197"/>
      <c r="CD96" s="197"/>
      <c r="CE96" s="197"/>
      <c r="CF96" s="197"/>
      <c r="CG96" s="197"/>
      <c r="CH96" s="197"/>
      <c r="CI96" s="197"/>
      <c r="CJ96" s="197"/>
      <c r="CK96" s="197"/>
      <c r="CL96" s="197"/>
      <c r="CM96" s="197"/>
      <c r="CN96" s="197"/>
      <c r="CO96" s="197"/>
      <c r="CP96" s="197"/>
      <c r="CQ96" s="197"/>
      <c r="CR96" s="197"/>
      <c r="CS96" s="197"/>
      <c r="CT96" s="197"/>
      <c r="CU96" s="197"/>
      <c r="CV96" s="197"/>
      <c r="CW96" s="197"/>
      <c r="CX96" s="197"/>
      <c r="CY96" s="197"/>
      <c r="CZ96" s="197"/>
      <c r="DA96" s="197"/>
      <c r="DB96" s="197"/>
      <c r="DC96" s="197"/>
      <c r="DD96" s="197"/>
      <c r="DE96" s="197"/>
      <c r="DF96" s="197"/>
      <c r="DG96" s="197"/>
      <c r="DH96" s="197"/>
      <c r="DI96" s="197"/>
      <c r="DJ96" s="197"/>
      <c r="DK96" s="197"/>
      <c r="DL96" s="197"/>
      <c r="DM96" s="197"/>
      <c r="DN96" s="197"/>
      <c r="DO96" s="197"/>
      <c r="DP96" s="197"/>
      <c r="DQ96" s="197"/>
      <c r="DR96" s="197"/>
      <c r="DS96" s="197"/>
      <c r="DT96" s="197"/>
      <c r="DU96" s="197"/>
      <c r="DV96" s="197"/>
      <c r="DW96" s="197"/>
      <c r="DX96" s="197"/>
      <c r="DY96" s="197"/>
      <c r="DZ96" s="197"/>
      <c r="EA96" s="197"/>
      <c r="EB96" s="197"/>
      <c r="EC96" s="197"/>
      <c r="ED96" s="197"/>
      <c r="EE96" s="197"/>
      <c r="EF96" s="197"/>
      <c r="EG96" s="197"/>
      <c r="EH96" s="197"/>
      <c r="EI96" s="197"/>
      <c r="EJ96" s="197"/>
      <c r="EK96" s="197"/>
      <c r="EL96" s="197"/>
      <c r="EM96" s="197"/>
      <c r="EN96" s="197"/>
      <c r="EO96" s="197"/>
      <c r="EP96" s="197"/>
      <c r="EQ96" s="197"/>
      <c r="ER96" s="197"/>
      <c r="ES96" s="197"/>
      <c r="ET96" s="197"/>
      <c r="EU96" s="197"/>
      <c r="EV96" s="197"/>
      <c r="EW96" s="197"/>
      <c r="EX96" s="197"/>
      <c r="EY96" s="197"/>
      <c r="EZ96" s="197"/>
      <c r="FA96" s="197"/>
      <c r="FB96" s="197"/>
      <c r="FC96" s="197"/>
      <c r="FD96" s="197"/>
      <c r="FE96" s="197"/>
      <c r="FF96" s="197"/>
      <c r="FG96" s="197"/>
      <c r="FH96" s="197"/>
    </row>
    <row r="97" ht="13.65" customHeight="1">
      <c r="A97" s="197"/>
      <c r="B97" s="197"/>
      <c r="C97" s="197"/>
      <c r="D97" s="197"/>
      <c r="E97" s="197"/>
      <c r="F97" s="197"/>
      <c r="G97" s="197"/>
      <c r="H97" s="197"/>
      <c r="I97" s="352"/>
      <c r="J97" s="197"/>
      <c r="K97" s="197"/>
      <c r="L97" s="197"/>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197"/>
      <c r="BG97" s="197"/>
      <c r="BH97" s="197"/>
      <c r="BI97" s="197"/>
      <c r="BJ97" s="197"/>
      <c r="BK97" s="197"/>
      <c r="BL97" s="197"/>
      <c r="BM97" s="197"/>
      <c r="BN97" s="197"/>
      <c r="BO97" s="197"/>
      <c r="BP97" s="197"/>
      <c r="BQ97" s="197"/>
      <c r="BR97" s="197"/>
      <c r="BS97" s="197"/>
      <c r="BT97" s="197"/>
      <c r="BU97" s="197"/>
      <c r="BV97" s="197"/>
      <c r="BW97" s="197"/>
      <c r="BX97" s="197"/>
      <c r="BY97" s="197"/>
      <c r="BZ97" s="197"/>
      <c r="CA97" s="197"/>
      <c r="CB97" s="197"/>
      <c r="CC97" s="197"/>
      <c r="CD97" s="197"/>
      <c r="CE97" s="197"/>
      <c r="CF97" s="197"/>
      <c r="CG97" s="197"/>
      <c r="CH97" s="197"/>
      <c r="CI97" s="197"/>
      <c r="CJ97" s="197"/>
      <c r="CK97" s="197"/>
      <c r="CL97" s="197"/>
      <c r="CM97" s="197"/>
      <c r="CN97" s="197"/>
      <c r="CO97" s="197"/>
      <c r="CP97" s="197"/>
      <c r="CQ97" s="197"/>
      <c r="CR97" s="197"/>
      <c r="CS97" s="197"/>
      <c r="CT97" s="197"/>
      <c r="CU97" s="197"/>
      <c r="CV97" s="197"/>
      <c r="CW97" s="197"/>
      <c r="CX97" s="197"/>
      <c r="CY97" s="197"/>
      <c r="CZ97" s="197"/>
      <c r="DA97" s="197"/>
      <c r="DB97" s="197"/>
      <c r="DC97" s="197"/>
      <c r="DD97" s="197"/>
      <c r="DE97" s="197"/>
      <c r="DF97" s="197"/>
      <c r="DG97" s="197"/>
      <c r="DH97" s="197"/>
      <c r="DI97" s="197"/>
      <c r="DJ97" s="197"/>
      <c r="DK97" s="197"/>
      <c r="DL97" s="197"/>
      <c r="DM97" s="197"/>
      <c r="DN97" s="197"/>
      <c r="DO97" s="197"/>
      <c r="DP97" s="197"/>
      <c r="DQ97" s="197"/>
      <c r="DR97" s="197"/>
      <c r="DS97" s="197"/>
      <c r="DT97" s="197"/>
      <c r="DU97" s="197"/>
      <c r="DV97" s="197"/>
      <c r="DW97" s="197"/>
      <c r="DX97" s="197"/>
      <c r="DY97" s="197"/>
      <c r="DZ97" s="197"/>
      <c r="EA97" s="197"/>
      <c r="EB97" s="197"/>
      <c r="EC97" s="197"/>
      <c r="ED97" s="197"/>
      <c r="EE97" s="197"/>
      <c r="EF97" s="197"/>
      <c r="EG97" s="197"/>
      <c r="EH97" s="197"/>
      <c r="EI97" s="197"/>
      <c r="EJ97" s="197"/>
      <c r="EK97" s="197"/>
      <c r="EL97" s="197"/>
      <c r="EM97" s="197"/>
      <c r="EN97" s="197"/>
      <c r="EO97" s="197"/>
      <c r="EP97" s="197"/>
      <c r="EQ97" s="197"/>
      <c r="ER97" s="197"/>
      <c r="ES97" s="197"/>
      <c r="ET97" s="197"/>
      <c r="EU97" s="197"/>
      <c r="EV97" s="197"/>
      <c r="EW97" s="197"/>
      <c r="EX97" s="197"/>
      <c r="EY97" s="197"/>
      <c r="EZ97" s="197"/>
      <c r="FA97" s="197"/>
      <c r="FB97" s="197"/>
      <c r="FC97" s="197"/>
      <c r="FD97" s="197"/>
      <c r="FE97" s="197"/>
      <c r="FF97" s="197"/>
      <c r="FG97" s="197"/>
      <c r="FH97" s="197"/>
    </row>
    <row r="98" ht="31.5" customHeight="1">
      <c r="A98" s="197"/>
      <c r="B98" s="197"/>
      <c r="C98" s="197"/>
      <c r="D98" s="197"/>
      <c r="E98" s="197"/>
      <c r="F98" s="197"/>
      <c r="G98" s="197"/>
      <c r="H98" s="241"/>
      <c r="I98" t="s" s="353">
        <v>68</v>
      </c>
      <c r="J98" s="354"/>
      <c r="K98" s="197"/>
      <c r="L98" s="197"/>
      <c r="M98" s="197"/>
      <c r="N98" s="197"/>
      <c r="O98" s="197"/>
      <c r="P98" s="197"/>
      <c r="Q98" s="197"/>
      <c r="R98" s="197"/>
      <c r="S98" s="197"/>
      <c r="T98" s="197"/>
      <c r="U98" s="197"/>
      <c r="V98" s="197"/>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197"/>
      <c r="BG98" s="197"/>
      <c r="BH98" s="197"/>
      <c r="BI98" s="197"/>
      <c r="BJ98" s="197"/>
      <c r="BK98" s="197"/>
      <c r="BL98" s="197"/>
      <c r="BM98" s="197"/>
      <c r="BN98" s="197"/>
      <c r="BO98" s="197"/>
      <c r="BP98" s="197"/>
      <c r="BQ98" s="197"/>
      <c r="BR98" s="197"/>
      <c r="BS98" s="197"/>
      <c r="BT98" s="197"/>
      <c r="BU98" s="197"/>
      <c r="BV98" s="197"/>
      <c r="BW98" s="197"/>
      <c r="BX98" s="197"/>
      <c r="BY98" s="197"/>
      <c r="BZ98" s="197"/>
      <c r="CA98" s="197"/>
      <c r="CB98" s="197"/>
      <c r="CC98" s="197"/>
      <c r="CD98" s="197"/>
      <c r="CE98" s="197"/>
      <c r="CF98" s="197"/>
      <c r="CG98" s="197"/>
      <c r="CH98" s="197"/>
      <c r="CI98" s="197"/>
      <c r="CJ98" s="197"/>
      <c r="CK98" s="197"/>
      <c r="CL98" s="197"/>
      <c r="CM98" s="197"/>
      <c r="CN98" s="197"/>
      <c r="CO98" s="197"/>
      <c r="CP98" s="197"/>
      <c r="CQ98" s="197"/>
      <c r="CR98" s="197"/>
      <c r="CS98" s="197"/>
      <c r="CT98" s="197"/>
      <c r="CU98" s="197"/>
      <c r="CV98" s="197"/>
      <c r="CW98" s="197"/>
      <c r="CX98" s="197"/>
      <c r="CY98" s="197"/>
      <c r="CZ98" s="197"/>
      <c r="DA98" s="197"/>
      <c r="DB98" s="197"/>
      <c r="DC98" s="197"/>
      <c r="DD98" s="197"/>
      <c r="DE98" s="197"/>
      <c r="DF98" s="197"/>
      <c r="DG98" s="197"/>
      <c r="DH98" s="197"/>
      <c r="DI98" s="197"/>
      <c r="DJ98" s="197"/>
      <c r="DK98" s="197"/>
      <c r="DL98" s="197"/>
      <c r="DM98" s="197"/>
      <c r="DN98" s="197"/>
      <c r="DO98" s="197"/>
      <c r="DP98" s="197"/>
      <c r="DQ98" s="197"/>
      <c r="DR98" s="197"/>
      <c r="DS98" s="197"/>
      <c r="DT98" s="197"/>
      <c r="DU98" s="197"/>
      <c r="DV98" s="197"/>
      <c r="DW98" s="197"/>
      <c r="DX98" s="197"/>
      <c r="DY98" s="197"/>
      <c r="DZ98" s="197"/>
      <c r="EA98" s="197"/>
      <c r="EB98" s="197"/>
      <c r="EC98" s="197"/>
      <c r="ED98" s="197"/>
      <c r="EE98" s="197"/>
      <c r="EF98" s="197"/>
      <c r="EG98" s="197"/>
      <c r="EH98" s="197"/>
      <c r="EI98" s="197"/>
      <c r="EJ98" s="197"/>
      <c r="EK98" s="197"/>
      <c r="EL98" s="197"/>
      <c r="EM98" s="197"/>
      <c r="EN98" s="197"/>
      <c r="EO98" s="197"/>
      <c r="EP98" s="197"/>
      <c r="EQ98" s="197"/>
      <c r="ER98" s="197"/>
      <c r="ES98" s="197"/>
      <c r="ET98" s="197"/>
      <c r="EU98" s="197"/>
      <c r="EV98" s="197"/>
      <c r="EW98" s="197"/>
      <c r="EX98" s="197"/>
      <c r="EY98" s="197"/>
      <c r="EZ98" s="197"/>
      <c r="FA98" s="197"/>
      <c r="FB98" s="197"/>
      <c r="FC98" s="197"/>
      <c r="FD98" s="197"/>
      <c r="FE98" s="197"/>
      <c r="FF98" s="197"/>
      <c r="FG98" s="197"/>
      <c r="FH98" s="197"/>
    </row>
    <row r="99" ht="15.75" customHeight="1">
      <c r="A99" s="197"/>
      <c r="B99" s="197"/>
      <c r="C99" s="197"/>
      <c r="D99" s="197"/>
      <c r="E99" s="197"/>
      <c r="F99" s="197"/>
      <c r="G99" s="197"/>
      <c r="H99" s="241"/>
      <c r="I99" t="s" s="353">
        <v>72</v>
      </c>
      <c r="J99" s="354"/>
      <c r="K99" s="197"/>
      <c r="L99" s="197"/>
      <c r="M99" s="197"/>
      <c r="N99" s="197"/>
      <c r="O99" s="197"/>
      <c r="P99" s="197"/>
      <c r="Q99" s="197"/>
      <c r="R99" s="197"/>
      <c r="S99" s="197"/>
      <c r="T99" s="197"/>
      <c r="U99" s="197"/>
      <c r="V99" s="197"/>
      <c r="W99" s="197"/>
      <c r="X99" s="197"/>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c r="BD99" s="197"/>
      <c r="BE99" s="197"/>
      <c r="BF99" s="197"/>
      <c r="BG99" s="197"/>
      <c r="BH99" s="197"/>
      <c r="BI99" s="197"/>
      <c r="BJ99" s="197"/>
      <c r="BK99" s="197"/>
      <c r="BL99" s="197"/>
      <c r="BM99" s="197"/>
      <c r="BN99" s="197"/>
      <c r="BO99" s="197"/>
      <c r="BP99" s="197"/>
      <c r="BQ99" s="197"/>
      <c r="BR99" s="197"/>
      <c r="BS99" s="197"/>
      <c r="BT99" s="197"/>
      <c r="BU99" s="197"/>
      <c r="BV99" s="197"/>
      <c r="BW99" s="197"/>
      <c r="BX99" s="197"/>
      <c r="BY99" s="197"/>
      <c r="BZ99" s="197"/>
      <c r="CA99" s="197"/>
      <c r="CB99" s="197"/>
      <c r="CC99" s="197"/>
      <c r="CD99" s="197"/>
      <c r="CE99" s="197"/>
      <c r="CF99" s="197"/>
      <c r="CG99" s="197"/>
      <c r="CH99" s="197"/>
      <c r="CI99" s="197"/>
      <c r="CJ99" s="197"/>
      <c r="CK99" s="197"/>
      <c r="CL99" s="197"/>
      <c r="CM99" s="197"/>
      <c r="CN99" s="197"/>
      <c r="CO99" s="197"/>
      <c r="CP99" s="197"/>
      <c r="CQ99" s="197"/>
      <c r="CR99" s="197"/>
      <c r="CS99" s="197"/>
      <c r="CT99" s="197"/>
      <c r="CU99" s="197"/>
      <c r="CV99" s="197"/>
      <c r="CW99" s="197"/>
      <c r="CX99" s="197"/>
      <c r="CY99" s="197"/>
      <c r="CZ99" s="197"/>
      <c r="DA99" s="197"/>
      <c r="DB99" s="197"/>
      <c r="DC99" s="197"/>
      <c r="DD99" s="197"/>
      <c r="DE99" s="197"/>
      <c r="DF99" s="197"/>
      <c r="DG99" s="197"/>
      <c r="DH99" s="197"/>
      <c r="DI99" s="197"/>
      <c r="DJ99" s="197"/>
      <c r="DK99" s="197"/>
      <c r="DL99" s="197"/>
      <c r="DM99" s="197"/>
      <c r="DN99" s="197"/>
      <c r="DO99" s="197"/>
      <c r="DP99" s="197"/>
      <c r="DQ99" s="197"/>
      <c r="DR99" s="197"/>
      <c r="DS99" s="197"/>
      <c r="DT99" s="197"/>
      <c r="DU99" s="197"/>
      <c r="DV99" s="197"/>
      <c r="DW99" s="197"/>
      <c r="DX99" s="197"/>
      <c r="DY99" s="197"/>
      <c r="DZ99" s="197"/>
      <c r="EA99" s="197"/>
      <c r="EB99" s="197"/>
      <c r="EC99" s="197"/>
      <c r="ED99" s="197"/>
      <c r="EE99" s="197"/>
      <c r="EF99" s="197"/>
      <c r="EG99" s="197"/>
      <c r="EH99" s="197"/>
      <c r="EI99" s="197"/>
      <c r="EJ99" s="197"/>
      <c r="EK99" s="197"/>
      <c r="EL99" s="197"/>
      <c r="EM99" s="197"/>
      <c r="EN99" s="197"/>
      <c r="EO99" s="197"/>
      <c r="EP99" s="197"/>
      <c r="EQ99" s="197"/>
      <c r="ER99" s="197"/>
      <c r="ES99" s="197"/>
      <c r="ET99" s="197"/>
      <c r="EU99" s="197"/>
      <c r="EV99" s="197"/>
      <c r="EW99" s="197"/>
      <c r="EX99" s="197"/>
      <c r="EY99" s="197"/>
      <c r="EZ99" s="197"/>
      <c r="FA99" s="197"/>
      <c r="FB99" s="197"/>
      <c r="FC99" s="197"/>
      <c r="FD99" s="197"/>
      <c r="FE99" s="197"/>
      <c r="FF99" s="197"/>
      <c r="FG99" s="197"/>
      <c r="FH99" s="197"/>
    </row>
    <row r="100" ht="15.75" customHeight="1">
      <c r="A100" s="197"/>
      <c r="B100" s="197"/>
      <c r="C100" s="197"/>
      <c r="D100" s="197"/>
      <c r="E100" s="197"/>
      <c r="F100" s="197"/>
      <c r="G100" s="197"/>
      <c r="H100" s="241"/>
      <c r="I100" t="s" s="353">
        <v>75</v>
      </c>
      <c r="J100" s="354"/>
      <c r="K100" s="197"/>
      <c r="L100" s="197"/>
      <c r="M100" s="197"/>
      <c r="N100" s="197"/>
      <c r="O100" s="197"/>
      <c r="P100" s="197"/>
      <c r="Q100" s="197"/>
      <c r="R100" s="197"/>
      <c r="S100" s="197"/>
      <c r="T100" s="197"/>
      <c r="U100" s="197"/>
      <c r="V100" s="197"/>
      <c r="W100" s="197"/>
      <c r="X100" s="197"/>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c r="BD100" s="197"/>
      <c r="BE100" s="197"/>
      <c r="BF100" s="197"/>
      <c r="BG100" s="197"/>
      <c r="BH100" s="197"/>
      <c r="BI100" s="197"/>
      <c r="BJ100" s="197"/>
      <c r="BK100" s="197"/>
      <c r="BL100" s="197"/>
      <c r="BM100" s="197"/>
      <c r="BN100" s="197"/>
      <c r="BO100" s="197"/>
      <c r="BP100" s="197"/>
      <c r="BQ100" s="197"/>
      <c r="BR100" s="197"/>
      <c r="BS100" s="197"/>
      <c r="BT100" s="197"/>
      <c r="BU100" s="197"/>
      <c r="BV100" s="197"/>
      <c r="BW100" s="197"/>
      <c r="BX100" s="197"/>
      <c r="BY100" s="197"/>
      <c r="BZ100" s="197"/>
      <c r="CA100" s="197"/>
      <c r="CB100" s="197"/>
      <c r="CC100" s="197"/>
      <c r="CD100" s="197"/>
      <c r="CE100" s="197"/>
      <c r="CF100" s="197"/>
      <c r="CG100" s="197"/>
      <c r="CH100" s="197"/>
      <c r="CI100" s="197"/>
      <c r="CJ100" s="197"/>
      <c r="CK100" s="197"/>
      <c r="CL100" s="197"/>
      <c r="CM100" s="197"/>
      <c r="CN100" s="197"/>
      <c r="CO100" s="197"/>
      <c r="CP100" s="197"/>
      <c r="CQ100" s="197"/>
      <c r="CR100" s="197"/>
      <c r="CS100" s="197"/>
      <c r="CT100" s="197"/>
      <c r="CU100" s="197"/>
      <c r="CV100" s="197"/>
      <c r="CW100" s="197"/>
      <c r="CX100" s="197"/>
      <c r="CY100" s="197"/>
      <c r="CZ100" s="197"/>
      <c r="DA100" s="197"/>
      <c r="DB100" s="197"/>
      <c r="DC100" s="197"/>
      <c r="DD100" s="197"/>
      <c r="DE100" s="197"/>
      <c r="DF100" s="197"/>
      <c r="DG100" s="197"/>
      <c r="DH100" s="197"/>
      <c r="DI100" s="197"/>
      <c r="DJ100" s="197"/>
      <c r="DK100" s="197"/>
      <c r="DL100" s="197"/>
      <c r="DM100" s="197"/>
      <c r="DN100" s="197"/>
      <c r="DO100" s="197"/>
      <c r="DP100" s="197"/>
      <c r="DQ100" s="197"/>
      <c r="DR100" s="197"/>
      <c r="DS100" s="197"/>
      <c r="DT100" s="197"/>
      <c r="DU100" s="197"/>
      <c r="DV100" s="197"/>
      <c r="DW100" s="197"/>
      <c r="DX100" s="197"/>
      <c r="DY100" s="197"/>
      <c r="DZ100" s="197"/>
      <c r="EA100" s="197"/>
      <c r="EB100" s="197"/>
      <c r="EC100" s="197"/>
      <c r="ED100" s="197"/>
      <c r="EE100" s="197"/>
      <c r="EF100" s="197"/>
      <c r="EG100" s="197"/>
      <c r="EH100" s="197"/>
      <c r="EI100" s="197"/>
      <c r="EJ100" s="197"/>
      <c r="EK100" s="197"/>
      <c r="EL100" s="197"/>
      <c r="EM100" s="197"/>
      <c r="EN100" s="197"/>
      <c r="EO100" s="197"/>
      <c r="EP100" s="197"/>
      <c r="EQ100" s="197"/>
      <c r="ER100" s="197"/>
      <c r="ES100" s="197"/>
      <c r="ET100" s="197"/>
      <c r="EU100" s="197"/>
      <c r="EV100" s="197"/>
      <c r="EW100" s="197"/>
      <c r="EX100" s="197"/>
      <c r="EY100" s="197"/>
      <c r="EZ100" s="197"/>
      <c r="FA100" s="197"/>
      <c r="FB100" s="197"/>
      <c r="FC100" s="197"/>
      <c r="FD100" s="197"/>
      <c r="FE100" s="197"/>
      <c r="FF100" s="197"/>
      <c r="FG100" s="197"/>
      <c r="FH100" s="197"/>
    </row>
    <row r="101" ht="15.75" customHeight="1">
      <c r="A101" s="197"/>
      <c r="B101" s="197"/>
      <c r="C101" s="197"/>
      <c r="D101" s="197"/>
      <c r="E101" s="197"/>
      <c r="F101" s="197"/>
      <c r="G101" s="197"/>
      <c r="H101" s="241"/>
      <c r="I101" t="s" s="353">
        <v>78</v>
      </c>
      <c r="J101" s="354"/>
      <c r="K101" s="197"/>
      <c r="L101" s="197"/>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7"/>
      <c r="BK101" s="197"/>
      <c r="BL101" s="197"/>
      <c r="BM101" s="197"/>
      <c r="BN101" s="197"/>
      <c r="BO101" s="197"/>
      <c r="BP101" s="197"/>
      <c r="BQ101" s="197"/>
      <c r="BR101" s="197"/>
      <c r="BS101" s="197"/>
      <c r="BT101" s="197"/>
      <c r="BU101" s="197"/>
      <c r="BV101" s="197"/>
      <c r="BW101" s="197"/>
      <c r="BX101" s="197"/>
      <c r="BY101" s="197"/>
      <c r="BZ101" s="197"/>
      <c r="CA101" s="197"/>
      <c r="CB101" s="197"/>
      <c r="CC101" s="197"/>
      <c r="CD101" s="197"/>
      <c r="CE101" s="197"/>
      <c r="CF101" s="197"/>
      <c r="CG101" s="197"/>
      <c r="CH101" s="197"/>
      <c r="CI101" s="197"/>
      <c r="CJ101" s="197"/>
      <c r="CK101" s="197"/>
      <c r="CL101" s="197"/>
      <c r="CM101" s="197"/>
      <c r="CN101" s="197"/>
      <c r="CO101" s="197"/>
      <c r="CP101" s="197"/>
      <c r="CQ101" s="197"/>
      <c r="CR101" s="197"/>
      <c r="CS101" s="197"/>
      <c r="CT101" s="197"/>
      <c r="CU101" s="197"/>
      <c r="CV101" s="197"/>
      <c r="CW101" s="197"/>
      <c r="CX101" s="197"/>
      <c r="CY101" s="197"/>
      <c r="CZ101" s="197"/>
      <c r="DA101" s="197"/>
      <c r="DB101" s="197"/>
      <c r="DC101" s="197"/>
      <c r="DD101" s="197"/>
      <c r="DE101" s="197"/>
      <c r="DF101" s="197"/>
      <c r="DG101" s="197"/>
      <c r="DH101" s="197"/>
      <c r="DI101" s="197"/>
      <c r="DJ101" s="197"/>
      <c r="DK101" s="197"/>
      <c r="DL101" s="197"/>
      <c r="DM101" s="197"/>
      <c r="DN101" s="197"/>
      <c r="DO101" s="197"/>
      <c r="DP101" s="197"/>
      <c r="DQ101" s="197"/>
      <c r="DR101" s="197"/>
      <c r="DS101" s="197"/>
      <c r="DT101" s="197"/>
      <c r="DU101" s="197"/>
      <c r="DV101" s="197"/>
      <c r="DW101" s="197"/>
      <c r="DX101" s="197"/>
      <c r="DY101" s="197"/>
      <c r="DZ101" s="197"/>
      <c r="EA101" s="197"/>
      <c r="EB101" s="197"/>
      <c r="EC101" s="197"/>
      <c r="ED101" s="197"/>
      <c r="EE101" s="197"/>
      <c r="EF101" s="197"/>
      <c r="EG101" s="197"/>
      <c r="EH101" s="197"/>
      <c r="EI101" s="197"/>
      <c r="EJ101" s="197"/>
      <c r="EK101" s="197"/>
      <c r="EL101" s="197"/>
      <c r="EM101" s="197"/>
      <c r="EN101" s="197"/>
      <c r="EO101" s="197"/>
      <c r="EP101" s="197"/>
      <c r="EQ101" s="197"/>
      <c r="ER101" s="197"/>
      <c r="ES101" s="197"/>
      <c r="ET101" s="197"/>
      <c r="EU101" s="197"/>
      <c r="EV101" s="197"/>
      <c r="EW101" s="197"/>
      <c r="EX101" s="197"/>
      <c r="EY101" s="197"/>
      <c r="EZ101" s="197"/>
      <c r="FA101" s="197"/>
      <c r="FB101" s="197"/>
      <c r="FC101" s="197"/>
      <c r="FD101" s="197"/>
      <c r="FE101" s="197"/>
      <c r="FF101" s="197"/>
      <c r="FG101" s="197"/>
      <c r="FH101" s="197"/>
    </row>
    <row r="102" ht="32.25" customHeight="1">
      <c r="A102" s="197"/>
      <c r="B102" s="197"/>
      <c r="C102" s="197"/>
      <c r="D102" s="197"/>
      <c r="E102" s="197"/>
      <c r="F102" s="197"/>
      <c r="G102" s="197"/>
      <c r="H102" s="241"/>
      <c r="I102" t="s" s="355">
        <v>81</v>
      </c>
      <c r="J102" s="354"/>
      <c r="K102" s="197"/>
      <c r="L102" s="197"/>
      <c r="M102" s="197"/>
      <c r="N102" s="197"/>
      <c r="O102" s="197"/>
      <c r="P102" s="197"/>
      <c r="Q102" s="197"/>
      <c r="R102" s="197"/>
      <c r="S102" s="197"/>
      <c r="T102" s="197"/>
      <c r="U102" s="197"/>
      <c r="V102" s="197"/>
      <c r="W102" s="197"/>
      <c r="X102" s="197"/>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c r="BD102" s="197"/>
      <c r="BE102" s="197"/>
      <c r="BF102" s="197"/>
      <c r="BG102" s="197"/>
      <c r="BH102" s="197"/>
      <c r="BI102" s="197"/>
      <c r="BJ102" s="197"/>
      <c r="BK102" s="197"/>
      <c r="BL102" s="197"/>
      <c r="BM102" s="197"/>
      <c r="BN102" s="197"/>
      <c r="BO102" s="197"/>
      <c r="BP102" s="197"/>
      <c r="BQ102" s="197"/>
      <c r="BR102" s="197"/>
      <c r="BS102" s="197"/>
      <c r="BT102" s="197"/>
      <c r="BU102" s="197"/>
      <c r="BV102" s="197"/>
      <c r="BW102" s="197"/>
      <c r="BX102" s="197"/>
      <c r="BY102" s="197"/>
      <c r="BZ102" s="197"/>
      <c r="CA102" s="197"/>
      <c r="CB102" s="197"/>
      <c r="CC102" s="197"/>
      <c r="CD102" s="197"/>
      <c r="CE102" s="197"/>
      <c r="CF102" s="197"/>
      <c r="CG102" s="197"/>
      <c r="CH102" s="197"/>
      <c r="CI102" s="197"/>
      <c r="CJ102" s="197"/>
      <c r="CK102" s="197"/>
      <c r="CL102" s="197"/>
      <c r="CM102" s="197"/>
      <c r="CN102" s="197"/>
      <c r="CO102" s="197"/>
      <c r="CP102" s="197"/>
      <c r="CQ102" s="197"/>
      <c r="CR102" s="197"/>
      <c r="CS102" s="197"/>
      <c r="CT102" s="197"/>
      <c r="CU102" s="197"/>
      <c r="CV102" s="197"/>
      <c r="CW102" s="197"/>
      <c r="CX102" s="197"/>
      <c r="CY102" s="197"/>
      <c r="CZ102" s="197"/>
      <c r="DA102" s="197"/>
      <c r="DB102" s="197"/>
      <c r="DC102" s="197"/>
      <c r="DD102" s="197"/>
      <c r="DE102" s="197"/>
      <c r="DF102" s="197"/>
      <c r="DG102" s="197"/>
      <c r="DH102" s="197"/>
      <c r="DI102" s="197"/>
      <c r="DJ102" s="197"/>
      <c r="DK102" s="197"/>
      <c r="DL102" s="197"/>
      <c r="DM102" s="197"/>
      <c r="DN102" s="197"/>
      <c r="DO102" s="197"/>
      <c r="DP102" s="197"/>
      <c r="DQ102" s="197"/>
      <c r="DR102" s="197"/>
      <c r="DS102" s="197"/>
      <c r="DT102" s="197"/>
      <c r="DU102" s="197"/>
      <c r="DV102" s="197"/>
      <c r="DW102" s="197"/>
      <c r="DX102" s="197"/>
      <c r="DY102" s="197"/>
      <c r="DZ102" s="197"/>
      <c r="EA102" s="197"/>
      <c r="EB102" s="197"/>
      <c r="EC102" s="197"/>
      <c r="ED102" s="197"/>
      <c r="EE102" s="197"/>
      <c r="EF102" s="197"/>
      <c r="EG102" s="197"/>
      <c r="EH102" s="197"/>
      <c r="EI102" s="197"/>
      <c r="EJ102" s="197"/>
      <c r="EK102" s="197"/>
      <c r="EL102" s="197"/>
      <c r="EM102" s="197"/>
      <c r="EN102" s="197"/>
      <c r="EO102" s="197"/>
      <c r="EP102" s="197"/>
      <c r="EQ102" s="197"/>
      <c r="ER102" s="197"/>
      <c r="ES102" s="197"/>
      <c r="ET102" s="197"/>
      <c r="EU102" s="197"/>
      <c r="EV102" s="197"/>
      <c r="EW102" s="197"/>
      <c r="EX102" s="197"/>
      <c r="EY102" s="197"/>
      <c r="EZ102" s="197"/>
      <c r="FA102" s="197"/>
      <c r="FB102" s="197"/>
      <c r="FC102" s="197"/>
      <c r="FD102" s="197"/>
      <c r="FE102" s="197"/>
      <c r="FF102" s="197"/>
      <c r="FG102" s="197"/>
      <c r="FH102" s="197"/>
    </row>
    <row r="103" ht="14.15" customHeight="1">
      <c r="A103" s="197"/>
      <c r="B103" s="197"/>
      <c r="C103" s="197"/>
      <c r="D103" s="197"/>
      <c r="E103" s="197"/>
      <c r="F103" s="197"/>
      <c r="G103" s="197"/>
      <c r="H103" s="197"/>
      <c r="I103" t="s" s="356">
        <v>84</v>
      </c>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c r="BD103" s="197"/>
      <c r="BE103" s="197"/>
      <c r="BF103" s="197"/>
      <c r="BG103" s="197"/>
      <c r="BH103" s="197"/>
      <c r="BI103" s="197"/>
      <c r="BJ103" s="197"/>
      <c r="BK103" s="197"/>
      <c r="BL103" s="197"/>
      <c r="BM103" s="197"/>
      <c r="BN103" s="197"/>
      <c r="BO103" s="197"/>
      <c r="BP103" s="197"/>
      <c r="BQ103" s="197"/>
      <c r="BR103" s="197"/>
      <c r="BS103" s="197"/>
      <c r="BT103" s="197"/>
      <c r="BU103" s="197"/>
      <c r="BV103" s="197"/>
      <c r="BW103" s="197"/>
      <c r="BX103" s="197"/>
      <c r="BY103" s="197"/>
      <c r="BZ103" s="197"/>
      <c r="CA103" s="197"/>
      <c r="CB103" s="197"/>
      <c r="CC103" s="197"/>
      <c r="CD103" s="197"/>
      <c r="CE103" s="197"/>
      <c r="CF103" s="197"/>
      <c r="CG103" s="197"/>
      <c r="CH103" s="197"/>
      <c r="CI103" s="197"/>
      <c r="CJ103" s="197"/>
      <c r="CK103" s="197"/>
      <c r="CL103" s="197"/>
      <c r="CM103" s="197"/>
      <c r="CN103" s="197"/>
      <c r="CO103" s="197"/>
      <c r="CP103" s="197"/>
      <c r="CQ103" s="197"/>
      <c r="CR103" s="197"/>
      <c r="CS103" s="197"/>
      <c r="CT103" s="197"/>
      <c r="CU103" s="197"/>
      <c r="CV103" s="197"/>
      <c r="CW103" s="197"/>
      <c r="CX103" s="197"/>
      <c r="CY103" s="197"/>
      <c r="CZ103" s="197"/>
      <c r="DA103" s="197"/>
      <c r="DB103" s="197"/>
      <c r="DC103" s="197"/>
      <c r="DD103" s="197"/>
      <c r="DE103" s="197"/>
      <c r="DF103" s="197"/>
      <c r="DG103" s="197"/>
      <c r="DH103" s="197"/>
      <c r="DI103" s="197"/>
      <c r="DJ103" s="197"/>
      <c r="DK103" s="197"/>
      <c r="DL103" s="197"/>
      <c r="DM103" s="197"/>
      <c r="DN103" s="197"/>
      <c r="DO103" s="197"/>
      <c r="DP103" s="197"/>
      <c r="DQ103" s="197"/>
      <c r="DR103" s="197"/>
      <c r="DS103" s="197"/>
      <c r="DT103" s="197"/>
      <c r="DU103" s="197"/>
      <c r="DV103" s="197"/>
      <c r="DW103" s="197"/>
      <c r="DX103" s="197"/>
      <c r="DY103" s="197"/>
      <c r="DZ103" s="197"/>
      <c r="EA103" s="197"/>
      <c r="EB103" s="197"/>
      <c r="EC103" s="197"/>
      <c r="ED103" s="197"/>
      <c r="EE103" s="197"/>
      <c r="EF103" s="197"/>
      <c r="EG103" s="197"/>
      <c r="EH103" s="197"/>
      <c r="EI103" s="197"/>
      <c r="EJ103" s="197"/>
      <c r="EK103" s="197"/>
      <c r="EL103" s="197"/>
      <c r="EM103" s="197"/>
      <c r="EN103" s="197"/>
      <c r="EO103" s="197"/>
      <c r="EP103" s="197"/>
      <c r="EQ103" s="197"/>
      <c r="ER103" s="197"/>
      <c r="ES103" s="197"/>
      <c r="ET103" s="197"/>
      <c r="EU103" s="197"/>
      <c r="EV103" s="197"/>
      <c r="EW103" s="197"/>
      <c r="EX103" s="197"/>
      <c r="EY103" s="197"/>
      <c r="EZ103" s="197"/>
      <c r="FA103" s="197"/>
      <c r="FB103" s="197"/>
      <c r="FC103" s="197"/>
      <c r="FD103" s="197"/>
      <c r="FE103" s="197"/>
      <c r="FF103" s="197"/>
      <c r="FG103" s="197"/>
      <c r="FH103" s="197"/>
    </row>
  </sheetData>
  <mergeCells count="47">
    <mergeCell ref="I46:K46"/>
    <mergeCell ref="B26:G26"/>
    <mergeCell ref="G44:I44"/>
    <mergeCell ref="F29:G29"/>
    <mergeCell ref="F30:G30"/>
    <mergeCell ref="F31:G31"/>
    <mergeCell ref="B33:C33"/>
    <mergeCell ref="B36:E36"/>
    <mergeCell ref="B46:C46"/>
    <mergeCell ref="B31:D31"/>
    <mergeCell ref="F27:G27"/>
    <mergeCell ref="B27:D27"/>
    <mergeCell ref="B23:C23"/>
    <mergeCell ref="E23:G23"/>
    <mergeCell ref="B28:D28"/>
    <mergeCell ref="F28:G28"/>
    <mergeCell ref="I5:K8"/>
    <mergeCell ref="K14:K15"/>
    <mergeCell ref="D7:G7"/>
    <mergeCell ref="E13:J13"/>
    <mergeCell ref="K21:K22"/>
    <mergeCell ref="D9:G9"/>
    <mergeCell ref="E20:J20"/>
    <mergeCell ref="H21:I21"/>
    <mergeCell ref="B16:C16"/>
    <mergeCell ref="B17:C17"/>
    <mergeCell ref="B20:C20"/>
    <mergeCell ref="J21:J22"/>
    <mergeCell ref="E16:G16"/>
    <mergeCell ref="B2:J2"/>
    <mergeCell ref="B14:C15"/>
    <mergeCell ref="H14:I14"/>
    <mergeCell ref="B3:J3"/>
    <mergeCell ref="B13:C13"/>
    <mergeCell ref="J14:J15"/>
    <mergeCell ref="D10:G10"/>
    <mergeCell ref="D8:G8"/>
    <mergeCell ref="D4:G4"/>
    <mergeCell ref="D5:G5"/>
    <mergeCell ref="D6:G6"/>
    <mergeCell ref="E14:G15"/>
    <mergeCell ref="E17:G17"/>
    <mergeCell ref="E18:G18"/>
    <mergeCell ref="A21:A22"/>
    <mergeCell ref="B21:C22"/>
    <mergeCell ref="E21:G22"/>
    <mergeCell ref="B18:C18"/>
  </mergeCells>
  <dataValidations count="1">
    <dataValidation type="list" allowBlank="1" showInputMessage="1" showErrorMessage="1" sqref="I16:I18 I23">
      <formula1>"مميز وكفء,فعال,جيد,مقبول,غير مرض,ضعيف"</formula1>
    </dataValidation>
  </dataValidations>
  <pageMargins left="0.314961" right="0.354331" top="0.275591" bottom="0.23622" header="0.19685" footer="0.15748"/>
  <pageSetup firstPageNumber="1" fitToHeight="1" fitToWidth="1" scale="59"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H68"/>
  <sheetViews>
    <sheetView workbookViewId="0" showGridLines="0" rightToLeft="1" defaultGridColor="1"/>
  </sheetViews>
  <sheetFormatPr defaultColWidth="8.83333" defaultRowHeight="12.75" customHeight="1" outlineLevelRow="0" outlineLevelCol="0"/>
  <cols>
    <col min="1" max="1" width="3.5" style="357" customWidth="1"/>
    <col min="2" max="2" width="11.3516" style="357" customWidth="1"/>
    <col min="3" max="6" width="32.5" style="357" customWidth="1"/>
    <col min="7" max="8" width="20.8516" style="357" customWidth="1"/>
    <col min="9" max="16384" width="8.85156" style="357" customWidth="1"/>
  </cols>
  <sheetData>
    <row r="1" ht="13.5" customHeight="1">
      <c r="A1" s="358"/>
      <c r="B1" s="359"/>
      <c r="C1" s="360"/>
      <c r="D1" s="360"/>
      <c r="E1" s="360"/>
      <c r="F1" s="360"/>
      <c r="G1" s="360"/>
      <c r="H1" s="361"/>
    </row>
    <row r="2" ht="18.75" customHeight="1">
      <c r="A2" s="362"/>
      <c r="B2" s="363"/>
      <c r="C2" s="102"/>
      <c r="D2" s="364"/>
      <c r="E2" s="364"/>
      <c r="F2" s="364"/>
      <c r="G2" s="364"/>
      <c r="H2" s="365"/>
    </row>
    <row r="3" ht="25.5" customHeight="1">
      <c r="A3" s="362"/>
      <c r="B3" s="363"/>
      <c r="C3" s="366"/>
      <c r="D3" s="367"/>
      <c r="E3" s="367"/>
      <c r="F3" s="367"/>
      <c r="G3" s="367"/>
      <c r="H3" s="368"/>
    </row>
    <row r="4" ht="47.25" customHeight="1">
      <c r="A4" s="362"/>
      <c r="B4" s="369"/>
      <c r="C4" t="s" s="370">
        <v>114</v>
      </c>
      <c r="D4" s="371"/>
      <c r="E4" s="371"/>
      <c r="F4" s="371"/>
      <c r="G4" s="371"/>
      <c r="H4" s="372"/>
    </row>
    <row r="5" ht="51" customHeight="1">
      <c r="A5" s="373"/>
      <c r="B5" t="s" s="374">
        <v>115</v>
      </c>
      <c r="C5" t="s" s="281">
        <v>116</v>
      </c>
      <c r="D5" t="s" s="281">
        <v>117</v>
      </c>
      <c r="E5" t="s" s="281">
        <v>118</v>
      </c>
      <c r="F5" t="s" s="375">
        <v>119</v>
      </c>
      <c r="G5" t="s" s="376">
        <v>120</v>
      </c>
      <c r="H5" s="377"/>
    </row>
    <row r="6" ht="31.5" customHeight="1">
      <c r="A6" s="373"/>
      <c r="B6" t="s" s="378">
        <v>121</v>
      </c>
      <c r="C6" s="379">
        <v>0.2</v>
      </c>
      <c r="D6" s="379">
        <v>0.7</v>
      </c>
      <c r="E6" s="379">
        <v>0.1</v>
      </c>
      <c r="F6" s="380"/>
      <c r="G6" s="377"/>
      <c r="H6" s="377"/>
    </row>
    <row r="7" ht="63.75" customHeight="1">
      <c r="A7" s="373"/>
      <c r="B7" t="s" s="374">
        <v>122</v>
      </c>
      <c r="C7" s="381" cm="1">
        <f t="array" ref="C7">'Non-Technical Competencies'!E33</f>
        <v>0.35</v>
      </c>
      <c r="D7" s="381" cm="1">
        <f t="array" ref="D7">'Objectives'!E16</f>
        <v>0.9</v>
      </c>
      <c r="E7" s="382"/>
      <c r="F7" s="383" cm="1">
        <f t="array" ref="F7">(C7*C6)+(D7*D6)+(E7*E6)</f>
        <v>0.7</v>
      </c>
      <c r="G7" t="str" s="384" cm="1">
        <f t="array" ref="G7">IF(F7&lt;60%,"ضعيف جدا ",IF(F7&lt;70%,"غير مرض",IF(F7&lt;80%,"مقبول",IF(F7&lt;90%,"جيد",IF(F7&lt;100%,"فعال",IF(F7&gt;=100%,"متميز","Error"))))))</f>
        <v>مقبول</v>
      </c>
      <c r="H7" s="385"/>
    </row>
    <row r="8" ht="56.25" customHeight="1">
      <c r="A8" s="362"/>
      <c r="B8" s="386"/>
      <c r="C8" t="s" s="387">
        <v>123</v>
      </c>
      <c r="D8" s="388"/>
      <c r="E8" s="388"/>
      <c r="F8" s="388"/>
      <c r="G8" s="388"/>
      <c r="H8" s="389"/>
    </row>
    <row r="9" ht="45" customHeight="1">
      <c r="A9" s="362"/>
      <c r="B9" s="390"/>
      <c r="C9" t="s" s="318">
        <v>124</v>
      </c>
      <c r="D9" t="s" s="391">
        <v>125</v>
      </c>
      <c r="E9" s="392"/>
      <c r="F9" s="392"/>
      <c r="G9" s="392"/>
      <c r="H9" s="393"/>
    </row>
    <row r="10" ht="45" customHeight="1">
      <c r="A10" s="362"/>
      <c r="B10" s="394"/>
      <c r="C10" s="395"/>
      <c r="D10" t="s" s="396">
        <v>125</v>
      </c>
      <c r="E10" s="392"/>
      <c r="F10" s="392"/>
      <c r="G10" s="392"/>
      <c r="H10" s="393"/>
    </row>
    <row r="11" ht="45" customHeight="1">
      <c r="A11" s="362"/>
      <c r="B11" s="394"/>
      <c r="C11" s="397"/>
      <c r="D11" t="s" s="396">
        <v>125</v>
      </c>
      <c r="E11" s="392"/>
      <c r="F11" s="392"/>
      <c r="G11" s="392"/>
      <c r="H11" s="393"/>
    </row>
    <row r="12" ht="45" customHeight="1">
      <c r="A12" s="362"/>
      <c r="B12" s="390"/>
      <c r="C12" t="s" s="318">
        <v>126</v>
      </c>
      <c r="D12" t="s" s="391">
        <v>125</v>
      </c>
      <c r="E12" s="392"/>
      <c r="F12" s="392"/>
      <c r="G12" s="392"/>
      <c r="H12" s="393"/>
    </row>
    <row r="13" ht="45" customHeight="1">
      <c r="A13" s="362"/>
      <c r="B13" s="394"/>
      <c r="C13" s="398"/>
      <c r="D13" t="s" s="399">
        <v>125</v>
      </c>
      <c r="E13" s="400"/>
      <c r="F13" s="400"/>
      <c r="G13" s="400"/>
      <c r="H13" s="401"/>
    </row>
    <row r="14" ht="26.25" customHeight="1">
      <c r="A14" s="362"/>
      <c r="B14" s="363"/>
      <c r="C14" t="s" s="402">
        <v>127</v>
      </c>
      <c r="D14" s="403"/>
      <c r="E14" s="403"/>
      <c r="F14" s="403"/>
      <c r="G14" s="403"/>
      <c r="H14" s="404"/>
    </row>
    <row r="15" ht="26.25" customHeight="1">
      <c r="A15" s="362"/>
      <c r="B15" s="363"/>
      <c r="C15" s="405"/>
      <c r="D15" s="406"/>
      <c r="E15" s="406"/>
      <c r="F15" s="406"/>
      <c r="G15" s="406"/>
      <c r="H15" s="407"/>
    </row>
    <row r="16" ht="13.5" customHeight="1">
      <c r="A16" s="362"/>
      <c r="B16" s="363"/>
      <c r="C16" s="408"/>
      <c r="D16" s="409"/>
      <c r="E16" s="409"/>
      <c r="F16" s="409"/>
      <c r="G16" s="409"/>
      <c r="H16" s="410"/>
    </row>
    <row r="17" ht="13.5" customHeight="1">
      <c r="A17" s="362"/>
      <c r="B17" s="363"/>
      <c r="C17" s="411"/>
      <c r="D17" s="412"/>
      <c r="E17" s="412"/>
      <c r="F17" s="412"/>
      <c r="G17" s="412"/>
      <c r="H17" s="413"/>
    </row>
    <row r="18" ht="13.5" customHeight="1">
      <c r="A18" s="362"/>
      <c r="B18" s="363"/>
      <c r="C18" s="411"/>
      <c r="D18" s="412"/>
      <c r="E18" s="412"/>
      <c r="F18" s="412"/>
      <c r="G18" s="412"/>
      <c r="H18" s="413"/>
    </row>
    <row r="19" ht="13.5" customHeight="1">
      <c r="A19" s="362"/>
      <c r="B19" s="363"/>
      <c r="C19" s="411"/>
      <c r="D19" s="412"/>
      <c r="E19" s="412"/>
      <c r="F19" s="412"/>
      <c r="G19" s="412"/>
      <c r="H19" s="413"/>
    </row>
    <row r="20" ht="13.5" customHeight="1">
      <c r="A20" s="362"/>
      <c r="B20" s="363"/>
      <c r="C20" s="411"/>
      <c r="D20" s="412"/>
      <c r="E20" s="412"/>
      <c r="F20" s="412"/>
      <c r="G20" s="412"/>
      <c r="H20" s="413"/>
    </row>
    <row r="21" ht="13.5" customHeight="1">
      <c r="A21" s="362"/>
      <c r="B21" s="363"/>
      <c r="C21" s="411"/>
      <c r="D21" s="412"/>
      <c r="E21" s="412"/>
      <c r="F21" s="412"/>
      <c r="G21" s="412"/>
      <c r="H21" s="413"/>
    </row>
    <row r="22" ht="13.5" customHeight="1">
      <c r="A22" s="362"/>
      <c r="B22" s="363"/>
      <c r="C22" s="411"/>
      <c r="D22" s="412"/>
      <c r="E22" s="412"/>
      <c r="F22" s="412"/>
      <c r="G22" s="412"/>
      <c r="H22" s="413"/>
    </row>
    <row r="23" ht="13.5" customHeight="1">
      <c r="A23" s="362"/>
      <c r="B23" s="363"/>
      <c r="C23" s="411"/>
      <c r="D23" s="412"/>
      <c r="E23" s="412"/>
      <c r="F23" s="412"/>
      <c r="G23" s="412"/>
      <c r="H23" s="413"/>
    </row>
    <row r="24" ht="13.5" customHeight="1">
      <c r="A24" s="362"/>
      <c r="B24" s="363"/>
      <c r="C24" s="411"/>
      <c r="D24" s="412"/>
      <c r="E24" s="412"/>
      <c r="F24" s="412"/>
      <c r="G24" s="412"/>
      <c r="H24" s="413"/>
    </row>
    <row r="25" ht="13.5" customHeight="1">
      <c r="A25" s="362"/>
      <c r="B25" s="363"/>
      <c r="C25" s="411"/>
      <c r="D25" s="412"/>
      <c r="E25" s="412"/>
      <c r="F25" s="412"/>
      <c r="G25" s="412"/>
      <c r="H25" s="413"/>
    </row>
    <row r="26" ht="13.5" customHeight="1">
      <c r="A26" s="362"/>
      <c r="B26" s="363"/>
      <c r="C26" s="414"/>
      <c r="D26" s="415"/>
      <c r="E26" s="415"/>
      <c r="F26" s="415"/>
      <c r="G26" s="415"/>
      <c r="H26" s="416"/>
    </row>
    <row r="27" ht="22.5" customHeight="1">
      <c r="A27" s="362"/>
      <c r="B27" s="363"/>
      <c r="C27" t="s" s="402">
        <v>109</v>
      </c>
      <c r="D27" s="403"/>
      <c r="E27" s="403"/>
      <c r="F27" s="403"/>
      <c r="G27" s="403"/>
      <c r="H27" s="404"/>
    </row>
    <row r="28" ht="22.5" customHeight="1">
      <c r="A28" s="362"/>
      <c r="B28" s="363"/>
      <c r="C28" s="405"/>
      <c r="D28" s="406"/>
      <c r="E28" s="406"/>
      <c r="F28" s="406"/>
      <c r="G28" s="406"/>
      <c r="H28" s="407"/>
    </row>
    <row r="29" ht="12.75" customHeight="1">
      <c r="A29" s="362"/>
      <c r="B29" s="363"/>
      <c r="C29" s="408"/>
      <c r="D29" s="409"/>
      <c r="E29" s="409"/>
      <c r="F29" s="409"/>
      <c r="G29" s="409"/>
      <c r="H29" s="410"/>
    </row>
    <row r="30" ht="12.75" customHeight="1">
      <c r="A30" s="362"/>
      <c r="B30" s="363"/>
      <c r="C30" s="411"/>
      <c r="D30" s="412"/>
      <c r="E30" s="412"/>
      <c r="F30" s="412"/>
      <c r="G30" s="412"/>
      <c r="H30" s="413"/>
    </row>
    <row r="31" ht="12.75" customHeight="1">
      <c r="A31" s="362"/>
      <c r="B31" s="363"/>
      <c r="C31" s="411"/>
      <c r="D31" s="412"/>
      <c r="E31" s="412"/>
      <c r="F31" s="412"/>
      <c r="G31" s="412"/>
      <c r="H31" s="413"/>
    </row>
    <row r="32" ht="12.75" customHeight="1">
      <c r="A32" s="362"/>
      <c r="B32" s="363"/>
      <c r="C32" s="411"/>
      <c r="D32" s="412"/>
      <c r="E32" s="412"/>
      <c r="F32" s="412"/>
      <c r="G32" s="412"/>
      <c r="H32" s="413"/>
    </row>
    <row r="33" ht="12.75" customHeight="1">
      <c r="A33" s="362"/>
      <c r="B33" s="363"/>
      <c r="C33" s="411"/>
      <c r="D33" s="412"/>
      <c r="E33" s="412"/>
      <c r="F33" s="412"/>
      <c r="G33" s="412"/>
      <c r="H33" s="413"/>
    </row>
    <row r="34" ht="12.75" customHeight="1">
      <c r="A34" s="362"/>
      <c r="B34" s="363"/>
      <c r="C34" s="411"/>
      <c r="D34" s="412"/>
      <c r="E34" s="412"/>
      <c r="F34" s="412"/>
      <c r="G34" s="412"/>
      <c r="H34" s="413"/>
    </row>
    <row r="35" ht="12.75" customHeight="1">
      <c r="A35" s="362"/>
      <c r="B35" s="363"/>
      <c r="C35" s="411"/>
      <c r="D35" s="412"/>
      <c r="E35" s="412"/>
      <c r="F35" s="412"/>
      <c r="G35" s="412"/>
      <c r="H35" s="413"/>
    </row>
    <row r="36" ht="12.75" customHeight="1">
      <c r="A36" s="362"/>
      <c r="B36" s="363"/>
      <c r="C36" s="411"/>
      <c r="D36" s="412"/>
      <c r="E36" s="412"/>
      <c r="F36" s="412"/>
      <c r="G36" s="412"/>
      <c r="H36" s="413"/>
    </row>
    <row r="37" ht="12.75" customHeight="1">
      <c r="A37" s="362"/>
      <c r="B37" s="363"/>
      <c r="C37" s="411"/>
      <c r="D37" s="412"/>
      <c r="E37" s="412"/>
      <c r="F37" s="412"/>
      <c r="G37" s="412"/>
      <c r="H37" s="413"/>
    </row>
    <row r="38" ht="12.75" customHeight="1">
      <c r="A38" s="362"/>
      <c r="B38" s="363"/>
      <c r="C38" s="411"/>
      <c r="D38" s="412"/>
      <c r="E38" s="412"/>
      <c r="F38" s="412"/>
      <c r="G38" s="412"/>
      <c r="H38" s="413"/>
    </row>
    <row r="39" ht="12.75" customHeight="1">
      <c r="A39" s="362"/>
      <c r="B39" s="363"/>
      <c r="C39" s="411"/>
      <c r="D39" s="412"/>
      <c r="E39" s="412"/>
      <c r="F39" s="412"/>
      <c r="G39" s="412"/>
      <c r="H39" s="413"/>
    </row>
    <row r="40" ht="12.75" customHeight="1">
      <c r="A40" s="362"/>
      <c r="B40" s="363"/>
      <c r="C40" s="414"/>
      <c r="D40" s="415"/>
      <c r="E40" s="415"/>
      <c r="F40" s="415"/>
      <c r="G40" s="415"/>
      <c r="H40" s="416"/>
    </row>
    <row r="41" ht="19.5" customHeight="1">
      <c r="A41" s="362"/>
      <c r="B41" s="363"/>
      <c r="C41" t="s" s="402">
        <v>128</v>
      </c>
      <c r="D41" s="403"/>
      <c r="E41" s="403"/>
      <c r="F41" s="403"/>
      <c r="G41" s="403"/>
      <c r="H41" s="404"/>
    </row>
    <row r="42" ht="19.5" customHeight="1">
      <c r="A42" s="362"/>
      <c r="B42" s="363"/>
      <c r="C42" s="405"/>
      <c r="D42" s="406"/>
      <c r="E42" s="406"/>
      <c r="F42" s="406"/>
      <c r="G42" s="406"/>
      <c r="H42" s="407"/>
    </row>
    <row r="43" ht="13.5" customHeight="1">
      <c r="A43" s="362"/>
      <c r="B43" s="363"/>
      <c r="C43" s="408"/>
      <c r="D43" s="409"/>
      <c r="E43" s="409"/>
      <c r="F43" s="409"/>
      <c r="G43" s="409"/>
      <c r="H43" s="410"/>
    </row>
    <row r="44" ht="13.5" customHeight="1">
      <c r="A44" s="362"/>
      <c r="B44" s="363"/>
      <c r="C44" s="411"/>
      <c r="D44" s="412"/>
      <c r="E44" s="412"/>
      <c r="F44" s="412"/>
      <c r="G44" s="412"/>
      <c r="H44" s="413"/>
    </row>
    <row r="45" ht="13.5" customHeight="1">
      <c r="A45" s="362"/>
      <c r="B45" s="363"/>
      <c r="C45" s="411"/>
      <c r="D45" s="412"/>
      <c r="E45" s="412"/>
      <c r="F45" s="412"/>
      <c r="G45" s="412"/>
      <c r="H45" s="413"/>
    </row>
    <row r="46" ht="13.5" customHeight="1">
      <c r="A46" s="362"/>
      <c r="B46" s="363"/>
      <c r="C46" s="411"/>
      <c r="D46" s="412"/>
      <c r="E46" s="412"/>
      <c r="F46" s="412"/>
      <c r="G46" s="412"/>
      <c r="H46" s="413"/>
    </row>
    <row r="47" ht="13.5" customHeight="1">
      <c r="A47" s="362"/>
      <c r="B47" s="363"/>
      <c r="C47" s="411"/>
      <c r="D47" s="412"/>
      <c r="E47" s="412"/>
      <c r="F47" s="412"/>
      <c r="G47" s="412"/>
      <c r="H47" s="413"/>
    </row>
    <row r="48" ht="13.5" customHeight="1">
      <c r="A48" s="362"/>
      <c r="B48" s="363"/>
      <c r="C48" s="411"/>
      <c r="D48" s="412"/>
      <c r="E48" s="412"/>
      <c r="F48" s="412"/>
      <c r="G48" s="412"/>
      <c r="H48" s="413"/>
    </row>
    <row r="49" ht="13.5" customHeight="1">
      <c r="A49" s="362"/>
      <c r="B49" s="363"/>
      <c r="C49" s="411"/>
      <c r="D49" s="412"/>
      <c r="E49" s="412"/>
      <c r="F49" s="412"/>
      <c r="G49" s="412"/>
      <c r="H49" s="413"/>
    </row>
    <row r="50" ht="13.5" customHeight="1">
      <c r="A50" s="362"/>
      <c r="B50" s="363"/>
      <c r="C50" s="411"/>
      <c r="D50" s="412"/>
      <c r="E50" s="412"/>
      <c r="F50" s="412"/>
      <c r="G50" s="412"/>
      <c r="H50" s="413"/>
    </row>
    <row r="51" ht="13.5" customHeight="1">
      <c r="A51" s="362"/>
      <c r="B51" s="363"/>
      <c r="C51" s="411"/>
      <c r="D51" s="412"/>
      <c r="E51" s="412"/>
      <c r="F51" s="412"/>
      <c r="G51" s="412"/>
      <c r="H51" s="413"/>
    </row>
    <row r="52" ht="13.5" customHeight="1">
      <c r="A52" s="362"/>
      <c r="B52" s="363"/>
      <c r="C52" s="411"/>
      <c r="D52" s="412"/>
      <c r="E52" s="412"/>
      <c r="F52" s="412"/>
      <c r="G52" s="412"/>
      <c r="H52" s="413"/>
    </row>
    <row r="53" ht="13.5" customHeight="1">
      <c r="A53" s="362"/>
      <c r="B53" s="363"/>
      <c r="C53" s="411"/>
      <c r="D53" s="412"/>
      <c r="E53" s="412"/>
      <c r="F53" s="412"/>
      <c r="G53" s="412"/>
      <c r="H53" s="413"/>
    </row>
    <row r="54" ht="13.5" customHeight="1">
      <c r="A54" s="362"/>
      <c r="B54" s="363"/>
      <c r="C54" s="414"/>
      <c r="D54" s="415"/>
      <c r="E54" s="415"/>
      <c r="F54" s="415"/>
      <c r="G54" s="415"/>
      <c r="H54" s="416"/>
    </row>
    <row r="55" ht="24" customHeight="1">
      <c r="A55" s="362"/>
      <c r="B55" s="363"/>
      <c r="C55" t="s" s="402">
        <v>129</v>
      </c>
      <c r="D55" s="403"/>
      <c r="E55" s="403"/>
      <c r="F55" s="403"/>
      <c r="G55" s="403"/>
      <c r="H55" s="404"/>
    </row>
    <row r="56" ht="24" customHeight="1">
      <c r="A56" s="362"/>
      <c r="B56" s="363"/>
      <c r="C56" s="405"/>
      <c r="D56" s="406"/>
      <c r="E56" s="406"/>
      <c r="F56" s="406"/>
      <c r="G56" s="406"/>
      <c r="H56" s="407"/>
    </row>
    <row r="57" ht="13.5" customHeight="1">
      <c r="A57" s="362"/>
      <c r="B57" s="363"/>
      <c r="C57" s="408"/>
      <c r="D57" s="409"/>
      <c r="E57" s="409"/>
      <c r="F57" s="409"/>
      <c r="G57" s="409"/>
      <c r="H57" s="410"/>
    </row>
    <row r="58" ht="13.5" customHeight="1">
      <c r="A58" s="362"/>
      <c r="B58" s="363"/>
      <c r="C58" s="411"/>
      <c r="D58" s="412"/>
      <c r="E58" s="412"/>
      <c r="F58" s="412"/>
      <c r="G58" s="412"/>
      <c r="H58" s="413"/>
    </row>
    <row r="59" ht="13.5" customHeight="1">
      <c r="A59" s="362"/>
      <c r="B59" s="363"/>
      <c r="C59" s="411"/>
      <c r="D59" s="412"/>
      <c r="E59" s="412"/>
      <c r="F59" s="412"/>
      <c r="G59" s="412"/>
      <c r="H59" s="413"/>
    </row>
    <row r="60" ht="13.5" customHeight="1">
      <c r="A60" s="362"/>
      <c r="B60" s="363"/>
      <c r="C60" s="411"/>
      <c r="D60" s="412"/>
      <c r="E60" s="412"/>
      <c r="F60" s="412"/>
      <c r="G60" s="412"/>
      <c r="H60" s="413"/>
    </row>
    <row r="61" ht="13.5" customHeight="1">
      <c r="A61" s="362"/>
      <c r="B61" s="363"/>
      <c r="C61" s="411"/>
      <c r="D61" s="412"/>
      <c r="E61" s="412"/>
      <c r="F61" s="412"/>
      <c r="G61" s="412"/>
      <c r="H61" s="413"/>
    </row>
    <row r="62" ht="13.5" customHeight="1">
      <c r="A62" s="362"/>
      <c r="B62" s="363"/>
      <c r="C62" s="411"/>
      <c r="D62" s="412"/>
      <c r="E62" s="412"/>
      <c r="F62" s="412"/>
      <c r="G62" s="412"/>
      <c r="H62" s="413"/>
    </row>
    <row r="63" ht="13.5" customHeight="1">
      <c r="A63" s="362"/>
      <c r="B63" s="363"/>
      <c r="C63" s="411"/>
      <c r="D63" s="412"/>
      <c r="E63" s="412"/>
      <c r="F63" s="412"/>
      <c r="G63" s="412"/>
      <c r="H63" s="413"/>
    </row>
    <row r="64" ht="13.5" customHeight="1">
      <c r="A64" s="362"/>
      <c r="B64" s="363"/>
      <c r="C64" s="411"/>
      <c r="D64" s="412"/>
      <c r="E64" s="412"/>
      <c r="F64" s="412"/>
      <c r="G64" s="412"/>
      <c r="H64" s="413"/>
    </row>
    <row r="65" ht="13.5" customHeight="1">
      <c r="A65" s="362"/>
      <c r="B65" s="363"/>
      <c r="C65" s="411"/>
      <c r="D65" s="412"/>
      <c r="E65" s="412"/>
      <c r="F65" s="412"/>
      <c r="G65" s="412"/>
      <c r="H65" s="413"/>
    </row>
    <row r="66" ht="13.5" customHeight="1">
      <c r="A66" s="362"/>
      <c r="B66" s="363"/>
      <c r="C66" s="414"/>
      <c r="D66" s="415"/>
      <c r="E66" s="415"/>
      <c r="F66" s="415"/>
      <c r="G66" s="415"/>
      <c r="H66" s="416"/>
    </row>
    <row r="67" ht="44.25" customHeight="1">
      <c r="A67" s="362"/>
      <c r="B67" s="363"/>
      <c r="C67" t="s" s="345">
        <v>110</v>
      </c>
      <c r="D67" s="346"/>
      <c r="E67" t="s" s="417">
        <v>111</v>
      </c>
      <c r="F67" t="s" s="349">
        <v>112</v>
      </c>
      <c r="G67" s="418"/>
      <c r="H67" s="419"/>
    </row>
    <row r="68" ht="38.25" customHeight="1">
      <c r="A68" s="420"/>
      <c r="B68" s="421"/>
      <c r="C68" s="422"/>
      <c r="D68" s="423"/>
      <c r="E68" s="423"/>
      <c r="F68" s="424"/>
      <c r="G68" s="425"/>
      <c r="H68" s="426"/>
    </row>
  </sheetData>
  <mergeCells count="23">
    <mergeCell ref="C16:H26"/>
    <mergeCell ref="C57:H66"/>
    <mergeCell ref="C29:H40"/>
    <mergeCell ref="C67:D67"/>
    <mergeCell ref="F67:H67"/>
    <mergeCell ref="F68:H68"/>
    <mergeCell ref="C55:H56"/>
    <mergeCell ref="C41:H42"/>
    <mergeCell ref="C27:H28"/>
    <mergeCell ref="C68:D68"/>
    <mergeCell ref="C43:H54"/>
    <mergeCell ref="G5:H6"/>
    <mergeCell ref="G7:H7"/>
    <mergeCell ref="C2:H3"/>
    <mergeCell ref="C4:H4"/>
    <mergeCell ref="C14:H15"/>
    <mergeCell ref="F5:F6"/>
    <mergeCell ref="D9:H9"/>
    <mergeCell ref="D13:H13"/>
    <mergeCell ref="D10:H10"/>
    <mergeCell ref="D12:H12"/>
    <mergeCell ref="D11:H11"/>
    <mergeCell ref="C8:H8"/>
  </mergeCells>
  <pageMargins left="0.46" right="0.44" top="0.31" bottom="0.19" header="0.2" footer="0.19"/>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F62"/>
  <sheetViews>
    <sheetView workbookViewId="0" showGridLines="0" rightToLeft="1" defaultGridColor="1"/>
  </sheetViews>
  <sheetFormatPr defaultColWidth="8.83333" defaultRowHeight="12.75" customHeight="1" outlineLevelRow="0" outlineLevelCol="0"/>
  <cols>
    <col min="1" max="1" width="6.85156" style="427" customWidth="1"/>
    <col min="2" max="4" width="32.5" style="427" customWidth="1"/>
    <col min="5" max="6" width="20.8516" style="427" customWidth="1"/>
    <col min="7" max="16384" width="8.85156" style="427" customWidth="1"/>
  </cols>
  <sheetData>
    <row r="1" ht="18.75" customHeight="1">
      <c r="A1" s="428"/>
      <c r="B1" t="s" s="429">
        <v>131</v>
      </c>
      <c r="C1" s="430"/>
      <c r="D1" s="430"/>
      <c r="E1" s="430"/>
      <c r="F1" s="431"/>
    </row>
    <row r="2" ht="18.75" customHeight="1">
      <c r="A2" s="432"/>
      <c r="B2" s="433"/>
      <c r="C2" s="434"/>
      <c r="D2" s="434"/>
      <c r="E2" s="434"/>
      <c r="F2" s="435"/>
    </row>
    <row r="3" ht="18.75" customHeight="1">
      <c r="A3" s="432"/>
      <c r="B3" s="433"/>
      <c r="C3" s="434"/>
      <c r="D3" s="434"/>
      <c r="E3" s="434"/>
      <c r="F3" s="435"/>
    </row>
    <row r="4" ht="18.75" customHeight="1">
      <c r="A4" s="432"/>
      <c r="B4" s="433"/>
      <c r="C4" s="434"/>
      <c r="D4" s="434"/>
      <c r="E4" s="434"/>
      <c r="F4" s="435"/>
    </row>
    <row r="5" ht="47.25" customHeight="1">
      <c r="A5" s="432"/>
      <c r="B5" s="436"/>
      <c r="C5" s="437"/>
      <c r="D5" s="437"/>
      <c r="E5" s="437"/>
      <c r="F5" s="438"/>
    </row>
    <row r="6" ht="54" customHeight="1">
      <c r="A6" s="432"/>
      <c r="B6" t="s" s="439">
        <v>132</v>
      </c>
      <c r="C6" s="440"/>
      <c r="D6" t="s" s="439">
        <v>133</v>
      </c>
      <c r="E6" s="440"/>
      <c r="F6" s="440"/>
    </row>
    <row r="7" ht="21.75" customHeight="1">
      <c r="A7" s="432"/>
      <c r="B7" s="441"/>
      <c r="C7" s="442"/>
      <c r="D7" s="442"/>
      <c r="E7" s="442"/>
      <c r="F7" s="443"/>
    </row>
    <row r="8" ht="63.75" customHeight="1">
      <c r="A8" s="432"/>
      <c r="B8" s="444"/>
      <c r="C8" s="445"/>
      <c r="D8" s="445"/>
      <c r="E8" s="445"/>
      <c r="F8" s="446"/>
    </row>
    <row r="9" ht="31.5" customHeight="1">
      <c r="A9" s="432"/>
      <c r="B9" s="444"/>
      <c r="C9" s="445"/>
      <c r="D9" s="445"/>
      <c r="E9" s="445"/>
      <c r="F9" s="446"/>
    </row>
    <row r="10" ht="13.5" customHeight="1">
      <c r="A10" s="432"/>
      <c r="B10" s="444"/>
      <c r="C10" s="445"/>
      <c r="D10" s="445"/>
      <c r="E10" s="445"/>
      <c r="F10" s="446"/>
    </row>
    <row r="11" ht="13.5" customHeight="1">
      <c r="A11" s="432"/>
      <c r="B11" s="444"/>
      <c r="C11" s="445"/>
      <c r="D11" s="445"/>
      <c r="E11" s="445"/>
      <c r="F11" s="446"/>
    </row>
    <row r="12" ht="13.5" customHeight="1">
      <c r="A12" s="432"/>
      <c r="B12" s="444"/>
      <c r="C12" s="445"/>
      <c r="D12" s="445"/>
      <c r="E12" s="445"/>
      <c r="F12" s="446"/>
    </row>
    <row r="13" ht="13.5" customHeight="1">
      <c r="A13" s="432"/>
      <c r="B13" s="444"/>
      <c r="C13" s="445"/>
      <c r="D13" s="445"/>
      <c r="E13" s="445"/>
      <c r="F13" s="446"/>
    </row>
    <row r="14" ht="13.5" customHeight="1">
      <c r="A14" s="432"/>
      <c r="B14" s="444"/>
      <c r="C14" s="445"/>
      <c r="D14" s="445"/>
      <c r="E14" s="445"/>
      <c r="F14" s="446"/>
    </row>
    <row r="15" ht="13.5" customHeight="1">
      <c r="A15" s="432"/>
      <c r="B15" s="444"/>
      <c r="C15" s="445"/>
      <c r="D15" s="445"/>
      <c r="E15" s="445"/>
      <c r="F15" s="446"/>
    </row>
    <row r="16" ht="13.5" customHeight="1">
      <c r="A16" s="432"/>
      <c r="B16" s="444"/>
      <c r="C16" s="445"/>
      <c r="D16" s="445"/>
      <c r="E16" s="445"/>
      <c r="F16" s="446"/>
    </row>
    <row r="17" ht="13.5" customHeight="1">
      <c r="A17" s="432"/>
      <c r="B17" s="444"/>
      <c r="C17" s="445"/>
      <c r="D17" s="445"/>
      <c r="E17" s="445"/>
      <c r="F17" s="446"/>
    </row>
    <row r="18" ht="13.5" customHeight="1">
      <c r="A18" s="432"/>
      <c r="B18" s="444"/>
      <c r="C18" s="445"/>
      <c r="D18" s="445"/>
      <c r="E18" s="445"/>
      <c r="F18" s="446"/>
    </row>
    <row r="19" ht="13.5" customHeight="1">
      <c r="A19" s="432"/>
      <c r="B19" s="444"/>
      <c r="C19" s="445"/>
      <c r="D19" s="445"/>
      <c r="E19" s="445"/>
      <c r="F19" s="446"/>
    </row>
    <row r="20" ht="13.5" customHeight="1">
      <c r="A20" s="432"/>
      <c r="B20" s="444"/>
      <c r="C20" s="445"/>
      <c r="D20" s="445"/>
      <c r="E20" s="445"/>
      <c r="F20" s="446"/>
    </row>
    <row r="21" ht="15" customHeight="1">
      <c r="A21" s="432"/>
      <c r="B21" s="444"/>
      <c r="C21" s="445"/>
      <c r="D21" s="445"/>
      <c r="E21" s="445"/>
      <c r="F21" s="446"/>
    </row>
    <row r="22" ht="15" customHeight="1">
      <c r="A22" s="432"/>
      <c r="B22" s="444"/>
      <c r="C22" s="445"/>
      <c r="D22" s="445"/>
      <c r="E22" s="445"/>
      <c r="F22" s="446"/>
    </row>
    <row r="23" ht="12.75" customHeight="1">
      <c r="A23" s="432"/>
      <c r="B23" s="444"/>
      <c r="C23" s="445"/>
      <c r="D23" s="445"/>
      <c r="E23" s="445"/>
      <c r="F23" s="446"/>
    </row>
    <row r="24" ht="12.75" customHeight="1">
      <c r="A24" s="432"/>
      <c r="B24" s="444"/>
      <c r="C24" s="445"/>
      <c r="D24" s="445"/>
      <c r="E24" s="445"/>
      <c r="F24" s="446"/>
    </row>
    <row r="25" ht="12.75" customHeight="1">
      <c r="A25" s="432"/>
      <c r="B25" s="444"/>
      <c r="C25" s="445"/>
      <c r="D25" s="445"/>
      <c r="E25" s="445"/>
      <c r="F25" s="446"/>
    </row>
    <row r="26" ht="12.75" customHeight="1">
      <c r="A26" s="432"/>
      <c r="B26" s="444"/>
      <c r="C26" s="445"/>
      <c r="D26" s="445"/>
      <c r="E26" s="445"/>
      <c r="F26" s="446"/>
    </row>
    <row r="27" ht="12.75" customHeight="1">
      <c r="A27" s="432"/>
      <c r="B27" s="444"/>
      <c r="C27" s="445"/>
      <c r="D27" s="445"/>
      <c r="E27" s="445"/>
      <c r="F27" s="446"/>
    </row>
    <row r="28" ht="12.75" customHeight="1">
      <c r="A28" s="432"/>
      <c r="B28" s="444"/>
      <c r="C28" s="445"/>
      <c r="D28" s="445"/>
      <c r="E28" s="445"/>
      <c r="F28" s="446"/>
    </row>
    <row r="29" ht="12.75" customHeight="1">
      <c r="A29" s="432"/>
      <c r="B29" s="444"/>
      <c r="C29" s="445"/>
      <c r="D29" s="445"/>
      <c r="E29" s="445"/>
      <c r="F29" s="446"/>
    </row>
    <row r="30" ht="12.75" customHeight="1">
      <c r="A30" s="432"/>
      <c r="B30" s="444"/>
      <c r="C30" s="445"/>
      <c r="D30" s="445"/>
      <c r="E30" s="445"/>
      <c r="F30" s="446"/>
    </row>
    <row r="31" ht="12.75" customHeight="1">
      <c r="A31" s="432"/>
      <c r="B31" s="444"/>
      <c r="C31" s="445"/>
      <c r="D31" s="445"/>
      <c r="E31" s="445"/>
      <c r="F31" s="446"/>
    </row>
    <row r="32" ht="12.75" customHeight="1">
      <c r="A32" s="432"/>
      <c r="B32" s="444"/>
      <c r="C32" s="445"/>
      <c r="D32" s="445"/>
      <c r="E32" s="445"/>
      <c r="F32" s="446"/>
    </row>
    <row r="33" ht="12.75" customHeight="1">
      <c r="A33" s="432"/>
      <c r="B33" s="444"/>
      <c r="C33" s="445"/>
      <c r="D33" s="445"/>
      <c r="E33" s="445"/>
      <c r="F33" s="446"/>
    </row>
    <row r="34" ht="12.75" customHeight="1">
      <c r="A34" s="432"/>
      <c r="B34" s="444"/>
      <c r="C34" s="445"/>
      <c r="D34" s="445"/>
      <c r="E34" s="445"/>
      <c r="F34" s="446"/>
    </row>
    <row r="35" ht="15" customHeight="1">
      <c r="A35" s="432"/>
      <c r="B35" s="444"/>
      <c r="C35" s="445"/>
      <c r="D35" s="445"/>
      <c r="E35" s="445"/>
      <c r="F35" s="446"/>
    </row>
    <row r="36" ht="15" customHeight="1">
      <c r="A36" s="432"/>
      <c r="B36" s="444"/>
      <c r="C36" s="445"/>
      <c r="D36" s="445"/>
      <c r="E36" s="445"/>
      <c r="F36" s="446"/>
    </row>
    <row r="37" ht="13.5" customHeight="1">
      <c r="A37" s="432"/>
      <c r="B37" s="444"/>
      <c r="C37" s="445"/>
      <c r="D37" s="445"/>
      <c r="E37" s="445"/>
      <c r="F37" s="446"/>
    </row>
    <row r="38" ht="13.5" customHeight="1">
      <c r="A38" s="432"/>
      <c r="B38" s="444"/>
      <c r="C38" s="445"/>
      <c r="D38" s="445"/>
      <c r="E38" s="445"/>
      <c r="F38" s="446"/>
    </row>
    <row r="39" ht="13.5" customHeight="1">
      <c r="A39" s="432"/>
      <c r="B39" s="444"/>
      <c r="C39" s="445"/>
      <c r="D39" s="445"/>
      <c r="E39" s="445"/>
      <c r="F39" s="446"/>
    </row>
    <row r="40" ht="13.5" customHeight="1">
      <c r="A40" s="432"/>
      <c r="B40" s="444"/>
      <c r="C40" s="445"/>
      <c r="D40" s="445"/>
      <c r="E40" s="445"/>
      <c r="F40" s="446"/>
    </row>
    <row r="41" ht="13.5" customHeight="1">
      <c r="A41" s="432"/>
      <c r="B41" s="444"/>
      <c r="C41" s="445"/>
      <c r="D41" s="445"/>
      <c r="E41" s="445"/>
      <c r="F41" s="446"/>
    </row>
    <row r="42" ht="13.5" customHeight="1">
      <c r="A42" s="432"/>
      <c r="B42" s="444"/>
      <c r="C42" s="445"/>
      <c r="D42" s="445"/>
      <c r="E42" s="445"/>
      <c r="F42" s="446"/>
    </row>
    <row r="43" ht="13.5" customHeight="1">
      <c r="A43" s="432"/>
      <c r="B43" s="444"/>
      <c r="C43" s="445"/>
      <c r="D43" s="445"/>
      <c r="E43" s="445"/>
      <c r="F43" s="446"/>
    </row>
    <row r="44" ht="13.5" customHeight="1">
      <c r="A44" s="432"/>
      <c r="B44" s="444"/>
      <c r="C44" s="445"/>
      <c r="D44" s="445"/>
      <c r="E44" s="445"/>
      <c r="F44" s="446"/>
    </row>
    <row r="45" ht="13.5" customHeight="1">
      <c r="A45" s="432"/>
      <c r="B45" s="444"/>
      <c r="C45" s="445"/>
      <c r="D45" s="445"/>
      <c r="E45" s="445"/>
      <c r="F45" s="446"/>
    </row>
    <row r="46" ht="13.5" customHeight="1">
      <c r="A46" s="432"/>
      <c r="B46" s="444"/>
      <c r="C46" s="445"/>
      <c r="D46" s="445"/>
      <c r="E46" s="445"/>
      <c r="F46" s="446"/>
    </row>
    <row r="47" ht="13.5" customHeight="1">
      <c r="A47" s="432"/>
      <c r="B47" s="444"/>
      <c r="C47" s="445"/>
      <c r="D47" s="445"/>
      <c r="E47" s="445"/>
      <c r="F47" s="446"/>
    </row>
    <row r="48" ht="13.5" customHeight="1">
      <c r="A48" s="432"/>
      <c r="B48" s="444"/>
      <c r="C48" s="445"/>
      <c r="D48" s="445"/>
      <c r="E48" s="445"/>
      <c r="F48" s="446"/>
    </row>
    <row r="49" ht="15" customHeight="1">
      <c r="A49" s="432"/>
      <c r="B49" s="444"/>
      <c r="C49" s="445"/>
      <c r="D49" s="445"/>
      <c r="E49" s="445"/>
      <c r="F49" s="446"/>
    </row>
    <row r="50" ht="15" customHeight="1">
      <c r="A50" s="432"/>
      <c r="B50" s="444"/>
      <c r="C50" s="445"/>
      <c r="D50" s="445"/>
      <c r="E50" s="445"/>
      <c r="F50" s="446"/>
    </row>
    <row r="51" ht="13.5" customHeight="1">
      <c r="A51" s="432"/>
      <c r="B51" s="444"/>
      <c r="C51" s="445"/>
      <c r="D51" s="445"/>
      <c r="E51" s="445"/>
      <c r="F51" s="446"/>
    </row>
    <row r="52" ht="13.5" customHeight="1">
      <c r="A52" s="432"/>
      <c r="B52" s="444"/>
      <c r="C52" s="445"/>
      <c r="D52" s="445"/>
      <c r="E52" s="445"/>
      <c r="F52" s="446"/>
    </row>
    <row r="53" ht="13.5" customHeight="1">
      <c r="A53" s="432"/>
      <c r="B53" s="444"/>
      <c r="C53" s="445"/>
      <c r="D53" s="445"/>
      <c r="E53" s="445"/>
      <c r="F53" s="446"/>
    </row>
    <row r="54" ht="13.5" customHeight="1">
      <c r="A54" s="432"/>
      <c r="B54" s="444"/>
      <c r="C54" s="445"/>
      <c r="D54" s="445"/>
      <c r="E54" s="445"/>
      <c r="F54" s="446"/>
    </row>
    <row r="55" ht="13.5" customHeight="1">
      <c r="A55" s="432"/>
      <c r="B55" s="444"/>
      <c r="C55" s="445"/>
      <c r="D55" s="445"/>
      <c r="E55" s="445"/>
      <c r="F55" s="446"/>
    </row>
    <row r="56" ht="13.5" customHeight="1">
      <c r="A56" s="432"/>
      <c r="B56" s="444"/>
      <c r="C56" s="445"/>
      <c r="D56" s="445"/>
      <c r="E56" s="445"/>
      <c r="F56" s="446"/>
    </row>
    <row r="57" ht="13.5" customHeight="1">
      <c r="A57" s="432"/>
      <c r="B57" s="444"/>
      <c r="C57" s="445"/>
      <c r="D57" s="445"/>
      <c r="E57" s="445"/>
      <c r="F57" s="446"/>
    </row>
    <row r="58" ht="13.5" customHeight="1">
      <c r="A58" s="432"/>
      <c r="B58" s="444"/>
      <c r="C58" s="445"/>
      <c r="D58" s="445"/>
      <c r="E58" s="445"/>
      <c r="F58" s="446"/>
    </row>
    <row r="59" ht="13.5" customHeight="1">
      <c r="A59" s="432"/>
      <c r="B59" s="444"/>
      <c r="C59" s="445"/>
      <c r="D59" s="445"/>
      <c r="E59" s="445"/>
      <c r="F59" s="446"/>
    </row>
    <row r="60" ht="13.5" customHeight="1">
      <c r="A60" s="432"/>
      <c r="B60" s="447"/>
      <c r="C60" s="448"/>
      <c r="D60" s="448"/>
      <c r="E60" s="448"/>
      <c r="F60" s="449"/>
    </row>
    <row r="61" ht="35.25" customHeight="1">
      <c r="A61" s="432"/>
      <c r="B61" t="s" s="450">
        <v>110</v>
      </c>
      <c r="C61" s="451"/>
      <c r="D61" s="451"/>
      <c r="E61" s="451"/>
      <c r="F61" s="452"/>
    </row>
    <row r="62" ht="38.25" customHeight="1">
      <c r="A62" s="453"/>
      <c r="B62" s="454"/>
      <c r="C62" s="455"/>
      <c r="D62" s="455"/>
      <c r="E62" s="455"/>
      <c r="F62" s="456"/>
    </row>
  </sheetData>
  <mergeCells count="6">
    <mergeCell ref="B62:F62"/>
    <mergeCell ref="B1:F5"/>
    <mergeCell ref="B6:C6"/>
    <mergeCell ref="D6:F6"/>
    <mergeCell ref="B7:F60"/>
    <mergeCell ref="B61:F61"/>
  </mergeCells>
  <pageMargins left="0.3" right="0.2" top="0.73" bottom="0.19" header="0.2" footer="0.19"/>
  <pageSetup firstPageNumber="1" fitToHeight="1" fitToWidth="1" scale="68" useFirstPageNumber="0" orientation="portrait" pageOrder="downThenOver"/>
  <headerFooter>
    <oddHeader>&amp;L&amp;"Arial,Regular"&amp;10&amp;K000000
</oddHead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G106"/>
  <sheetViews>
    <sheetView workbookViewId="0" showGridLines="0" rightToLeft="1" defaultGridColor="1"/>
  </sheetViews>
  <sheetFormatPr defaultColWidth="76.5" defaultRowHeight="12.75" customHeight="1" outlineLevelRow="0" outlineLevelCol="0"/>
  <cols>
    <col min="1" max="1" width="9.17188" style="457" customWidth="1"/>
    <col min="2" max="2" width="5.85156" style="457" customWidth="1"/>
    <col min="3" max="3" width="76.5" style="457" customWidth="1"/>
    <col min="4" max="4" width="3" style="457" customWidth="1"/>
    <col min="5" max="5" width="76.5" style="457" customWidth="1"/>
    <col min="6" max="6" width="3" style="457" customWidth="1"/>
    <col min="7" max="7" width="76.5" style="457" customWidth="1"/>
    <col min="8" max="16384" width="76.5" style="457" customWidth="1"/>
  </cols>
  <sheetData>
    <row r="1" ht="33.75" customHeight="1">
      <c r="A1" s="458"/>
      <c r="B1" t="s" s="459">
        <v>88</v>
      </c>
      <c r="C1" s="460"/>
      <c r="D1" s="460"/>
      <c r="E1" s="460"/>
      <c r="F1" s="460"/>
      <c r="G1" s="460"/>
    </row>
    <row r="2" ht="33.75" customHeight="1">
      <c r="A2" s="458"/>
      <c r="B2" t="s" s="461">
        <v>93</v>
      </c>
      <c r="C2" s="462"/>
      <c r="D2" t="s" s="461">
        <v>95</v>
      </c>
      <c r="E2" s="462"/>
      <c r="F2" t="s" s="461">
        <v>135</v>
      </c>
      <c r="G2" s="462"/>
    </row>
    <row r="3" ht="20.25" customHeight="1">
      <c r="A3" s="458"/>
      <c r="B3" t="s" s="463">
        <v>136</v>
      </c>
      <c r="C3" s="464"/>
      <c r="D3" t="s" s="463">
        <v>137</v>
      </c>
      <c r="E3" s="464"/>
      <c r="F3" t="s" s="463">
        <v>138</v>
      </c>
      <c r="G3" s="464"/>
    </row>
    <row r="4" ht="236.25" customHeight="1">
      <c r="A4" s="458"/>
      <c r="B4" s="465">
        <v>1</v>
      </c>
      <c r="C4" t="s" s="466">
        <v>139</v>
      </c>
      <c r="D4" s="465">
        <v>1</v>
      </c>
      <c r="E4" t="s" s="466">
        <v>140</v>
      </c>
      <c r="F4" s="465">
        <v>1</v>
      </c>
      <c r="G4" t="s" s="466">
        <v>141</v>
      </c>
    </row>
    <row r="5" ht="327" customHeight="1">
      <c r="A5" s="458"/>
      <c r="B5" s="465">
        <v>2</v>
      </c>
      <c r="C5" t="s" s="466">
        <v>142</v>
      </c>
      <c r="D5" s="465">
        <v>2</v>
      </c>
      <c r="E5" t="s" s="466">
        <v>143</v>
      </c>
      <c r="F5" s="465">
        <v>2</v>
      </c>
      <c r="G5" t="s" s="466">
        <v>144</v>
      </c>
    </row>
    <row r="6" ht="409.5" customHeight="1">
      <c r="A6" s="458"/>
      <c r="B6" s="465">
        <v>3</v>
      </c>
      <c r="C6" t="s" s="466">
        <v>145</v>
      </c>
      <c r="D6" s="465">
        <v>3</v>
      </c>
      <c r="E6" t="s" s="466">
        <v>146</v>
      </c>
      <c r="F6" s="465">
        <v>3</v>
      </c>
      <c r="G6" t="s" s="466">
        <v>147</v>
      </c>
    </row>
    <row r="7" ht="409.5" customHeight="1">
      <c r="A7" s="458"/>
      <c r="B7" s="465">
        <v>4</v>
      </c>
      <c r="C7" t="s" s="466">
        <v>148</v>
      </c>
      <c r="D7" s="465">
        <v>4</v>
      </c>
      <c r="E7" t="s" s="466">
        <v>149</v>
      </c>
      <c r="F7" s="465">
        <v>4</v>
      </c>
      <c r="G7" t="s" s="466">
        <v>150</v>
      </c>
    </row>
    <row r="8" ht="283.5" customHeight="1">
      <c r="A8" s="458"/>
      <c r="B8" s="465">
        <v>5</v>
      </c>
      <c r="C8" t="s" s="466">
        <v>151</v>
      </c>
      <c r="D8" s="465">
        <v>5</v>
      </c>
      <c r="E8" t="s" s="466">
        <v>152</v>
      </c>
      <c r="F8" s="465">
        <v>5</v>
      </c>
      <c r="G8" t="s" s="466">
        <v>153</v>
      </c>
    </row>
    <row r="9" ht="20.25" customHeight="1">
      <c r="A9" s="458"/>
      <c r="B9" s="467"/>
      <c r="C9" s="468"/>
      <c r="D9" s="469"/>
      <c r="E9" s="470"/>
      <c r="F9" s="471"/>
      <c r="G9" s="472"/>
    </row>
    <row r="10" ht="20.25" customHeight="1">
      <c r="A10" s="458"/>
      <c r="B10" s="467"/>
      <c r="C10" s="468"/>
      <c r="D10" s="469"/>
      <c r="E10" s="470"/>
      <c r="F10" s="473"/>
      <c r="G10" s="474"/>
    </row>
    <row r="11" ht="33.75" customHeight="1">
      <c r="A11" s="458"/>
      <c r="B11" t="s" s="475">
        <v>154</v>
      </c>
      <c r="C11" s="476"/>
      <c r="D11" s="477"/>
      <c r="E11" s="478"/>
      <c r="F11" s="479"/>
      <c r="G11" s="480"/>
    </row>
    <row r="12" ht="33.75" customHeight="1">
      <c r="A12" s="481">
        <v>1</v>
      </c>
      <c r="B12" t="s" s="482">
        <v>155</v>
      </c>
      <c r="C12" s="483"/>
      <c r="D12" s="484"/>
      <c r="E12" s="485"/>
      <c r="F12" s="486"/>
      <c r="G12" s="487"/>
    </row>
    <row r="13" ht="20.25" customHeight="1">
      <c r="A13" s="488"/>
      <c r="B13" t="s" s="489">
        <v>156</v>
      </c>
      <c r="C13" s="490"/>
      <c r="D13" s="486"/>
      <c r="E13" s="487"/>
      <c r="F13" s="487"/>
      <c r="G13" s="487"/>
    </row>
    <row r="14" ht="111" customHeight="1">
      <c r="A14" s="491"/>
      <c r="B14" s="492">
        <v>11</v>
      </c>
      <c r="C14" t="s" s="466">
        <v>157</v>
      </c>
      <c r="D14" s="493"/>
      <c r="E14" s="487"/>
      <c r="F14" s="487"/>
      <c r="G14" s="487"/>
    </row>
    <row r="15" ht="205.5" customHeight="1">
      <c r="A15" s="491"/>
      <c r="B15" s="492">
        <v>12</v>
      </c>
      <c r="C15" t="s" s="466">
        <v>158</v>
      </c>
      <c r="D15" s="493"/>
      <c r="E15" s="487"/>
      <c r="F15" s="487"/>
      <c r="G15" s="487"/>
    </row>
    <row r="16" ht="142.5" customHeight="1">
      <c r="A16" s="491"/>
      <c r="B16" s="492">
        <v>13</v>
      </c>
      <c r="C16" t="s" s="466">
        <v>159</v>
      </c>
      <c r="D16" s="493"/>
      <c r="E16" s="487"/>
      <c r="F16" s="487"/>
      <c r="G16" s="487"/>
    </row>
    <row r="17" ht="174" customHeight="1">
      <c r="A17" s="491"/>
      <c r="B17" s="492">
        <v>14</v>
      </c>
      <c r="C17" t="s" s="466">
        <v>160</v>
      </c>
      <c r="D17" s="493"/>
      <c r="E17" s="487"/>
      <c r="F17" s="487"/>
      <c r="G17" s="487"/>
    </row>
    <row r="18" ht="201" customHeight="1">
      <c r="A18" s="491"/>
      <c r="B18" s="494">
        <v>15</v>
      </c>
      <c r="C18" t="s" s="466">
        <v>161</v>
      </c>
      <c r="D18" s="493"/>
      <c r="E18" s="487"/>
      <c r="F18" s="487"/>
      <c r="G18" s="487"/>
    </row>
    <row r="19" ht="33.75" customHeight="1">
      <c r="A19" s="481">
        <v>2</v>
      </c>
      <c r="B19" t="s" s="495">
        <v>162</v>
      </c>
      <c r="C19" s="496"/>
      <c r="D19" s="493"/>
      <c r="E19" s="487"/>
      <c r="F19" s="487"/>
      <c r="G19" s="487"/>
    </row>
    <row r="20" ht="33.75" customHeight="1">
      <c r="A20" s="458"/>
      <c r="B20" t="s" s="497">
        <v>163</v>
      </c>
      <c r="C20" s="498"/>
      <c r="D20" s="493"/>
      <c r="E20" s="487"/>
      <c r="F20" s="487"/>
      <c r="G20" s="487"/>
    </row>
    <row r="21" ht="21" customHeight="1">
      <c r="A21" s="458"/>
      <c r="B21" s="499">
        <v>21</v>
      </c>
      <c r="C21" t="s" s="500">
        <v>164</v>
      </c>
      <c r="D21" s="493"/>
      <c r="E21" s="487"/>
      <c r="F21" s="487"/>
      <c r="G21" s="487"/>
    </row>
    <row r="22" ht="110.25" customHeight="1">
      <c r="A22" s="458"/>
      <c r="B22" s="499">
        <v>22</v>
      </c>
      <c r="C22" t="s" s="500">
        <v>165</v>
      </c>
      <c r="D22" s="493"/>
      <c r="E22" s="487"/>
      <c r="F22" s="487"/>
      <c r="G22" s="487"/>
    </row>
    <row r="23" ht="173.25" customHeight="1">
      <c r="A23" s="458"/>
      <c r="B23" s="499">
        <v>23</v>
      </c>
      <c r="C23" t="s" s="500">
        <v>166</v>
      </c>
      <c r="D23" s="493"/>
      <c r="E23" s="487"/>
      <c r="F23" s="487"/>
      <c r="G23" s="487"/>
    </row>
    <row r="24" ht="141.75" customHeight="1">
      <c r="A24" s="458"/>
      <c r="B24" s="499">
        <v>24</v>
      </c>
      <c r="C24" t="s" s="500">
        <v>167</v>
      </c>
      <c r="D24" s="493"/>
      <c r="E24" s="487"/>
      <c r="F24" s="487"/>
      <c r="G24" s="487"/>
    </row>
    <row r="25" ht="141.75" customHeight="1">
      <c r="A25" s="458"/>
      <c r="B25" s="499">
        <v>25</v>
      </c>
      <c r="C25" t="s" s="500">
        <v>168</v>
      </c>
      <c r="D25" s="493"/>
      <c r="E25" s="487"/>
      <c r="F25" s="487"/>
      <c r="G25" s="487"/>
    </row>
    <row r="26" ht="33.75" customHeight="1">
      <c r="A26" s="481">
        <v>3</v>
      </c>
      <c r="B26" t="s" s="495">
        <v>169</v>
      </c>
      <c r="C26" s="496"/>
      <c r="D26" s="493"/>
      <c r="E26" s="487"/>
      <c r="F26" s="487"/>
      <c r="G26" s="487"/>
    </row>
    <row r="27" ht="20.25" customHeight="1">
      <c r="A27" s="458"/>
      <c r="B27" t="s" s="497">
        <v>170</v>
      </c>
      <c r="C27" s="498"/>
      <c r="D27" s="493"/>
      <c r="E27" s="487"/>
      <c r="F27" s="487"/>
      <c r="G27" s="487"/>
    </row>
    <row r="28" ht="78.75" customHeight="1">
      <c r="A28" s="458"/>
      <c r="B28" s="499">
        <v>31</v>
      </c>
      <c r="C28" t="s" s="500">
        <v>171</v>
      </c>
      <c r="D28" s="493"/>
      <c r="E28" s="487"/>
      <c r="F28" s="487"/>
      <c r="G28" s="487"/>
    </row>
    <row r="29" ht="110.25" customHeight="1">
      <c r="A29" s="458"/>
      <c r="B29" s="499">
        <v>32</v>
      </c>
      <c r="C29" t="s" s="500">
        <v>172</v>
      </c>
      <c r="D29" s="493"/>
      <c r="E29" s="487"/>
      <c r="F29" s="487"/>
      <c r="G29" s="487"/>
    </row>
    <row r="30" ht="141.75" customHeight="1">
      <c r="A30" s="458"/>
      <c r="B30" s="499">
        <v>33</v>
      </c>
      <c r="C30" t="s" s="500">
        <v>173</v>
      </c>
      <c r="D30" s="493"/>
      <c r="E30" s="487"/>
      <c r="F30" s="487"/>
      <c r="G30" s="487"/>
    </row>
    <row r="31" ht="78.75" customHeight="1">
      <c r="A31" s="458"/>
      <c r="B31" s="499">
        <v>34</v>
      </c>
      <c r="C31" t="s" s="500">
        <v>174</v>
      </c>
      <c r="D31" s="493"/>
      <c r="E31" s="487"/>
      <c r="F31" s="487"/>
      <c r="G31" s="487"/>
    </row>
    <row r="32" ht="20.25" customHeight="1">
      <c r="A32" s="458"/>
      <c r="B32" s="499">
        <v>35</v>
      </c>
      <c r="C32" s="501"/>
      <c r="D32" s="493"/>
      <c r="E32" s="487"/>
      <c r="F32" s="487"/>
      <c r="G32" s="487"/>
    </row>
    <row r="33" ht="33.75" customHeight="1">
      <c r="A33" s="481">
        <v>4</v>
      </c>
      <c r="B33" t="s" s="495">
        <v>175</v>
      </c>
      <c r="C33" s="496"/>
      <c r="D33" s="493"/>
      <c r="E33" s="487"/>
      <c r="F33" s="487"/>
      <c r="G33" s="487"/>
    </row>
    <row r="34" ht="20.25" customHeight="1">
      <c r="A34" s="488"/>
      <c r="B34" t="s" s="502">
        <v>176</v>
      </c>
      <c r="C34" s="503"/>
      <c r="D34" s="493"/>
      <c r="E34" s="487"/>
      <c r="F34" s="487"/>
      <c r="G34" s="487"/>
    </row>
    <row r="35" ht="20.25" customHeight="1">
      <c r="A35" s="458"/>
      <c r="B35" s="499">
        <v>41</v>
      </c>
      <c r="C35" t="s" s="500">
        <v>177</v>
      </c>
      <c r="D35" s="493"/>
      <c r="E35" s="487"/>
      <c r="F35" s="487"/>
      <c r="G35" s="487"/>
    </row>
    <row r="36" ht="78.75" customHeight="1">
      <c r="A36" s="458"/>
      <c r="B36" s="499">
        <v>41</v>
      </c>
      <c r="C36" t="s" s="500">
        <v>178</v>
      </c>
      <c r="D36" s="493"/>
      <c r="E36" s="487"/>
      <c r="F36" s="487"/>
      <c r="G36" s="487"/>
    </row>
    <row r="37" ht="110.25" customHeight="1">
      <c r="A37" s="458"/>
      <c r="B37" s="499">
        <v>43</v>
      </c>
      <c r="C37" t="s" s="500">
        <v>179</v>
      </c>
      <c r="D37" s="493"/>
      <c r="E37" s="487"/>
      <c r="F37" s="487"/>
      <c r="G37" s="487"/>
    </row>
    <row r="38" ht="110.25" customHeight="1">
      <c r="A38" s="458"/>
      <c r="B38" s="499">
        <v>44</v>
      </c>
      <c r="C38" t="s" s="500">
        <v>180</v>
      </c>
      <c r="D38" s="493"/>
      <c r="E38" s="487"/>
      <c r="F38" s="487"/>
      <c r="G38" s="487"/>
    </row>
    <row r="39" ht="78.75" customHeight="1">
      <c r="A39" s="458"/>
      <c r="B39" s="499">
        <v>45</v>
      </c>
      <c r="C39" t="s" s="500">
        <v>181</v>
      </c>
      <c r="D39" s="493"/>
      <c r="E39" s="487"/>
      <c r="F39" s="487"/>
      <c r="G39" s="487"/>
    </row>
    <row r="40" ht="13.65" customHeight="1">
      <c r="A40" s="488"/>
      <c r="B40" s="504"/>
      <c r="C40" s="505"/>
      <c r="D40" s="487"/>
      <c r="E40" s="487"/>
      <c r="F40" s="487"/>
      <c r="G40" s="487"/>
    </row>
    <row r="41" ht="33.75" customHeight="1">
      <c r="A41" s="488"/>
      <c r="B41" s="506"/>
      <c r="C41" t="s" s="459">
        <v>106</v>
      </c>
      <c r="D41" s="493"/>
      <c r="E41" s="487"/>
      <c r="F41" s="487"/>
      <c r="G41" s="487"/>
    </row>
    <row r="42" ht="30.75" customHeight="1">
      <c r="A42" s="507">
        <v>5</v>
      </c>
      <c r="B42" t="s" s="508">
        <v>182</v>
      </c>
      <c r="C42" s="509"/>
      <c r="D42" s="493"/>
      <c r="E42" s="487"/>
      <c r="F42" s="487"/>
      <c r="G42" s="487"/>
    </row>
    <row r="43" ht="81" customHeight="1">
      <c r="A43" s="458"/>
      <c r="B43" s="510">
        <v>51</v>
      </c>
      <c r="C43" t="s" s="511">
        <v>183</v>
      </c>
      <c r="D43" s="487"/>
      <c r="E43" s="487"/>
      <c r="F43" s="487"/>
      <c r="G43" s="487"/>
    </row>
    <row r="44" ht="20.25" customHeight="1">
      <c r="A44" s="458"/>
      <c r="B44" s="512"/>
      <c r="C44" s="513"/>
      <c r="D44" s="493"/>
      <c r="E44" s="487"/>
      <c r="F44" s="487"/>
      <c r="G44" s="487"/>
    </row>
    <row r="45" ht="220.5" customHeight="1">
      <c r="A45" s="458"/>
      <c r="B45" s="510">
        <v>52</v>
      </c>
      <c r="C45" t="s" s="466">
        <v>184</v>
      </c>
      <c r="D45" s="493"/>
      <c r="E45" s="487"/>
      <c r="F45" s="487"/>
      <c r="G45" s="487"/>
    </row>
    <row r="46" ht="220.5" customHeight="1">
      <c r="A46" s="458"/>
      <c r="B46" s="510">
        <v>53</v>
      </c>
      <c r="C46" t="s" s="466">
        <v>185</v>
      </c>
      <c r="D46" s="493"/>
      <c r="E46" s="487"/>
      <c r="F46" s="487"/>
      <c r="G46" s="487"/>
    </row>
    <row r="47" ht="220.5" customHeight="1">
      <c r="A47" s="458"/>
      <c r="B47" s="510">
        <v>54</v>
      </c>
      <c r="C47" t="s" s="466">
        <v>186</v>
      </c>
      <c r="D47" s="493"/>
      <c r="E47" s="487"/>
      <c r="F47" s="487"/>
      <c r="G47" s="487"/>
    </row>
    <row r="48" ht="157.5" customHeight="1">
      <c r="A48" s="488"/>
      <c r="B48" s="514">
        <v>55</v>
      </c>
      <c r="C48" t="s" s="466">
        <v>187</v>
      </c>
      <c r="D48" s="493"/>
      <c r="E48" s="487"/>
      <c r="F48" s="487"/>
      <c r="G48" s="487"/>
    </row>
    <row r="49" ht="13.65" customHeight="1">
      <c r="A49" s="488"/>
      <c r="B49" s="487"/>
      <c r="C49" s="504"/>
      <c r="D49" s="487"/>
      <c r="E49" s="487"/>
      <c r="F49" s="487"/>
      <c r="G49" s="487"/>
    </row>
    <row r="50" ht="13.65" customHeight="1">
      <c r="A50" s="488"/>
      <c r="B50" s="487"/>
      <c r="C50" s="487"/>
      <c r="D50" s="487"/>
      <c r="E50" s="487"/>
      <c r="F50" s="487"/>
      <c r="G50" s="487"/>
    </row>
    <row r="51" ht="13.65" customHeight="1">
      <c r="A51" s="488"/>
      <c r="B51" s="487"/>
      <c r="C51" s="487"/>
      <c r="D51" s="487"/>
      <c r="E51" s="487"/>
      <c r="F51" s="487"/>
      <c r="G51" s="487"/>
    </row>
    <row r="52" ht="13.65" customHeight="1">
      <c r="A52" s="488"/>
      <c r="B52" s="487"/>
      <c r="C52" s="487"/>
      <c r="D52" s="487"/>
      <c r="E52" s="487"/>
      <c r="F52" s="487"/>
      <c r="G52" s="487"/>
    </row>
    <row r="53" ht="13.65" customHeight="1">
      <c r="A53" s="488"/>
      <c r="B53" s="487"/>
      <c r="C53" s="487"/>
      <c r="D53" s="487"/>
      <c r="E53" s="487"/>
      <c r="F53" s="487"/>
      <c r="G53" s="487"/>
    </row>
    <row r="54" ht="13.65" customHeight="1">
      <c r="A54" s="488"/>
      <c r="B54" s="487"/>
      <c r="C54" s="487"/>
      <c r="D54" s="487"/>
      <c r="E54" s="487"/>
      <c r="F54" s="487"/>
      <c r="G54" s="487"/>
    </row>
    <row r="55" ht="13.65" customHeight="1">
      <c r="A55" s="488"/>
      <c r="B55" s="487"/>
      <c r="C55" s="487"/>
      <c r="D55" s="487"/>
      <c r="E55" s="487"/>
      <c r="F55" s="487"/>
      <c r="G55" s="487"/>
    </row>
    <row r="56" ht="13.65" customHeight="1">
      <c r="A56" s="488"/>
      <c r="B56" s="487"/>
      <c r="C56" s="487"/>
      <c r="D56" s="487"/>
      <c r="E56" s="487"/>
      <c r="F56" s="487"/>
      <c r="G56" s="487"/>
    </row>
    <row r="57" ht="13.65" customHeight="1">
      <c r="A57" s="488"/>
      <c r="B57" s="487"/>
      <c r="C57" s="487"/>
      <c r="D57" s="487"/>
      <c r="E57" s="487"/>
      <c r="F57" s="487"/>
      <c r="G57" s="487"/>
    </row>
    <row r="58" ht="13.65" customHeight="1">
      <c r="A58" s="488"/>
      <c r="B58" s="487"/>
      <c r="C58" s="487"/>
      <c r="D58" s="487"/>
      <c r="E58" s="487"/>
      <c r="F58" s="487"/>
      <c r="G58" s="487"/>
    </row>
    <row r="59" ht="13.65" customHeight="1">
      <c r="A59" s="488"/>
      <c r="B59" s="487"/>
      <c r="C59" s="487"/>
      <c r="D59" s="487"/>
      <c r="E59" s="487"/>
      <c r="F59" s="487"/>
      <c r="G59" s="487"/>
    </row>
    <row r="60" ht="13.65" customHeight="1">
      <c r="A60" s="488"/>
      <c r="B60" s="487"/>
      <c r="C60" s="487"/>
      <c r="D60" s="487"/>
      <c r="E60" s="487"/>
      <c r="F60" s="487"/>
      <c r="G60" s="487"/>
    </row>
    <row r="61" ht="13.65" customHeight="1">
      <c r="A61" s="488"/>
      <c r="B61" s="487"/>
      <c r="C61" s="487"/>
      <c r="D61" s="487"/>
      <c r="E61" s="487"/>
      <c r="F61" s="487"/>
      <c r="G61" s="487"/>
    </row>
    <row r="62" ht="13.65" customHeight="1">
      <c r="A62" s="488"/>
      <c r="B62" s="487"/>
      <c r="C62" s="487"/>
      <c r="D62" s="487"/>
      <c r="E62" s="487"/>
      <c r="F62" s="487"/>
      <c r="G62" s="487"/>
    </row>
    <row r="63" ht="13.65" customHeight="1">
      <c r="A63" s="488"/>
      <c r="B63" s="487"/>
      <c r="C63" s="487"/>
      <c r="D63" s="487"/>
      <c r="E63" s="487"/>
      <c r="F63" s="487"/>
      <c r="G63" s="487"/>
    </row>
    <row r="64" ht="13.65" customHeight="1">
      <c r="A64" s="488"/>
      <c r="B64" s="487"/>
      <c r="C64" s="487"/>
      <c r="D64" s="487"/>
      <c r="E64" s="487"/>
      <c r="F64" s="487"/>
      <c r="G64" s="487"/>
    </row>
    <row r="65" ht="13.65" customHeight="1">
      <c r="A65" s="488"/>
      <c r="B65" s="487"/>
      <c r="C65" s="487"/>
      <c r="D65" s="487"/>
      <c r="E65" s="487"/>
      <c r="F65" s="487"/>
      <c r="G65" s="487"/>
    </row>
    <row r="66" ht="13.65" customHeight="1">
      <c r="A66" s="488"/>
      <c r="B66" s="487"/>
      <c r="C66" s="487"/>
      <c r="D66" s="487"/>
      <c r="E66" s="487"/>
      <c r="F66" s="487"/>
      <c r="G66" s="487"/>
    </row>
    <row r="67" ht="13.65" customHeight="1">
      <c r="A67" s="488"/>
      <c r="B67" s="487"/>
      <c r="C67" s="487"/>
      <c r="D67" s="487"/>
      <c r="E67" s="487"/>
      <c r="F67" s="487"/>
      <c r="G67" s="487"/>
    </row>
    <row r="68" ht="13.65" customHeight="1">
      <c r="A68" s="488"/>
      <c r="B68" s="487"/>
      <c r="C68" s="487"/>
      <c r="D68" s="487"/>
      <c r="E68" s="487"/>
      <c r="F68" s="487"/>
      <c r="G68" s="487"/>
    </row>
    <row r="69" ht="13.65" customHeight="1">
      <c r="A69" s="488"/>
      <c r="B69" s="487"/>
      <c r="C69" s="487"/>
      <c r="D69" s="487"/>
      <c r="E69" s="487"/>
      <c r="F69" s="487"/>
      <c r="G69" s="487"/>
    </row>
    <row r="70" ht="13.65" customHeight="1">
      <c r="A70" s="488"/>
      <c r="B70" s="487"/>
      <c r="C70" s="487"/>
      <c r="D70" s="487"/>
      <c r="E70" s="487"/>
      <c r="F70" s="487"/>
      <c r="G70" s="487"/>
    </row>
    <row r="71" ht="13.65" customHeight="1">
      <c r="A71" s="488"/>
      <c r="B71" s="487"/>
      <c r="C71" s="487"/>
      <c r="D71" s="487"/>
      <c r="E71" s="487"/>
      <c r="F71" s="487"/>
      <c r="G71" s="487"/>
    </row>
    <row r="72" ht="13.65" customHeight="1">
      <c r="A72" s="488"/>
      <c r="B72" s="487"/>
      <c r="C72" s="487"/>
      <c r="D72" s="487"/>
      <c r="E72" s="487"/>
      <c r="F72" s="487"/>
      <c r="G72" s="487"/>
    </row>
    <row r="73" ht="13.65" customHeight="1">
      <c r="A73" s="488"/>
      <c r="B73" s="487"/>
      <c r="C73" s="487"/>
      <c r="D73" s="487"/>
      <c r="E73" s="487"/>
      <c r="F73" s="487"/>
      <c r="G73" s="487"/>
    </row>
    <row r="74" ht="13.65" customHeight="1">
      <c r="A74" s="488"/>
      <c r="B74" s="487"/>
      <c r="C74" s="487"/>
      <c r="D74" s="487"/>
      <c r="E74" s="487"/>
      <c r="F74" s="487"/>
      <c r="G74" s="487"/>
    </row>
    <row r="75" ht="13.65" customHeight="1">
      <c r="A75" s="488"/>
      <c r="B75" s="487"/>
      <c r="C75" s="487"/>
      <c r="D75" s="487"/>
      <c r="E75" s="487"/>
      <c r="F75" s="487"/>
      <c r="G75" s="487"/>
    </row>
    <row r="76" ht="13.65" customHeight="1">
      <c r="A76" s="488"/>
      <c r="B76" s="487"/>
      <c r="C76" s="487"/>
      <c r="D76" s="487"/>
      <c r="E76" s="487"/>
      <c r="F76" s="487"/>
      <c r="G76" s="487"/>
    </row>
    <row r="77" ht="13.65" customHeight="1">
      <c r="A77" s="488"/>
      <c r="B77" s="487"/>
      <c r="C77" s="487"/>
      <c r="D77" s="487"/>
      <c r="E77" s="487"/>
      <c r="F77" s="487"/>
      <c r="G77" s="487"/>
    </row>
    <row r="78" ht="13.65" customHeight="1">
      <c r="A78" s="488"/>
      <c r="B78" s="487"/>
      <c r="C78" s="487"/>
      <c r="D78" s="487"/>
      <c r="E78" s="487"/>
      <c r="F78" s="487"/>
      <c r="G78" s="487"/>
    </row>
    <row r="79" ht="13.65" customHeight="1">
      <c r="A79" s="488"/>
      <c r="B79" s="487"/>
      <c r="C79" s="487"/>
      <c r="D79" s="487"/>
      <c r="E79" s="487"/>
      <c r="F79" s="487"/>
      <c r="G79" s="487"/>
    </row>
    <row r="80" ht="13.65" customHeight="1">
      <c r="A80" s="488"/>
      <c r="B80" s="487"/>
      <c r="C80" s="487"/>
      <c r="D80" s="487"/>
      <c r="E80" s="487"/>
      <c r="F80" s="487"/>
      <c r="G80" s="487"/>
    </row>
    <row r="81" ht="13.65" customHeight="1">
      <c r="A81" s="488"/>
      <c r="B81" s="487"/>
      <c r="C81" s="487"/>
      <c r="D81" s="487"/>
      <c r="E81" s="487"/>
      <c r="F81" s="487"/>
      <c r="G81" s="487"/>
    </row>
    <row r="82" ht="13.65" customHeight="1">
      <c r="A82" s="488"/>
      <c r="B82" s="487"/>
      <c r="C82" s="487"/>
      <c r="D82" s="487"/>
      <c r="E82" s="487"/>
      <c r="F82" s="487"/>
      <c r="G82" s="487"/>
    </row>
    <row r="83" ht="13.65" customHeight="1">
      <c r="A83" s="488"/>
      <c r="B83" s="487"/>
      <c r="C83" s="487"/>
      <c r="D83" s="487"/>
      <c r="E83" s="487"/>
      <c r="F83" s="487"/>
      <c r="G83" s="487"/>
    </row>
    <row r="84" ht="13.65" customHeight="1">
      <c r="A84" s="488"/>
      <c r="B84" s="487"/>
      <c r="C84" s="487"/>
      <c r="D84" s="487"/>
      <c r="E84" s="487"/>
      <c r="F84" s="487"/>
      <c r="G84" s="487"/>
    </row>
    <row r="85" ht="13.65" customHeight="1">
      <c r="A85" s="488"/>
      <c r="B85" s="487"/>
      <c r="C85" s="487"/>
      <c r="D85" s="487"/>
      <c r="E85" s="487"/>
      <c r="F85" s="487"/>
      <c r="G85" s="487"/>
    </row>
    <row r="86" ht="13.65" customHeight="1">
      <c r="A86" s="488"/>
      <c r="B86" s="487"/>
      <c r="C86" s="487"/>
      <c r="D86" s="487"/>
      <c r="E86" s="487"/>
      <c r="F86" s="487"/>
      <c r="G86" s="487"/>
    </row>
    <row r="87" ht="13.65" customHeight="1">
      <c r="A87" s="488"/>
      <c r="B87" s="487"/>
      <c r="C87" s="487"/>
      <c r="D87" s="487"/>
      <c r="E87" s="487"/>
      <c r="F87" s="487"/>
      <c r="G87" s="487"/>
    </row>
    <row r="88" ht="13.65" customHeight="1">
      <c r="A88" s="488"/>
      <c r="B88" s="487"/>
      <c r="C88" s="487"/>
      <c r="D88" s="487"/>
      <c r="E88" s="487"/>
      <c r="F88" s="487"/>
      <c r="G88" s="487"/>
    </row>
    <row r="89" ht="13.65" customHeight="1">
      <c r="A89" s="488"/>
      <c r="B89" s="487"/>
      <c r="C89" s="487"/>
      <c r="D89" s="487"/>
      <c r="E89" s="487"/>
      <c r="F89" s="487"/>
      <c r="G89" s="487"/>
    </row>
    <row r="90" ht="13.65" customHeight="1">
      <c r="A90" s="488"/>
      <c r="B90" s="487"/>
      <c r="C90" s="487"/>
      <c r="D90" s="487"/>
      <c r="E90" s="487"/>
      <c r="F90" s="487"/>
      <c r="G90" s="487"/>
    </row>
    <row r="91" ht="13.65" customHeight="1">
      <c r="A91" s="488"/>
      <c r="B91" s="487"/>
      <c r="C91" s="487"/>
      <c r="D91" s="487"/>
      <c r="E91" s="487"/>
      <c r="F91" s="487"/>
      <c r="G91" s="487"/>
    </row>
    <row r="92" ht="13.65" customHeight="1">
      <c r="A92" s="488"/>
      <c r="B92" s="487"/>
      <c r="C92" s="487"/>
      <c r="D92" s="487"/>
      <c r="E92" s="487"/>
      <c r="F92" s="487"/>
      <c r="G92" s="487"/>
    </row>
    <row r="93" ht="13.65" customHeight="1">
      <c r="A93" s="488"/>
      <c r="B93" s="487"/>
      <c r="C93" s="487"/>
      <c r="D93" s="487"/>
      <c r="E93" s="487"/>
      <c r="F93" s="487"/>
      <c r="G93" s="487"/>
    </row>
    <row r="94" ht="13.65" customHeight="1">
      <c r="A94" s="488"/>
      <c r="B94" s="487"/>
      <c r="C94" s="487"/>
      <c r="D94" s="487"/>
      <c r="E94" s="487"/>
      <c r="F94" s="487"/>
      <c r="G94" s="487"/>
    </row>
    <row r="95" ht="13.65" customHeight="1">
      <c r="A95" s="488"/>
      <c r="B95" s="487"/>
      <c r="C95" s="487"/>
      <c r="D95" s="487"/>
      <c r="E95" s="487"/>
      <c r="F95" s="487"/>
      <c r="G95" s="487"/>
    </row>
    <row r="96" ht="13.65" customHeight="1">
      <c r="A96" s="488"/>
      <c r="B96" s="487"/>
      <c r="C96" s="487"/>
      <c r="D96" s="487"/>
      <c r="E96" s="487"/>
      <c r="F96" s="487"/>
      <c r="G96" s="487"/>
    </row>
    <row r="97" ht="13.65" customHeight="1">
      <c r="A97" s="488"/>
      <c r="B97" s="487"/>
      <c r="C97" s="487"/>
      <c r="D97" s="487"/>
      <c r="E97" s="487"/>
      <c r="F97" s="487"/>
      <c r="G97" s="487"/>
    </row>
    <row r="98" ht="13.65" customHeight="1">
      <c r="A98" s="488"/>
      <c r="B98" s="487"/>
      <c r="C98" s="487"/>
      <c r="D98" s="487"/>
      <c r="E98" s="487"/>
      <c r="F98" s="487"/>
      <c r="G98" s="487"/>
    </row>
    <row r="99" ht="13.65" customHeight="1">
      <c r="A99" s="488"/>
      <c r="B99" s="487"/>
      <c r="C99" s="487"/>
      <c r="D99" s="487"/>
      <c r="E99" s="487"/>
      <c r="F99" s="487"/>
      <c r="G99" s="487"/>
    </row>
    <row r="100" ht="13.65" customHeight="1">
      <c r="A100" s="488"/>
      <c r="B100" s="487"/>
      <c r="C100" s="487"/>
      <c r="D100" s="487"/>
      <c r="E100" s="487"/>
      <c r="F100" s="487"/>
      <c r="G100" s="487"/>
    </row>
    <row r="101" ht="13.65" customHeight="1">
      <c r="A101" s="488"/>
      <c r="B101" s="487"/>
      <c r="C101" s="487"/>
      <c r="D101" s="487"/>
      <c r="E101" s="487"/>
      <c r="F101" s="487"/>
      <c r="G101" s="487"/>
    </row>
    <row r="102" ht="25.5" customHeight="1">
      <c r="A102" s="488"/>
      <c r="B102" s="487"/>
      <c r="C102" s="515"/>
      <c r="D102" s="487"/>
      <c r="E102" s="487"/>
      <c r="F102" s="487"/>
      <c r="G102" s="487"/>
    </row>
    <row r="103" ht="25.5" customHeight="1">
      <c r="A103" s="488"/>
      <c r="B103" s="487"/>
      <c r="C103" s="515"/>
      <c r="D103" s="487"/>
      <c r="E103" s="487"/>
      <c r="F103" s="487"/>
      <c r="G103" s="487"/>
    </row>
    <row r="104" ht="25.5" customHeight="1">
      <c r="A104" s="488"/>
      <c r="B104" s="487"/>
      <c r="C104" s="515"/>
      <c r="D104" s="487"/>
      <c r="E104" s="487"/>
      <c r="F104" s="487"/>
      <c r="G104" s="487"/>
    </row>
    <row r="105" ht="25.5" customHeight="1">
      <c r="A105" s="488"/>
      <c r="B105" s="487"/>
      <c r="C105" s="515"/>
      <c r="D105" s="487"/>
      <c r="E105" s="487"/>
      <c r="F105" s="487"/>
      <c r="G105" s="487"/>
    </row>
    <row r="106" ht="25.5" customHeight="1">
      <c r="A106" s="488"/>
      <c r="B106" s="487"/>
      <c r="C106" s="515"/>
      <c r="D106" s="487"/>
      <c r="E106" s="487"/>
      <c r="F106" s="487"/>
      <c r="G106" s="487"/>
    </row>
  </sheetData>
  <mergeCells count="17">
    <mergeCell ref="B34:C34"/>
    <mergeCell ref="B42:C42"/>
    <mergeCell ref="B20:C20"/>
    <mergeCell ref="B19:C19"/>
    <mergeCell ref="B27:C27"/>
    <mergeCell ref="B26:C26"/>
    <mergeCell ref="B33:C33"/>
    <mergeCell ref="B11:C11"/>
    <mergeCell ref="B12:C12"/>
    <mergeCell ref="B13:C13"/>
    <mergeCell ref="B1:G1"/>
    <mergeCell ref="B2:C2"/>
    <mergeCell ref="D2:E2"/>
    <mergeCell ref="F2:G2"/>
    <mergeCell ref="B3:C3"/>
    <mergeCell ref="D3:E3"/>
    <mergeCell ref="F3:G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